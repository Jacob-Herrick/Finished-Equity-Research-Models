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Industrial\"/>
    </mc:Choice>
  </mc:AlternateContent>
  <xr:revisionPtr revIDLastSave="0" documentId="13_ncr:1_{3EA5DFA4-8F72-4870-BF93-28C796BF099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7" i="2" l="1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B23" i="2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Y28" i="2"/>
  <c r="Y25" i="2"/>
  <c r="Y27" i="2"/>
  <c r="Y23" i="2"/>
  <c r="Y19" i="2"/>
  <c r="AA26" i="2"/>
  <c r="Z26" i="2"/>
  <c r="AA25" i="2"/>
  <c r="Z25" i="2"/>
  <c r="AA24" i="2"/>
  <c r="Z24" i="2"/>
  <c r="AA22" i="2"/>
  <c r="Z22" i="2"/>
  <c r="AA21" i="2"/>
  <c r="Z21" i="2"/>
  <c r="AA20" i="2"/>
  <c r="Z20" i="2"/>
  <c r="AA18" i="2"/>
  <c r="Z18" i="2"/>
  <c r="AA17" i="2"/>
  <c r="Z17" i="2"/>
  <c r="AA16" i="2"/>
  <c r="Z16" i="2"/>
  <c r="AA15" i="2"/>
  <c r="Z15" i="2"/>
  <c r="C28" i="2"/>
  <c r="C25" i="2"/>
  <c r="D28" i="2"/>
  <c r="D25" i="2"/>
  <c r="E28" i="2"/>
  <c r="E25" i="2"/>
  <c r="J28" i="2"/>
  <c r="J26" i="2"/>
  <c r="J25" i="2"/>
  <c r="J27" i="2" s="1"/>
  <c r="F26" i="2"/>
  <c r="F24" i="2"/>
  <c r="F22" i="2"/>
  <c r="F21" i="2"/>
  <c r="F18" i="2"/>
  <c r="F20" i="2"/>
  <c r="F17" i="2"/>
  <c r="F16" i="2"/>
  <c r="F15" i="2"/>
  <c r="J24" i="2"/>
  <c r="J22" i="2"/>
  <c r="J21" i="2"/>
  <c r="J20" i="2"/>
  <c r="J18" i="2"/>
  <c r="J17" i="2"/>
  <c r="J16" i="2"/>
  <c r="J15" i="2"/>
  <c r="G28" i="2"/>
  <c r="K28" i="2"/>
  <c r="H28" i="2"/>
  <c r="L28" i="2"/>
  <c r="I28" i="2"/>
  <c r="M28" i="2"/>
  <c r="L27" i="2"/>
  <c r="K27" i="2"/>
  <c r="I27" i="2"/>
  <c r="H27" i="2"/>
  <c r="G27" i="2"/>
  <c r="E27" i="2"/>
  <c r="D27" i="2"/>
  <c r="H32" i="2" s="1"/>
  <c r="L23" i="2"/>
  <c r="K23" i="2"/>
  <c r="I23" i="2"/>
  <c r="H23" i="2"/>
  <c r="G23" i="2"/>
  <c r="E23" i="2"/>
  <c r="D23" i="2"/>
  <c r="H31" i="2" s="1"/>
  <c r="C23" i="2"/>
  <c r="G31" i="2" s="1"/>
  <c r="L19" i="2"/>
  <c r="K19" i="2"/>
  <c r="J19" i="2"/>
  <c r="I19" i="2"/>
  <c r="H19" i="2"/>
  <c r="G19" i="2"/>
  <c r="E19" i="2"/>
  <c r="D19" i="2"/>
  <c r="H30" i="2" s="1"/>
  <c r="C19" i="2"/>
  <c r="M19" i="2"/>
  <c r="M23" i="2"/>
  <c r="M27" i="2"/>
  <c r="M32" i="2" s="1"/>
  <c r="L32" i="2"/>
  <c r="I32" i="2"/>
  <c r="L31" i="2"/>
  <c r="I31" i="2"/>
  <c r="L30" i="2"/>
  <c r="M31" i="2"/>
  <c r="AK72" i="2"/>
  <c r="M102" i="2"/>
  <c r="M105" i="2"/>
  <c r="M95" i="2"/>
  <c r="M94" i="2"/>
  <c r="M93" i="2"/>
  <c r="M89" i="2"/>
  <c r="M91" i="2" s="1"/>
  <c r="M80" i="2"/>
  <c r="M44" i="2"/>
  <c r="M40" i="2"/>
  <c r="M59" i="2" s="1"/>
  <c r="M39" i="2"/>
  <c r="M58" i="2" s="1"/>
  <c r="M9" i="2"/>
  <c r="M8" i="2"/>
  <c r="M6" i="2"/>
  <c r="M13" i="2" s="1"/>
  <c r="Y37" i="2" l="1"/>
  <c r="C27" i="2"/>
  <c r="G32" i="2" s="1"/>
  <c r="F25" i="2"/>
  <c r="G30" i="2"/>
  <c r="F27" i="2"/>
  <c r="Z27" i="2"/>
  <c r="F23" i="2"/>
  <c r="J31" i="2" s="1"/>
  <c r="J32" i="2"/>
  <c r="F19" i="2"/>
  <c r="K32" i="2"/>
  <c r="AA27" i="2"/>
  <c r="J23" i="2"/>
  <c r="K31" i="2"/>
  <c r="K30" i="2"/>
  <c r="AA23" i="2"/>
  <c r="AA19" i="2"/>
  <c r="I30" i="2"/>
  <c r="M30" i="2"/>
  <c r="L35" i="2"/>
  <c r="L33" i="2"/>
  <c r="K37" i="2"/>
  <c r="K36" i="2"/>
  <c r="K35" i="2"/>
  <c r="K33" i="2"/>
  <c r="J35" i="2"/>
  <c r="I36" i="2"/>
  <c r="I37" i="2"/>
  <c r="I35" i="2"/>
  <c r="I33" i="2"/>
  <c r="H37" i="2"/>
  <c r="H36" i="2"/>
  <c r="H35" i="2"/>
  <c r="H33" i="2"/>
  <c r="G37" i="2"/>
  <c r="G33" i="2"/>
  <c r="G36" i="2"/>
  <c r="AA28" i="2"/>
  <c r="G35" i="2"/>
  <c r="E35" i="2"/>
  <c r="E37" i="2"/>
  <c r="E36" i="2"/>
  <c r="D36" i="2"/>
  <c r="D37" i="2"/>
  <c r="D35" i="2"/>
  <c r="C35" i="2"/>
  <c r="C36" i="2"/>
  <c r="C37" i="2"/>
  <c r="M104" i="2"/>
  <c r="M106" i="2" s="1"/>
  <c r="M12" i="2"/>
  <c r="M41" i="2"/>
  <c r="Y35" i="2" l="1"/>
  <c r="Y36" i="2"/>
  <c r="AA32" i="2"/>
  <c r="Z32" i="2"/>
  <c r="Z19" i="2"/>
  <c r="J30" i="2"/>
  <c r="Z23" i="2"/>
  <c r="F28" i="2"/>
  <c r="J37" i="2"/>
  <c r="J36" i="2"/>
  <c r="L37" i="2"/>
  <c r="L36" i="2"/>
  <c r="M33" i="2"/>
  <c r="M35" i="2"/>
  <c r="M36" i="2"/>
  <c r="M37" i="2"/>
  <c r="AA37" i="2"/>
  <c r="AA36" i="2"/>
  <c r="AA35" i="2"/>
  <c r="M96" i="2"/>
  <c r="M62" i="2"/>
  <c r="M61" i="2"/>
  <c r="M45" i="2"/>
  <c r="AA30" i="2" l="1"/>
  <c r="Z30" i="2"/>
  <c r="AA31" i="2"/>
  <c r="Z31" i="2"/>
  <c r="Z28" i="2"/>
  <c r="F37" i="2"/>
  <c r="F36" i="2"/>
  <c r="F35" i="2"/>
  <c r="J33" i="2"/>
  <c r="M60" i="2"/>
  <c r="M48" i="2"/>
  <c r="Z35" i="2" l="1"/>
  <c r="Z36" i="2"/>
  <c r="Z37" i="2"/>
  <c r="Z33" i="2"/>
  <c r="AA33" i="2"/>
  <c r="M63" i="2"/>
  <c r="M52" i="2"/>
  <c r="M54" i="2" s="1"/>
  <c r="M64" i="2" l="1"/>
  <c r="M101" i="2" l="1"/>
  <c r="M56" i="2"/>
  <c r="M99" i="2"/>
  <c r="M65" i="2"/>
  <c r="M98" i="2"/>
  <c r="K95" i="2" l="1"/>
  <c r="J95" i="2"/>
  <c r="K94" i="2"/>
  <c r="J94" i="2"/>
  <c r="K93" i="2"/>
  <c r="J93" i="2"/>
  <c r="AA105" i="2"/>
  <c r="Z105" i="2"/>
  <c r="AA103" i="2"/>
  <c r="Z103" i="2"/>
  <c r="AA102" i="2"/>
  <c r="Z102" i="2"/>
  <c r="K105" i="2"/>
  <c r="J105" i="2"/>
  <c r="I105" i="2"/>
  <c r="H105" i="2"/>
  <c r="G105" i="2"/>
  <c r="F105" i="2"/>
  <c r="E105" i="2"/>
  <c r="D105" i="2"/>
  <c r="C105" i="2"/>
  <c r="L105" i="2"/>
  <c r="L104" i="2"/>
  <c r="L106" i="2" s="1"/>
  <c r="K104" i="2"/>
  <c r="J104" i="2"/>
  <c r="J106" i="2" s="1"/>
  <c r="I104" i="2"/>
  <c r="I106" i="2" s="1"/>
  <c r="H104" i="2"/>
  <c r="H106" i="2" s="1"/>
  <c r="G104" i="2"/>
  <c r="F104" i="2"/>
  <c r="F106" i="2" s="1"/>
  <c r="E104" i="2"/>
  <c r="E106" i="2" s="1"/>
  <c r="D104" i="2"/>
  <c r="D106" i="2" s="1"/>
  <c r="C104" i="2"/>
  <c r="Y44" i="2"/>
  <c r="K44" i="2"/>
  <c r="I44" i="2"/>
  <c r="H44" i="2"/>
  <c r="G44" i="2"/>
  <c r="E44" i="2"/>
  <c r="D44" i="2"/>
  <c r="C44" i="2"/>
  <c r="L44" i="2"/>
  <c r="L95" i="2"/>
  <c r="L94" i="2"/>
  <c r="L93" i="2"/>
  <c r="AA90" i="2"/>
  <c r="Z90" i="2"/>
  <c r="AA88" i="2"/>
  <c r="Z88" i="2"/>
  <c r="AA87" i="2"/>
  <c r="Z87" i="2"/>
  <c r="AA86" i="2"/>
  <c r="Z86" i="2"/>
  <c r="AA85" i="2"/>
  <c r="Z85" i="2"/>
  <c r="AA84" i="2"/>
  <c r="Z84" i="2"/>
  <c r="AA83" i="2"/>
  <c r="AA82" i="2"/>
  <c r="Z82" i="2"/>
  <c r="AA79" i="2"/>
  <c r="Z79" i="2"/>
  <c r="AA78" i="2"/>
  <c r="Z78" i="2"/>
  <c r="AA77" i="2"/>
  <c r="Z77" i="2"/>
  <c r="AA76" i="2"/>
  <c r="Z76" i="2"/>
  <c r="AA75" i="2"/>
  <c r="Z75" i="2"/>
  <c r="AA74" i="2"/>
  <c r="Z74" i="2"/>
  <c r="AA73" i="2"/>
  <c r="Z73" i="2"/>
  <c r="AA72" i="2"/>
  <c r="Z72" i="2"/>
  <c r="AA71" i="2"/>
  <c r="Z71" i="2"/>
  <c r="AA70" i="2"/>
  <c r="Z70" i="2"/>
  <c r="AA69" i="2"/>
  <c r="Z69" i="2"/>
  <c r="AA68" i="2"/>
  <c r="Z68" i="2"/>
  <c r="Z67" i="2"/>
  <c r="G83" i="2"/>
  <c r="G68" i="2"/>
  <c r="H83" i="2"/>
  <c r="H68" i="2"/>
  <c r="I83" i="2"/>
  <c r="F83" i="2"/>
  <c r="K89" i="2"/>
  <c r="K91" i="2" s="1"/>
  <c r="J89" i="2"/>
  <c r="F89" i="2"/>
  <c r="F91" i="2" s="1"/>
  <c r="Z91" i="2" s="1"/>
  <c r="L89" i="2"/>
  <c r="L91" i="2" s="1"/>
  <c r="K80" i="2"/>
  <c r="J80" i="2"/>
  <c r="AA80" i="2" s="1"/>
  <c r="I80" i="2"/>
  <c r="H80" i="2"/>
  <c r="F80" i="2"/>
  <c r="Z80" i="2" s="1"/>
  <c r="L80" i="2"/>
  <c r="Y6" i="2"/>
  <c r="Y41" i="2" s="1"/>
  <c r="Y40" i="2"/>
  <c r="Y59" i="2" s="1"/>
  <c r="Y39" i="2"/>
  <c r="Y58" i="2" s="1"/>
  <c r="F53" i="2"/>
  <c r="Z53" i="2" s="1"/>
  <c r="F42" i="2"/>
  <c r="F51" i="2"/>
  <c r="Z51" i="2" s="1"/>
  <c r="F50" i="2"/>
  <c r="Z50" i="2" s="1"/>
  <c r="F49" i="2"/>
  <c r="Z49" i="2" s="1"/>
  <c r="F47" i="2"/>
  <c r="Z47" i="2" s="1"/>
  <c r="F46" i="2"/>
  <c r="Z46" i="2" s="1"/>
  <c r="F43" i="2"/>
  <c r="Z43" i="2" s="1"/>
  <c r="F5" i="2"/>
  <c r="F40" i="2" s="1"/>
  <c r="F4" i="2"/>
  <c r="F39" i="2" s="1"/>
  <c r="J53" i="2"/>
  <c r="AA53" i="2" s="1"/>
  <c r="J51" i="2"/>
  <c r="AA51" i="2" s="1"/>
  <c r="AB51" i="2" s="1"/>
  <c r="AC51" i="2" s="1"/>
  <c r="AD51" i="2" s="1"/>
  <c r="AE51" i="2" s="1"/>
  <c r="AF51" i="2" s="1"/>
  <c r="AG51" i="2" s="1"/>
  <c r="AH51" i="2" s="1"/>
  <c r="AI51" i="2" s="1"/>
  <c r="AJ51" i="2" s="1"/>
  <c r="AK51" i="2" s="1"/>
  <c r="AL51" i="2" s="1"/>
  <c r="J50" i="2"/>
  <c r="AA50" i="2" s="1"/>
  <c r="AB50" i="2" s="1"/>
  <c r="AC50" i="2" s="1"/>
  <c r="AD50" i="2" s="1"/>
  <c r="AE50" i="2" s="1"/>
  <c r="AF50" i="2" s="1"/>
  <c r="AG50" i="2" s="1"/>
  <c r="AH50" i="2" s="1"/>
  <c r="AI50" i="2" s="1"/>
  <c r="AJ50" i="2" s="1"/>
  <c r="AK50" i="2" s="1"/>
  <c r="AL50" i="2" s="1"/>
  <c r="J49" i="2"/>
  <c r="AA49" i="2" s="1"/>
  <c r="J47" i="2"/>
  <c r="AA47" i="2" s="1"/>
  <c r="J46" i="2"/>
  <c r="AA46" i="2" s="1"/>
  <c r="J43" i="2"/>
  <c r="AA43" i="2" s="1"/>
  <c r="J42" i="2"/>
  <c r="J5" i="2"/>
  <c r="AA5" i="2" s="1"/>
  <c r="AB5" i="2" s="1"/>
  <c r="J4" i="2"/>
  <c r="J39" i="2" s="1"/>
  <c r="E40" i="2"/>
  <c r="E59" i="2" s="1"/>
  <c r="D40" i="2"/>
  <c r="D59" i="2" s="1"/>
  <c r="C40" i="2"/>
  <c r="C59" i="2" s="1"/>
  <c r="E39" i="2"/>
  <c r="E58" i="2" s="1"/>
  <c r="D39" i="2"/>
  <c r="C39" i="2"/>
  <c r="C58" i="2" s="1"/>
  <c r="I9" i="2"/>
  <c r="H9" i="2"/>
  <c r="G9" i="2"/>
  <c r="I8" i="2"/>
  <c r="H8" i="2"/>
  <c r="G8" i="2"/>
  <c r="E6" i="2"/>
  <c r="E12" i="2" s="1"/>
  <c r="D6" i="2"/>
  <c r="D13" i="2" s="1"/>
  <c r="C6" i="2"/>
  <c r="AA67" i="2"/>
  <c r="K40" i="2"/>
  <c r="K59" i="2" s="1"/>
  <c r="I40" i="2"/>
  <c r="I59" i="2" s="1"/>
  <c r="H40" i="2"/>
  <c r="H59" i="2" s="1"/>
  <c r="G40" i="2"/>
  <c r="G59" i="2" s="1"/>
  <c r="K39" i="2"/>
  <c r="K58" i="2" s="1"/>
  <c r="I39" i="2"/>
  <c r="I58" i="2" s="1"/>
  <c r="H39" i="2"/>
  <c r="H58" i="2" s="1"/>
  <c r="G39" i="2"/>
  <c r="G58" i="2" s="1"/>
  <c r="L40" i="2"/>
  <c r="L59" i="2" s="1"/>
  <c r="L39" i="2"/>
  <c r="K9" i="2"/>
  <c r="K8" i="2"/>
  <c r="L9" i="2"/>
  <c r="L8" i="2"/>
  <c r="K6" i="2"/>
  <c r="K13" i="2" s="1"/>
  <c r="I6" i="2"/>
  <c r="H6" i="2"/>
  <c r="H12" i="2" s="1"/>
  <c r="G6" i="2"/>
  <c r="G12" i="2" s="1"/>
  <c r="L6" i="2"/>
  <c r="L13" i="2" s="1"/>
  <c r="AA3" i="2"/>
  <c r="K106" i="2" l="1"/>
  <c r="AF71" i="2"/>
  <c r="AE71" i="2"/>
  <c r="AA104" i="2"/>
  <c r="AA106" i="2" s="1"/>
  <c r="G106" i="2"/>
  <c r="C106" i="2"/>
  <c r="Z104" i="2"/>
  <c r="Z106" i="2" s="1"/>
  <c r="AA94" i="2"/>
  <c r="G89" i="2"/>
  <c r="G91" i="2" s="1"/>
  <c r="G95" i="2"/>
  <c r="G80" i="2"/>
  <c r="G94" i="2"/>
  <c r="G93" i="2"/>
  <c r="H89" i="2"/>
  <c r="H91" i="2" s="1"/>
  <c r="H95" i="2"/>
  <c r="H94" i="2"/>
  <c r="H93" i="2"/>
  <c r="I89" i="2"/>
  <c r="I91" i="2" s="1"/>
  <c r="I94" i="2"/>
  <c r="I95" i="2"/>
  <c r="I93" i="2"/>
  <c r="Z83" i="2"/>
  <c r="F93" i="2"/>
  <c r="F94" i="2"/>
  <c r="F95" i="2"/>
  <c r="J91" i="2"/>
  <c r="AA91" i="2" s="1"/>
  <c r="AA89" i="2"/>
  <c r="Z42" i="2"/>
  <c r="F44" i="2"/>
  <c r="AA42" i="2"/>
  <c r="J44" i="2"/>
  <c r="AA95" i="2"/>
  <c r="AB49" i="2"/>
  <c r="AA93" i="2"/>
  <c r="I13" i="2"/>
  <c r="M10" i="2"/>
  <c r="Z89" i="2"/>
  <c r="L41" i="2"/>
  <c r="E13" i="2"/>
  <c r="Z5" i="2"/>
  <c r="Z9" i="2" s="1"/>
  <c r="Z4" i="2"/>
  <c r="Z8" i="2" s="1"/>
  <c r="Z40" i="2"/>
  <c r="Z59" i="2" s="1"/>
  <c r="Z39" i="2"/>
  <c r="Z58" i="2" s="1"/>
  <c r="G10" i="2"/>
  <c r="E41" i="2"/>
  <c r="E61" i="2" s="1"/>
  <c r="D41" i="2"/>
  <c r="D62" i="2" s="1"/>
  <c r="Y45" i="2"/>
  <c r="Y62" i="2"/>
  <c r="Y61" i="2"/>
  <c r="Y12" i="2"/>
  <c r="Y13" i="2"/>
  <c r="C41" i="2"/>
  <c r="C62" i="2" s="1"/>
  <c r="C12" i="2"/>
  <c r="C13" i="2"/>
  <c r="D12" i="2"/>
  <c r="D58" i="2"/>
  <c r="H10" i="2"/>
  <c r="I10" i="2"/>
  <c r="F59" i="2"/>
  <c r="J9" i="2"/>
  <c r="F41" i="2"/>
  <c r="F6" i="2"/>
  <c r="F13" i="2" s="1"/>
  <c r="F58" i="2"/>
  <c r="J58" i="2"/>
  <c r="J40" i="2"/>
  <c r="J59" i="2" s="1"/>
  <c r="J6" i="2"/>
  <c r="AA6" i="2" s="1"/>
  <c r="AA4" i="2"/>
  <c r="AB4" i="2" s="1"/>
  <c r="AB6" i="2" s="1"/>
  <c r="J8" i="2"/>
  <c r="L58" i="2"/>
  <c r="G41" i="2"/>
  <c r="L61" i="2"/>
  <c r="K10" i="2"/>
  <c r="K41" i="2"/>
  <c r="G13" i="2"/>
  <c r="I12" i="2"/>
  <c r="L10" i="2"/>
  <c r="H41" i="2"/>
  <c r="I41" i="2"/>
  <c r="I96" i="2" s="1"/>
  <c r="K12" i="2"/>
  <c r="L12" i="2"/>
  <c r="H13" i="2"/>
  <c r="AA39" i="2"/>
  <c r="AA58" i="2" s="1"/>
  <c r="L45" i="2"/>
  <c r="L302" i="3"/>
  <c r="L303" i="3" s="1"/>
  <c r="L304" i="3" s="1"/>
  <c r="L300" i="3"/>
  <c r="L299" i="3" s="1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K201" i="3" s="1"/>
  <c r="G189" i="3"/>
  <c r="G188" i="3"/>
  <c r="G187" i="3"/>
  <c r="G186" i="3"/>
  <c r="G185" i="3"/>
  <c r="K198" i="3" s="1"/>
  <c r="G557" i="3"/>
  <c r="AK73" i="2"/>
  <c r="AK79" i="2"/>
  <c r="AK77" i="2"/>
  <c r="AB3" i="2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5" i="1"/>
  <c r="C8" i="1" s="1"/>
  <c r="Z94" i="2" l="1"/>
  <c r="Z93" i="2"/>
  <c r="Z95" i="2"/>
  <c r="AA97" i="2"/>
  <c r="Z97" i="2"/>
  <c r="G97" i="2"/>
  <c r="H97" i="2"/>
  <c r="I97" i="2"/>
  <c r="K97" i="2"/>
  <c r="L97" i="2"/>
  <c r="M97" i="2"/>
  <c r="F97" i="2"/>
  <c r="Z44" i="2"/>
  <c r="AA44" i="2"/>
  <c r="J97" i="2"/>
  <c r="F62" i="2"/>
  <c r="F96" i="2"/>
  <c r="G62" i="2"/>
  <c r="G96" i="2"/>
  <c r="K45" i="2"/>
  <c r="K96" i="2"/>
  <c r="H45" i="2"/>
  <c r="H96" i="2"/>
  <c r="AB13" i="2"/>
  <c r="AB41" i="2"/>
  <c r="AA9" i="2"/>
  <c r="E62" i="2"/>
  <c r="L62" i="2"/>
  <c r="L96" i="2"/>
  <c r="D61" i="2"/>
  <c r="D45" i="2"/>
  <c r="E45" i="2"/>
  <c r="E48" i="2" s="1"/>
  <c r="E52" i="2" s="1"/>
  <c r="E54" i="2" s="1"/>
  <c r="E101" i="2" s="1"/>
  <c r="C61" i="2"/>
  <c r="G61" i="2"/>
  <c r="C45" i="2"/>
  <c r="C60" i="2" s="1"/>
  <c r="Z41" i="2"/>
  <c r="Z96" i="2" s="1"/>
  <c r="Z6" i="2"/>
  <c r="Z12" i="2" s="1"/>
  <c r="AA8" i="2"/>
  <c r="Y60" i="2"/>
  <c r="Y48" i="2"/>
  <c r="F61" i="2"/>
  <c r="J41" i="2"/>
  <c r="AA40" i="2"/>
  <c r="AA59" i="2" s="1"/>
  <c r="J12" i="2"/>
  <c r="F45" i="2"/>
  <c r="F48" i="2" s="1"/>
  <c r="F52" i="2" s="1"/>
  <c r="F54" i="2" s="1"/>
  <c r="F12" i="2"/>
  <c r="J13" i="2"/>
  <c r="J10" i="2"/>
  <c r="L60" i="2"/>
  <c r="L48" i="2"/>
  <c r="I45" i="2"/>
  <c r="I62" i="2"/>
  <c r="I61" i="2"/>
  <c r="H62" i="2"/>
  <c r="H61" i="2"/>
  <c r="K61" i="2"/>
  <c r="K62" i="2"/>
  <c r="AB10" i="2"/>
  <c r="G45" i="2"/>
  <c r="G48" i="2" s="1"/>
  <c r="AA13" i="2"/>
  <c r="AA12" i="2"/>
  <c r="AC5" i="2"/>
  <c r="AB40" i="2"/>
  <c r="AB43" i="2" s="1"/>
  <c r="AC4" i="2"/>
  <c r="AB39" i="2"/>
  <c r="AB42" i="2" s="1"/>
  <c r="AH71" i="2"/>
  <c r="K199" i="3"/>
  <c r="K200" i="3"/>
  <c r="M302" i="3" s="1"/>
  <c r="K202" i="3"/>
  <c r="M303" i="3" s="1"/>
  <c r="L305" i="3"/>
  <c r="L298" i="3"/>
  <c r="AK74" i="2"/>
  <c r="AB12" i="2"/>
  <c r="K60" i="2" l="1"/>
  <c r="K48" i="2"/>
  <c r="H60" i="2"/>
  <c r="H48" i="2"/>
  <c r="J62" i="2"/>
  <c r="J45" i="2"/>
  <c r="AA41" i="2"/>
  <c r="D60" i="2"/>
  <c r="D48" i="2"/>
  <c r="J61" i="2"/>
  <c r="J96" i="2"/>
  <c r="F101" i="2"/>
  <c r="F99" i="2"/>
  <c r="F98" i="2"/>
  <c r="AB44" i="2"/>
  <c r="AD5" i="2"/>
  <c r="AC40" i="2"/>
  <c r="AC43" i="2" s="1"/>
  <c r="AD4" i="2"/>
  <c r="AC39" i="2"/>
  <c r="AC42" i="2" s="1"/>
  <c r="AB47" i="2"/>
  <c r="AB45" i="2"/>
  <c r="AB60" i="2" s="1"/>
  <c r="E63" i="2"/>
  <c r="E60" i="2"/>
  <c r="E64" i="2"/>
  <c r="Z45" i="2"/>
  <c r="Z60" i="2" s="1"/>
  <c r="C48" i="2"/>
  <c r="Z10" i="2"/>
  <c r="Z13" i="2"/>
  <c r="Z61" i="2"/>
  <c r="Z62" i="2"/>
  <c r="AA10" i="2"/>
  <c r="Y52" i="2"/>
  <c r="Y54" i="2" s="1"/>
  <c r="Y63" i="2"/>
  <c r="E56" i="2"/>
  <c r="E65" i="2"/>
  <c r="F63" i="2"/>
  <c r="F60" i="2"/>
  <c r="F64" i="2"/>
  <c r="I60" i="2"/>
  <c r="I48" i="2"/>
  <c r="L52" i="2"/>
  <c r="L63" i="2"/>
  <c r="G52" i="2"/>
  <c r="G63" i="2"/>
  <c r="G60" i="2"/>
  <c r="M299" i="3"/>
  <c r="M304" i="3"/>
  <c r="P220" i="3"/>
  <c r="K203" i="3"/>
  <c r="M300" i="3"/>
  <c r="M301" i="3"/>
  <c r="M298" i="3"/>
  <c r="L297" i="3"/>
  <c r="M305" i="3"/>
  <c r="L306" i="3"/>
  <c r="AC6" i="2"/>
  <c r="AC13" i="2" s="1"/>
  <c r="P210" i="3"/>
  <c r="P209" i="3"/>
  <c r="P212" i="3"/>
  <c r="P219" i="3"/>
  <c r="P211" i="3"/>
  <c r="P222" i="3"/>
  <c r="P218" i="3"/>
  <c r="P214" i="3"/>
  <c r="P217" i="3"/>
  <c r="P221" i="3"/>
  <c r="P216" i="3"/>
  <c r="P213" i="3"/>
  <c r="P215" i="3"/>
  <c r="K52" i="2" l="1"/>
  <c r="K63" i="2"/>
  <c r="H52" i="2"/>
  <c r="H63" i="2"/>
  <c r="AA45" i="2"/>
  <c r="AA60" i="2" s="1"/>
  <c r="J60" i="2"/>
  <c r="J48" i="2"/>
  <c r="AA48" i="2" s="1"/>
  <c r="AA63" i="2" s="1"/>
  <c r="AA96" i="2"/>
  <c r="AA62" i="2"/>
  <c r="AA61" i="2"/>
  <c r="D63" i="2"/>
  <c r="D52" i="2"/>
  <c r="D54" i="2" s="1"/>
  <c r="D101" i="2" s="1"/>
  <c r="Z48" i="2"/>
  <c r="Z63" i="2" s="1"/>
  <c r="C52" i="2"/>
  <c r="AC44" i="2"/>
  <c r="AE5" i="2"/>
  <c r="AD40" i="2"/>
  <c r="AD43" i="2" s="1"/>
  <c r="AD6" i="2"/>
  <c r="AD12" i="2" s="1"/>
  <c r="AC12" i="2"/>
  <c r="AE4" i="2"/>
  <c r="AD39" i="2"/>
  <c r="AD42" i="2" s="1"/>
  <c r="AC10" i="2"/>
  <c r="AC41" i="2"/>
  <c r="C63" i="2"/>
  <c r="G54" i="2"/>
  <c r="Z52" i="2"/>
  <c r="Z64" i="2" s="1"/>
  <c r="C54" i="2"/>
  <c r="Y64" i="2"/>
  <c r="C64" i="2"/>
  <c r="D64" i="2"/>
  <c r="F56" i="2"/>
  <c r="F65" i="2"/>
  <c r="I52" i="2"/>
  <c r="I54" i="2" s="1"/>
  <c r="I63" i="2"/>
  <c r="J52" i="2"/>
  <c r="J63" i="2"/>
  <c r="L64" i="2"/>
  <c r="L54" i="2"/>
  <c r="G64" i="2"/>
  <c r="M306" i="3"/>
  <c r="L307" i="3"/>
  <c r="M297" i="3"/>
  <c r="L296" i="3"/>
  <c r="K64" i="2" l="1"/>
  <c r="K54" i="2"/>
  <c r="H54" i="2"/>
  <c r="H64" i="2"/>
  <c r="G101" i="2"/>
  <c r="G99" i="2"/>
  <c r="G98" i="2"/>
  <c r="I101" i="2"/>
  <c r="I99" i="2"/>
  <c r="I98" i="2"/>
  <c r="L101" i="2"/>
  <c r="L98" i="2"/>
  <c r="L99" i="2"/>
  <c r="AD13" i="2"/>
  <c r="AD41" i="2"/>
  <c r="AD45" i="2" s="1"/>
  <c r="AD10" i="2"/>
  <c r="AD44" i="2"/>
  <c r="AF5" i="2"/>
  <c r="AE40" i="2"/>
  <c r="AE43" i="2" s="1"/>
  <c r="AF4" i="2"/>
  <c r="AE39" i="2"/>
  <c r="AE42" i="2" s="1"/>
  <c r="AE6" i="2"/>
  <c r="AC47" i="2"/>
  <c r="AC46" i="2"/>
  <c r="AC45" i="2"/>
  <c r="Z54" i="2"/>
  <c r="C101" i="2"/>
  <c r="Z101" i="2" s="1"/>
  <c r="AA52" i="2"/>
  <c r="AA64" i="2" s="1"/>
  <c r="Y65" i="2"/>
  <c r="Y56" i="2"/>
  <c r="C56" i="2"/>
  <c r="C65" i="2"/>
  <c r="D56" i="2"/>
  <c r="D65" i="2"/>
  <c r="L56" i="2"/>
  <c r="L65" i="2"/>
  <c r="J54" i="2"/>
  <c r="J64" i="2"/>
  <c r="I64" i="2"/>
  <c r="G56" i="2"/>
  <c r="G65" i="2"/>
  <c r="L295" i="3"/>
  <c r="M296" i="3"/>
  <c r="L308" i="3"/>
  <c r="M307" i="3"/>
  <c r="AD47" i="2" l="1"/>
  <c r="AD46" i="2"/>
  <c r="K101" i="2"/>
  <c r="K99" i="2"/>
  <c r="K98" i="2"/>
  <c r="K56" i="2"/>
  <c r="K65" i="2"/>
  <c r="H65" i="2"/>
  <c r="H56" i="2"/>
  <c r="H98" i="2"/>
  <c r="H99" i="2"/>
  <c r="H101" i="2"/>
  <c r="Z65" i="2"/>
  <c r="Z99" i="2"/>
  <c r="Z98" i="2"/>
  <c r="J99" i="2"/>
  <c r="J98" i="2"/>
  <c r="AG5" i="2"/>
  <c r="AF40" i="2"/>
  <c r="AF43" i="2" s="1"/>
  <c r="AC48" i="2"/>
  <c r="AC63" i="2" s="1"/>
  <c r="AC60" i="2"/>
  <c r="AE41" i="2"/>
  <c r="AE45" i="2" s="1"/>
  <c r="AE13" i="2"/>
  <c r="AE10" i="2"/>
  <c r="AE12" i="2"/>
  <c r="AE44" i="2"/>
  <c r="AD48" i="2"/>
  <c r="AD63" i="2" s="1"/>
  <c r="AD60" i="2"/>
  <c r="AG4" i="2"/>
  <c r="AF39" i="2"/>
  <c r="AF42" i="2" s="1"/>
  <c r="AF6" i="2"/>
  <c r="AF12" i="2" s="1"/>
  <c r="AA54" i="2"/>
  <c r="J101" i="2"/>
  <c r="AA101" i="2" s="1"/>
  <c r="Z56" i="2"/>
  <c r="I56" i="2"/>
  <c r="I65" i="2"/>
  <c r="J56" i="2"/>
  <c r="J65" i="2"/>
  <c r="M295" i="3"/>
  <c r="L294" i="3"/>
  <c r="L309" i="3"/>
  <c r="M308" i="3"/>
  <c r="AA65" i="2" l="1"/>
  <c r="AA99" i="2"/>
  <c r="AA98" i="2"/>
  <c r="AF44" i="2"/>
  <c r="AH5" i="2"/>
  <c r="AG40" i="2"/>
  <c r="AG43" i="2" s="1"/>
  <c r="AE60" i="2"/>
  <c r="AH4" i="2"/>
  <c r="AG39" i="2"/>
  <c r="AG42" i="2" s="1"/>
  <c r="AG6" i="2"/>
  <c r="AG12" i="2" s="1"/>
  <c r="AF41" i="2"/>
  <c r="AF13" i="2"/>
  <c r="AF10" i="2"/>
  <c r="AE46" i="2"/>
  <c r="AE47" i="2"/>
  <c r="AA56" i="2"/>
  <c r="L310" i="3"/>
  <c r="M309" i="3"/>
  <c r="L293" i="3"/>
  <c r="M294" i="3"/>
  <c r="AI5" i="2" l="1"/>
  <c r="AH40" i="2"/>
  <c r="AH43" i="2" s="1"/>
  <c r="AE48" i="2"/>
  <c r="AE63" i="2" s="1"/>
  <c r="AF47" i="2"/>
  <c r="AF46" i="2"/>
  <c r="AF45" i="2"/>
  <c r="AI4" i="2"/>
  <c r="AH39" i="2"/>
  <c r="AH42" i="2" s="1"/>
  <c r="AH6" i="2"/>
  <c r="AG41" i="2"/>
  <c r="AG13" i="2"/>
  <c r="AG10" i="2"/>
  <c r="AG44" i="2"/>
  <c r="L311" i="3"/>
  <c r="M310" i="3"/>
  <c r="L292" i="3"/>
  <c r="M293" i="3"/>
  <c r="AJ5" i="2" l="1"/>
  <c r="AI40" i="2"/>
  <c r="AI43" i="2" s="1"/>
  <c r="AH44" i="2"/>
  <c r="AG47" i="2"/>
  <c r="AG46" i="2"/>
  <c r="AH41" i="2"/>
  <c r="AH13" i="2"/>
  <c r="AH10" i="2"/>
  <c r="AG45" i="2"/>
  <c r="AH12" i="2"/>
  <c r="AJ4" i="2"/>
  <c r="AI39" i="2"/>
  <c r="AI42" i="2" s="1"/>
  <c r="AI6" i="2"/>
  <c r="AF48" i="2"/>
  <c r="AF63" i="2" s="1"/>
  <c r="AF60" i="2"/>
  <c r="L312" i="3"/>
  <c r="M311" i="3"/>
  <c r="M292" i="3"/>
  <c r="L291" i="3"/>
  <c r="AK5" i="2" l="1"/>
  <c r="AJ40" i="2"/>
  <c r="AJ43" i="2" s="1"/>
  <c r="AG48" i="2"/>
  <c r="AG63" i="2" s="1"/>
  <c r="AG60" i="2"/>
  <c r="AI41" i="2"/>
  <c r="AI45" i="2" s="1"/>
  <c r="AI13" i="2"/>
  <c r="AI10" i="2"/>
  <c r="AH47" i="2"/>
  <c r="AH46" i="2"/>
  <c r="AH45" i="2"/>
  <c r="AK4" i="2"/>
  <c r="AJ39" i="2"/>
  <c r="AJ42" i="2" s="1"/>
  <c r="AJ6" i="2"/>
  <c r="AI44" i="2"/>
  <c r="AI12" i="2"/>
  <c r="L290" i="3"/>
  <c r="M291" i="3"/>
  <c r="L313" i="3"/>
  <c r="M312" i="3"/>
  <c r="AJ44" i="2" l="1"/>
  <c r="AL5" i="2"/>
  <c r="AL40" i="2" s="1"/>
  <c r="AL43" i="2" s="1"/>
  <c r="AK40" i="2"/>
  <c r="AK43" i="2" s="1"/>
  <c r="AJ41" i="2"/>
  <c r="AJ13" i="2"/>
  <c r="AJ10" i="2"/>
  <c r="AH60" i="2"/>
  <c r="AH48" i="2"/>
  <c r="AH63" i="2" s="1"/>
  <c r="AI60" i="2"/>
  <c r="AJ12" i="2"/>
  <c r="AI46" i="2"/>
  <c r="AI47" i="2"/>
  <c r="AL4" i="2"/>
  <c r="AK39" i="2"/>
  <c r="AK42" i="2" s="1"/>
  <c r="AK6" i="2"/>
  <c r="M290" i="3"/>
  <c r="L289" i="3"/>
  <c r="M313" i="3"/>
  <c r="L314" i="3"/>
  <c r="AK44" i="2" l="1"/>
  <c r="AI48" i="2"/>
  <c r="AI63" i="2" s="1"/>
  <c r="AK41" i="2"/>
  <c r="AK13" i="2"/>
  <c r="AK10" i="2"/>
  <c r="AK12" i="2"/>
  <c r="AL39" i="2"/>
  <c r="AL42" i="2" s="1"/>
  <c r="AL44" i="2" s="1"/>
  <c r="AL6" i="2"/>
  <c r="AJ46" i="2"/>
  <c r="AJ47" i="2"/>
  <c r="AJ45" i="2"/>
  <c r="M314" i="3"/>
  <c r="L315" i="3"/>
  <c r="M289" i="3"/>
  <c r="L288" i="3"/>
  <c r="AL41" i="2" l="1"/>
  <c r="AL13" i="2"/>
  <c r="AL10" i="2"/>
  <c r="AL12" i="2"/>
  <c r="AJ48" i="2"/>
  <c r="AJ63" i="2" s="1"/>
  <c r="AJ60" i="2"/>
  <c r="AK47" i="2"/>
  <c r="AK46" i="2"/>
  <c r="AK45" i="2"/>
  <c r="L287" i="3"/>
  <c r="M288" i="3"/>
  <c r="L316" i="3"/>
  <c r="M315" i="3"/>
  <c r="AK48" i="2" l="1"/>
  <c r="AK63" i="2" s="1"/>
  <c r="AK60" i="2"/>
  <c r="AL46" i="2"/>
  <c r="AL47" i="2"/>
  <c r="AL45" i="2"/>
  <c r="L317" i="3"/>
  <c r="M316" i="3"/>
  <c r="M287" i="3"/>
  <c r="L286" i="3"/>
  <c r="AL48" i="2" l="1"/>
  <c r="AL63" i="2" s="1"/>
  <c r="AL60" i="2"/>
  <c r="L285" i="3"/>
  <c r="M286" i="3"/>
  <c r="L318" i="3"/>
  <c r="M317" i="3"/>
  <c r="M318" i="3" l="1"/>
  <c r="L319" i="3"/>
  <c r="L284" i="3"/>
  <c r="M285" i="3"/>
  <c r="M284" i="3" l="1"/>
  <c r="L283" i="3"/>
  <c r="L320" i="3"/>
  <c r="M319" i="3"/>
  <c r="L321" i="3" l="1"/>
  <c r="M320" i="3"/>
  <c r="M283" i="3"/>
  <c r="L282" i="3"/>
  <c r="L322" i="3" l="1"/>
  <c r="M321" i="3"/>
  <c r="M282" i="3"/>
  <c r="L281" i="3"/>
  <c r="L323" i="3" l="1"/>
  <c r="M322" i="3"/>
  <c r="M281" i="3"/>
  <c r="L280" i="3"/>
  <c r="L324" i="3" l="1"/>
  <c r="M323" i="3"/>
  <c r="L279" i="3"/>
  <c r="M280" i="3"/>
  <c r="L325" i="3" l="1"/>
  <c r="M324" i="3"/>
  <c r="L278" i="3"/>
  <c r="M279" i="3"/>
  <c r="L326" i="3" l="1"/>
  <c r="M325" i="3"/>
  <c r="L277" i="3"/>
  <c r="M278" i="3"/>
  <c r="L327" i="3" l="1"/>
  <c r="M326" i="3"/>
  <c r="L276" i="3"/>
  <c r="M277" i="3"/>
  <c r="L328" i="3" l="1"/>
  <c r="M327" i="3"/>
  <c r="M276" i="3"/>
  <c r="L275" i="3"/>
  <c r="L329" i="3" l="1"/>
  <c r="M328" i="3"/>
  <c r="M275" i="3"/>
  <c r="L274" i="3"/>
  <c r="L330" i="3" l="1"/>
  <c r="M329" i="3"/>
  <c r="L273" i="3"/>
  <c r="M274" i="3"/>
  <c r="L331" i="3" l="1"/>
  <c r="M330" i="3"/>
  <c r="M273" i="3"/>
  <c r="L272" i="3"/>
  <c r="L332" i="3" l="1"/>
  <c r="M331" i="3"/>
  <c r="L271" i="3"/>
  <c r="M272" i="3"/>
  <c r="L333" i="3" l="1"/>
  <c r="M332" i="3"/>
  <c r="M271" i="3"/>
  <c r="L270" i="3"/>
  <c r="L334" i="3" l="1"/>
  <c r="M333" i="3"/>
  <c r="L269" i="3"/>
  <c r="M270" i="3"/>
  <c r="L335" i="3" l="1"/>
  <c r="M334" i="3"/>
  <c r="L268" i="3"/>
  <c r="M269" i="3"/>
  <c r="L336" i="3" l="1"/>
  <c r="M335" i="3"/>
  <c r="M268" i="3"/>
  <c r="L267" i="3"/>
  <c r="L337" i="3" l="1"/>
  <c r="M336" i="3"/>
  <c r="M267" i="3"/>
  <c r="L266" i="3"/>
  <c r="L338" i="3" l="1"/>
  <c r="M337" i="3"/>
  <c r="M266" i="3"/>
  <c r="L265" i="3"/>
  <c r="L339" i="3" l="1"/>
  <c r="M338" i="3"/>
  <c r="M265" i="3"/>
  <c r="L264" i="3"/>
  <c r="L340" i="3" l="1"/>
  <c r="M339" i="3"/>
  <c r="L263" i="3"/>
  <c r="M264" i="3"/>
  <c r="L341" i="3" l="1"/>
  <c r="M340" i="3"/>
  <c r="L262" i="3"/>
  <c r="M263" i="3"/>
  <c r="L342" i="3" l="1"/>
  <c r="M341" i="3"/>
  <c r="L261" i="3"/>
  <c r="M262" i="3"/>
  <c r="L343" i="3" l="1"/>
  <c r="M342" i="3"/>
  <c r="L260" i="3"/>
  <c r="M261" i="3"/>
  <c r="L344" i="3" l="1"/>
  <c r="M343" i="3"/>
  <c r="M260" i="3"/>
  <c r="L259" i="3"/>
  <c r="L345" i="3" l="1"/>
  <c r="M344" i="3"/>
  <c r="M259" i="3"/>
  <c r="L258" i="3"/>
  <c r="L346" i="3" l="1"/>
  <c r="M345" i="3"/>
  <c r="M258" i="3"/>
  <c r="L257" i="3"/>
  <c r="L347" i="3" l="1"/>
  <c r="M346" i="3"/>
  <c r="M257" i="3"/>
  <c r="L256" i="3"/>
  <c r="L348" i="3" l="1"/>
  <c r="M347" i="3"/>
  <c r="L255" i="3"/>
  <c r="M256" i="3"/>
  <c r="L349" i="3" l="1"/>
  <c r="M348" i="3"/>
  <c r="L254" i="3"/>
  <c r="M255" i="3"/>
  <c r="L350" i="3" l="1"/>
  <c r="M349" i="3"/>
  <c r="L253" i="3"/>
  <c r="M254" i="3"/>
  <c r="L351" i="3" l="1"/>
  <c r="M350" i="3"/>
  <c r="L252" i="3"/>
  <c r="M253" i="3"/>
  <c r="L352" i="3" l="1"/>
  <c r="M351" i="3"/>
  <c r="M252" i="3"/>
  <c r="L251" i="3"/>
  <c r="L353" i="3" l="1"/>
  <c r="M352" i="3"/>
  <c r="M251" i="3"/>
  <c r="L250" i="3"/>
  <c r="L354" i="3" l="1"/>
  <c r="M353" i="3"/>
  <c r="L249" i="3"/>
  <c r="M250" i="3"/>
  <c r="L355" i="3" l="1"/>
  <c r="M354" i="3"/>
  <c r="M249" i="3"/>
  <c r="L248" i="3"/>
  <c r="L356" i="3" l="1"/>
  <c r="M355" i="3"/>
  <c r="L247" i="3"/>
  <c r="M248" i="3"/>
  <c r="L357" i="3" l="1"/>
  <c r="M356" i="3"/>
  <c r="M247" i="3"/>
  <c r="L246" i="3"/>
  <c r="L358" i="3" l="1"/>
  <c r="M357" i="3"/>
  <c r="L245" i="3"/>
  <c r="M246" i="3"/>
  <c r="L359" i="3" l="1"/>
  <c r="M358" i="3"/>
  <c r="L244" i="3"/>
  <c r="M245" i="3"/>
  <c r="L360" i="3" l="1"/>
  <c r="M359" i="3"/>
  <c r="M244" i="3"/>
  <c r="L243" i="3"/>
  <c r="L361" i="3" l="1"/>
  <c r="M360" i="3"/>
  <c r="M243" i="3"/>
  <c r="L242" i="3"/>
  <c r="L362" i="3" l="1"/>
  <c r="M361" i="3"/>
  <c r="M242" i="3"/>
  <c r="L241" i="3"/>
  <c r="L363" i="3" l="1"/>
  <c r="M362" i="3"/>
  <c r="M241" i="3"/>
  <c r="L240" i="3"/>
  <c r="L364" i="3" l="1"/>
  <c r="M363" i="3"/>
  <c r="L239" i="3"/>
  <c r="M240" i="3"/>
  <c r="L365" i="3" l="1"/>
  <c r="M364" i="3"/>
  <c r="L238" i="3"/>
  <c r="M239" i="3"/>
  <c r="L366" i="3" l="1"/>
  <c r="M365" i="3"/>
  <c r="L237" i="3"/>
  <c r="M238" i="3"/>
  <c r="L367" i="3" l="1"/>
  <c r="M366" i="3"/>
  <c r="L236" i="3"/>
  <c r="M237" i="3"/>
  <c r="L368" i="3" l="1"/>
  <c r="M367" i="3"/>
  <c r="M236" i="3"/>
  <c r="L235" i="3"/>
  <c r="L369" i="3" l="1"/>
  <c r="M368" i="3"/>
  <c r="M235" i="3"/>
  <c r="L234" i="3"/>
  <c r="L370" i="3" l="1"/>
  <c r="M369" i="3"/>
  <c r="L233" i="3"/>
  <c r="M234" i="3"/>
  <c r="L371" i="3" l="1"/>
  <c r="M370" i="3"/>
  <c r="M233" i="3"/>
  <c r="L232" i="3"/>
  <c r="L372" i="3" l="1"/>
  <c r="M371" i="3"/>
  <c r="L231" i="3"/>
  <c r="M232" i="3"/>
  <c r="L373" i="3" l="1"/>
  <c r="M372" i="3"/>
  <c r="L230" i="3"/>
  <c r="M231" i="3"/>
  <c r="L374" i="3" l="1"/>
  <c r="M373" i="3"/>
  <c r="L229" i="3"/>
  <c r="M230" i="3"/>
  <c r="L375" i="3" l="1"/>
  <c r="M374" i="3"/>
  <c r="L228" i="3"/>
  <c r="M229" i="3"/>
  <c r="L376" i="3" l="1"/>
  <c r="M375" i="3"/>
  <c r="M228" i="3"/>
  <c r="L227" i="3"/>
  <c r="L377" i="3" l="1"/>
  <c r="M376" i="3"/>
  <c r="M227" i="3"/>
  <c r="L226" i="3"/>
  <c r="L378" i="3" l="1"/>
  <c r="M377" i="3"/>
  <c r="M226" i="3"/>
  <c r="L225" i="3"/>
  <c r="L379" i="3" l="1"/>
  <c r="M378" i="3"/>
  <c r="M225" i="3"/>
  <c r="L224" i="3"/>
  <c r="L380" i="3" l="1"/>
  <c r="M379" i="3"/>
  <c r="L223" i="3"/>
  <c r="M224" i="3"/>
  <c r="L381" i="3" l="1"/>
  <c r="M380" i="3"/>
  <c r="L222" i="3"/>
  <c r="M223" i="3"/>
  <c r="L382" i="3" l="1"/>
  <c r="M381" i="3"/>
  <c r="L221" i="3"/>
  <c r="M222" i="3"/>
  <c r="L383" i="3" l="1"/>
  <c r="M382" i="3"/>
  <c r="L220" i="3"/>
  <c r="M221" i="3"/>
  <c r="L384" i="3" l="1"/>
  <c r="M383" i="3"/>
  <c r="M220" i="3"/>
  <c r="L219" i="3"/>
  <c r="L385" i="3" l="1"/>
  <c r="M384" i="3"/>
  <c r="M219" i="3"/>
  <c r="L218" i="3"/>
  <c r="L386" i="3" l="1"/>
  <c r="M385" i="3"/>
  <c r="L217" i="3"/>
  <c r="M218" i="3"/>
  <c r="L387" i="3" l="1"/>
  <c r="M386" i="3"/>
  <c r="M217" i="3"/>
  <c r="L216" i="3"/>
  <c r="L388" i="3" l="1"/>
  <c r="M387" i="3"/>
  <c r="L215" i="3"/>
  <c r="M216" i="3"/>
  <c r="L389" i="3" l="1"/>
  <c r="M388" i="3"/>
  <c r="L214" i="3"/>
  <c r="M215" i="3"/>
  <c r="L390" i="3" l="1"/>
  <c r="M389" i="3"/>
  <c r="L213" i="3"/>
  <c r="M214" i="3"/>
  <c r="L391" i="3" l="1"/>
  <c r="M390" i="3"/>
  <c r="L212" i="3"/>
  <c r="M213" i="3"/>
  <c r="L392" i="3" l="1"/>
  <c r="M391" i="3"/>
  <c r="M212" i="3"/>
  <c r="L211" i="3"/>
  <c r="M392" i="3" l="1"/>
  <c r="L393" i="3"/>
  <c r="M393" i="3" s="1"/>
  <c r="M211" i="3"/>
  <c r="L210" i="3"/>
  <c r="L209" i="3" l="1"/>
  <c r="M209" i="3" s="1"/>
  <c r="M210" i="3"/>
  <c r="AB46" i="2" l="1"/>
  <c r="AB48" i="2" s="1"/>
  <c r="AB63" i="2" s="1"/>
  <c r="AC71" i="2" l="1"/>
  <c r="AC72" i="2" s="1"/>
  <c r="AB52" i="2"/>
  <c r="AB53" i="2" l="1"/>
  <c r="AB54" i="2" s="1"/>
  <c r="AB67" i="2" l="1"/>
  <c r="AC49" i="2" l="1"/>
  <c r="AC52" i="2" s="1"/>
  <c r="AC53" i="2" l="1"/>
  <c r="AC54" i="2" s="1"/>
  <c r="AC67" i="2" l="1"/>
  <c r="AD49" i="2" l="1"/>
  <c r="AD52" i="2" s="1"/>
  <c r="AD53" i="2" l="1"/>
  <c r="AD54" i="2" s="1"/>
  <c r="AD67" i="2" l="1"/>
  <c r="AE49" i="2" l="1"/>
  <c r="AE52" i="2" s="1"/>
  <c r="AE53" i="2" l="1"/>
  <c r="AE54" i="2" s="1"/>
  <c r="AE67" i="2" l="1"/>
  <c r="AF49" i="2" l="1"/>
  <c r="AF52" i="2" s="1"/>
  <c r="AF53" i="2" l="1"/>
  <c r="AF54" i="2" s="1"/>
  <c r="AF67" i="2" l="1"/>
  <c r="AG49" i="2" l="1"/>
  <c r="AG52" i="2" s="1"/>
  <c r="AG53" i="2" l="1"/>
  <c r="AG54" i="2" s="1"/>
  <c r="AG67" i="2" s="1"/>
  <c r="AH49" i="2" l="1"/>
  <c r="AH52" i="2" s="1"/>
  <c r="AH53" i="2" l="1"/>
  <c r="AH54" i="2" s="1"/>
  <c r="AH67" i="2" s="1"/>
  <c r="AI49" i="2" l="1"/>
  <c r="AI52" i="2" s="1"/>
  <c r="AI53" i="2" l="1"/>
  <c r="AI54" i="2" s="1"/>
  <c r="AI67" i="2" s="1"/>
  <c r="AJ49" i="2" l="1"/>
  <c r="AJ52" i="2" s="1"/>
  <c r="AJ53" i="2" l="1"/>
  <c r="AJ54" i="2" s="1"/>
  <c r="AJ67" i="2" s="1"/>
  <c r="AK49" i="2" l="1"/>
  <c r="AK52" i="2" s="1"/>
  <c r="AK53" i="2" l="1"/>
  <c r="AK54" i="2" s="1"/>
  <c r="AK67" i="2" s="1"/>
  <c r="AL49" i="2" l="1"/>
  <c r="AL52" i="2" s="1"/>
  <c r="AL53" i="2" l="1"/>
  <c r="AL54" i="2" s="1"/>
  <c r="AM54" i="2" l="1"/>
  <c r="AN54" i="2" s="1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Y54" i="2" s="1"/>
  <c r="AZ54" i="2" s="1"/>
  <c r="BA54" i="2" s="1"/>
  <c r="BB54" i="2" s="1"/>
  <c r="BC54" i="2" s="1"/>
  <c r="BD54" i="2" s="1"/>
  <c r="BE54" i="2" s="1"/>
  <c r="BF54" i="2" s="1"/>
  <c r="BG54" i="2" s="1"/>
  <c r="BH54" i="2" s="1"/>
  <c r="BI54" i="2" s="1"/>
  <c r="BJ54" i="2" s="1"/>
  <c r="BK54" i="2" s="1"/>
  <c r="BL54" i="2" s="1"/>
  <c r="BM54" i="2" s="1"/>
  <c r="BN54" i="2" s="1"/>
  <c r="BO54" i="2" s="1"/>
  <c r="BP54" i="2" s="1"/>
  <c r="BQ54" i="2" s="1"/>
  <c r="BR54" i="2" s="1"/>
  <c r="BS54" i="2" s="1"/>
  <c r="BT54" i="2" s="1"/>
  <c r="BU54" i="2" s="1"/>
  <c r="BV54" i="2" s="1"/>
  <c r="BW54" i="2" s="1"/>
  <c r="BX54" i="2" s="1"/>
  <c r="BY54" i="2" s="1"/>
  <c r="BZ54" i="2" s="1"/>
  <c r="CA54" i="2" s="1"/>
  <c r="CB54" i="2" s="1"/>
  <c r="CC54" i="2" s="1"/>
  <c r="CD54" i="2" s="1"/>
  <c r="CE54" i="2" s="1"/>
  <c r="CF54" i="2" s="1"/>
  <c r="CG54" i="2" s="1"/>
  <c r="CH54" i="2" s="1"/>
  <c r="CI54" i="2" s="1"/>
  <c r="CJ54" i="2" s="1"/>
  <c r="AK76" i="2" s="1"/>
  <c r="AK78" i="2" s="1"/>
  <c r="AK80" i="2" s="1"/>
  <c r="AL67" i="2"/>
  <c r="AL80" i="2" l="1"/>
  <c r="AJ81" i="2" a="1"/>
  <c r="AJ81" i="2" s="1"/>
  <c r="AB19" i="2"/>
  <c r="AC19" i="2" l="1"/>
  <c r="AB28" i="2"/>
  <c r="AB33" i="2" s="1"/>
  <c r="AC28" i="2" l="1"/>
  <c r="AC33" i="2" s="1"/>
  <c r="AD19" i="2"/>
  <c r="AD28" i="2" l="1"/>
  <c r="AD33" i="2" s="1"/>
  <c r="AE19" i="2"/>
  <c r="AE28" i="2" l="1"/>
  <c r="AE33" i="2" s="1"/>
  <c r="AF19" i="2"/>
  <c r="AF28" i="2" l="1"/>
  <c r="AF33" i="2" s="1"/>
  <c r="AG19" i="2"/>
  <c r="AG28" i="2" l="1"/>
  <c r="AG33" i="2" s="1"/>
  <c r="AH19" i="2"/>
  <c r="AH28" i="2" l="1"/>
  <c r="AH33" i="2" s="1"/>
  <c r="AI19" i="2"/>
  <c r="AI28" i="2" l="1"/>
  <c r="AI33" i="2" s="1"/>
  <c r="AJ19" i="2"/>
  <c r="AJ28" i="2" l="1"/>
  <c r="AJ33" i="2" s="1"/>
  <c r="AK19" i="2"/>
  <c r="AK28" i="2" l="1"/>
  <c r="AK33" i="2" s="1"/>
  <c r="AL19" i="2"/>
  <c r="AL28" i="2" s="1"/>
  <c r="AL3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<sst xmlns="http://schemas.openxmlformats.org/spreadsheetml/2006/main" count="648" uniqueCount="610">
  <si>
    <t xml:space="preserve">Price </t>
  </si>
  <si>
    <t>SO</t>
  </si>
  <si>
    <t>MC</t>
  </si>
  <si>
    <t>Cash</t>
  </si>
  <si>
    <t>Debt</t>
  </si>
  <si>
    <t>EV</t>
  </si>
  <si>
    <t>Registered Exchange: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</si>
  <si>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</si>
  <si>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</si>
  <si>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</si>
  <si>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</si>
  <si>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</si>
  <si>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</si>
  <si>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</si>
  <si>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</si>
  <si>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</si>
  <si>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</si>
  <si>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</si>
  <si>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</si>
  <si>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</si>
  <si>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</si>
  <si>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</si>
  <si>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</si>
  <si>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</si>
  <si>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</si>
  <si>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</si>
  <si>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</si>
  <si>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</si>
  <si>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</si>
  <si>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</si>
  <si>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</si>
  <si>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</si>
  <si>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</si>
  <si>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</si>
  <si>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</si>
  <si>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</si>
  <si>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</si>
  <si>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</si>
  <si>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</si>
  <si>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</si>
  <si>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</si>
  <si>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</si>
  <si>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</si>
  <si>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</si>
  <si>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</si>
  <si>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</si>
  <si>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</si>
  <si>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</si>
  <si>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</si>
  <si>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</si>
  <si>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</si>
  <si>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</si>
  <si>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</si>
  <si>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</si>
  <si>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</si>
  <si>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</si>
  <si>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</si>
  <si>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</si>
  <si>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</si>
  <si>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</si>
  <si>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[Use for Graphing]</t>
  </si>
  <si>
    <t>Quarterly</t>
  </si>
  <si>
    <t>Revenues</t>
  </si>
  <si>
    <t>Ttl Revenues</t>
  </si>
  <si>
    <t>COGS</t>
  </si>
  <si>
    <t>GP</t>
  </si>
  <si>
    <t>Gross Profit Margin</t>
  </si>
  <si>
    <t>R&amp;D as % of Revenue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</si>
  <si>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</si>
  <si>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</si>
  <si>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</si>
  <si>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</si>
  <si>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</si>
  <si>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</si>
  <si>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</si>
  <si>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</si>
  <si>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Ttl Asset Turnover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</si>
  <si>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</si>
  <si>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</si>
  <si>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</si>
  <si>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</si>
  <si>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</si>
  <si>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</si>
  <si>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</si>
  <si>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</si>
  <si>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</si>
  <si>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</si>
  <si>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</si>
  <si>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</si>
  <si>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</si>
  <si>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</si>
  <si>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</si>
  <si>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</si>
  <si>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</si>
  <si>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</si>
  <si>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</si>
  <si>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</si>
  <si>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</si>
  <si>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</si>
  <si>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</si>
  <si>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</si>
  <si>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</si>
  <si>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</si>
  <si>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Address: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</si>
  <si>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</si>
  <si>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</si>
  <si>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</si>
  <si>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</si>
  <si>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</si>
  <si>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</si>
  <si>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</si>
  <si>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Institutional Ownership Snapshot Q2'25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</si>
  <si>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</si>
  <si>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</si>
  <si>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</si>
  <si>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</si>
  <si>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</si>
  <si>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</si>
  <si>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</si>
  <si>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AVG Invested Capital</t>
  </si>
  <si>
    <t>ROIC</t>
  </si>
  <si>
    <t>2023-2024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</si>
  <si>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</si>
  <si>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</si>
  <si>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</si>
  <si>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</si>
  <si>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</si>
  <si>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</si>
  <si>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Q2'25</t>
  </si>
  <si>
    <t>FV</t>
  </si>
  <si>
    <t>CP</t>
  </si>
  <si>
    <t>Change Δ</t>
  </si>
  <si>
    <t>GEV</t>
  </si>
  <si>
    <t>GE Vernova Inc. (GEV)</t>
  </si>
  <si>
    <t>58 Charles Street, Cambridge, MA 02141 U.S.</t>
  </si>
  <si>
    <t>(617) 674 - 7555</t>
  </si>
  <si>
    <t>Headquarters: Cambridge, MA</t>
  </si>
  <si>
    <t>Current CEO: Scott Strazik</t>
  </si>
  <si>
    <t>Employees: 76,800</t>
  </si>
  <si>
    <t>Industry: Specialized Industrial Machinery - Power Generation</t>
  </si>
  <si>
    <t>Sector: Industrials</t>
  </si>
  <si>
    <t>Founded: 2023 … Spin-off from GE breakup in April, 2024</t>
  </si>
  <si>
    <t>Founder(s): General Electric</t>
  </si>
  <si>
    <t>IPO: April 2, 2024</t>
  </si>
  <si>
    <t>Fiscal Year: [January - December]</t>
  </si>
  <si>
    <t>https://www.sec.gov/edgar/browse/?CIK=1996810&amp;owner=exclude</t>
  </si>
  <si>
    <t>https://www.gevernova.com/</t>
  </si>
  <si>
    <t>https://www.gevernova.com/investors</t>
  </si>
  <si>
    <t>https://seekingalpha.com/symbol/GEV</t>
  </si>
  <si>
    <t>https://stockanalysis.com/stocks/gev/company/</t>
  </si>
  <si>
    <t>https://www.macrotrends.net/stocks/charts/GEV/ge-vernova/income-statement?freq=A</t>
  </si>
  <si>
    <t>https://www.gurufocus.com/term/wacc/GEV</t>
  </si>
  <si>
    <t>GE Vernova is a leading, newly independent global energy technology company focused on the transition to cleaner, more reliable, and affordable electricity</t>
  </si>
  <si>
    <t>Spun off from General Electric in early 2024, the company consolidates GE’s power (gas, nuclear, grid), renewables (wind, hydro), and electrification businesses to serve as a “pure play” in the electrification, decarbonization, and resiliency trends sweeping the global energy sector</t>
  </si>
  <si>
    <t>The company was incorporated in 2023 and is headquartered in Cambridge, Massachusetts</t>
  </si>
  <si>
    <t>Key Segments:</t>
  </si>
  <si>
    <t>Powers nearly a quarter of global electricity</t>
  </si>
  <si>
    <t>Investigate install base geography mix, demand for turbines, the company's annual throughput of turbines, and The Company's backlog … datacenter buildout and the power demand have kicked demand into overdrive</t>
  </si>
  <si>
    <t>Designs, manufactures, installs and services gas power turbines (over 7,000 installed globally), nuclear, and steam generating equipment, along with aftermarket services</t>
  </si>
  <si>
    <t>Designs, manufactures, installs and services onshore and offshore wind turbine systems</t>
  </si>
  <si>
    <t>Increased regulatory scrunity from current administration … was already a challenged segment with supply chain, and order headwinds mentioned by management</t>
  </si>
  <si>
    <t>Designs, manufactures, installs and services grid hardware (transformers, switchgear, digital substations), grid automation software, and smart electrification solutions</t>
  </si>
  <si>
    <t xml:space="preserve">Electrification has been the fastest-growing segment … Managers have expressed focusing on AI-driven grid software investments </t>
  </si>
  <si>
    <t>Managers are focused on increasing turbine production, global manufacturing footprint expansion, and investments in energy storage</t>
  </si>
  <si>
    <t>Core business supplies up to a quarter of world’s power, diversified across gas, nuclear, wind, and digital grid</t>
  </si>
  <si>
    <t>Beneficiary of surging demand from AI/data center electrification, aging grid infrastructure, and global decarbonization policy</t>
  </si>
  <si>
    <t>Challenges is portions of the renewable segements along with Carbon Credit market shifts due to current Admin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</si>
  <si>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</si>
  <si>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</si>
  <si>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</si>
  <si>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</si>
  <si>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</si>
  <si>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</si>
  <si>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</si>
  <si>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</si>
  <si>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</si>
  <si>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</si>
  <si>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</si>
  <si>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</si>
  <si>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</si>
  <si>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</si>
  <si>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</si>
  <si>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</si>
  <si>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</si>
  <si>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</si>
  <si>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</si>
  <si>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</si>
  <si>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</si>
  <si>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</si>
  <si>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</si>
  <si>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</si>
  <si>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</si>
  <si>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</si>
  <si>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</si>
  <si>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</si>
  <si>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</si>
  <si>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</si>
  <si>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</si>
  <si>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</si>
  <si>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</si>
  <si>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</si>
  <si>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</si>
  <si>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</si>
  <si>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</si>
  <si>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</si>
  <si>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</si>
  <si>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</si>
  <si>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</si>
  <si>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</si>
  <si>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</si>
  <si>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</si>
  <si>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</si>
  <si>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</si>
  <si>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</si>
  <si>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</si>
  <si>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</si>
  <si>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</si>
  <si>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</si>
  <si>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</si>
  <si>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</si>
  <si>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</si>
  <si>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</si>
  <si>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</si>
  <si>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</si>
  <si>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</si>
  <si>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</si>
  <si>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</si>
  <si>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</si>
  <si>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</si>
  <si>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</si>
  <si>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</si>
  <si>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</si>
  <si>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</si>
  <si>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</si>
  <si>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</si>
  <si>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</si>
  <si>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</si>
  <si>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</si>
  <si>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</si>
  <si>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</si>
  <si>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</si>
  <si>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</si>
  <si>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</si>
  <si>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</si>
  <si>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</si>
  <si>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</si>
  <si>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</si>
  <si>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</si>
  <si>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</si>
  <si>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</si>
  <si>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</si>
  <si>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</si>
  <si>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</si>
  <si>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</si>
  <si>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</si>
  <si>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</si>
  <si>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</si>
  <si>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</si>
  <si>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</si>
  <si>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</si>
  <si>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</si>
  <si>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</si>
  <si>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</si>
  <si>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</si>
  <si>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</si>
  <si>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</si>
  <si>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</si>
  <si>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</si>
  <si>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</si>
  <si>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</si>
  <si>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</si>
  <si>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</si>
  <si>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</si>
  <si>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</si>
  <si>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</si>
  <si>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</si>
  <si>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</si>
  <si>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</si>
  <si>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</si>
  <si>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</si>
  <si>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</si>
  <si>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</si>
  <si>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</si>
  <si>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</si>
  <si>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</si>
  <si>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</si>
  <si>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</si>
  <si>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</si>
  <si>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</si>
  <si>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</si>
  <si>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</si>
  <si>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</si>
  <si>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</si>
  <si>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</si>
  <si>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</si>
  <si>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</si>
  <si>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</si>
  <si>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</si>
  <si>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</si>
  <si>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</si>
  <si>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</si>
  <si>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</si>
  <si>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</si>
  <si>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</si>
  <si>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</si>
  <si>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</si>
  <si>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</si>
  <si>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</si>
  <si>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</si>
  <si>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</si>
  <si>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</si>
  <si>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</si>
  <si>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</si>
  <si>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</si>
  <si>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</si>
  <si>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</si>
  <si>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</si>
  <si>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</si>
  <si>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</si>
  <si>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</si>
  <si>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</si>
  <si>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</si>
  <si>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</si>
  <si>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</si>
  <si>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</si>
  <si>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</si>
  <si>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</si>
  <si>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</si>
  <si>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</si>
  <si>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</si>
  <si>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</si>
  <si>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</si>
  <si>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</si>
  <si>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</si>
  <si>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</si>
  <si>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</si>
  <si>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</si>
  <si>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</si>
  <si>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</si>
  <si>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</si>
  <si>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</si>
  <si>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</si>
  <si>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</si>
  <si>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</si>
  <si>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</si>
  <si>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</si>
  <si>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</si>
  <si>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</si>
  <si>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</si>
  <si>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</si>
  <si>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</si>
  <si>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</si>
  <si>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</si>
  <si>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</si>
  <si>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</si>
  <si>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</si>
  <si>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</si>
  <si>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</si>
  <si>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</si>
  <si>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</si>
  <si>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</si>
  <si>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</si>
  <si>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</si>
  <si>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</si>
  <si>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</si>
  <si>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</si>
  <si>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</si>
  <si>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</si>
  <si>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</si>
  <si>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</si>
  <si>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</si>
  <si>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</si>
  <si>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</si>
  <si>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</si>
  <si>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</si>
  <si>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</si>
  <si>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</si>
  <si>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</si>
  <si>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</si>
  <si>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</si>
  <si>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</si>
  <si>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</si>
  <si>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</si>
  <si>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</si>
  <si>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</si>
  <si>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</si>
  <si>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</si>
  <si>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</si>
  <si>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</si>
  <si>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</si>
  <si>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</si>
  <si>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</si>
  <si>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</si>
  <si>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</si>
  <si>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</si>
  <si>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</si>
  <si>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</si>
  <si>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</si>
  <si>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</si>
  <si>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</si>
  <si>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</si>
  <si>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</si>
  <si>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</si>
  <si>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</si>
  <si>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</si>
  <si>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</si>
  <si>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</si>
  <si>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</si>
  <si>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</si>
  <si>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</si>
  <si>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</si>
  <si>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</si>
  <si>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</si>
  <si>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</si>
  <si>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</si>
  <si>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</si>
  <si>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</si>
  <si>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</si>
  <si>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</si>
  <si>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</si>
  <si>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</si>
  <si>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</si>
  <si>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</si>
  <si>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</si>
  <si>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</si>
  <si>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</si>
  <si>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</si>
  <si>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</si>
  <si>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</si>
  <si>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</si>
  <si>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</si>
  <si>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</si>
  <si>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</si>
  <si>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</si>
  <si>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</si>
  <si>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</si>
  <si>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</si>
  <si>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</si>
  <si>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</si>
  <si>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</si>
  <si>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</si>
  <si>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</si>
  <si>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</si>
  <si>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</si>
  <si>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</si>
  <si>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</si>
  <si>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</si>
  <si>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</si>
  <si>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</si>
  <si>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</si>
  <si>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</si>
  <si>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</si>
  <si>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</si>
  <si>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</si>
  <si>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</si>
  <si>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</si>
  <si>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</si>
  <si>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</si>
  <si>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</si>
  <si>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</si>
  <si>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</si>
  <si>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</si>
  <si>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</si>
  <si>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</si>
  <si>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</si>
  <si>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</si>
  <si>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</si>
  <si>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</si>
  <si>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</si>
  <si>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</si>
  <si>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</si>
  <si>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</si>
  <si>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</si>
  <si>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</si>
  <si>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</si>
  <si>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</si>
  <si>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</si>
  <si>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</si>
  <si>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</si>
  <si>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</si>
  <si>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</si>
  <si>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</si>
  <si>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</si>
  <si>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</si>
  <si>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</si>
  <si>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</si>
  <si>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</si>
  <si>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</si>
  <si>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</si>
  <si>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</si>
  <si>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</si>
  <si>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</si>
  <si>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</si>
  <si>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</si>
  <si>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</si>
  <si>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</si>
  <si>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</si>
  <si>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</si>
  <si>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</si>
  <si>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</si>
  <si>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</si>
  <si>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</si>
  <si>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</si>
  <si>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</si>
  <si>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</si>
  <si>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</si>
  <si>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</si>
  <si>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</si>
  <si>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</si>
  <si>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</si>
  <si>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</si>
  <si>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</si>
  <si>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</si>
  <si>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</si>
  <si>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</si>
  <si>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</si>
  <si>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</si>
  <si>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</si>
  <si>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</si>
  <si>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</si>
  <si>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</si>
  <si>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</si>
  <si>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</si>
  <si>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</si>
  <si>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</si>
  <si>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</si>
  <si>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</si>
  <si>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</si>
  <si>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</si>
  <si>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</si>
  <si>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</si>
  <si>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</si>
  <si>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</si>
  <si>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</si>
  <si>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</si>
  <si>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</si>
  <si>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</si>
  <si>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</si>
  <si>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</si>
  <si>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</si>
  <si>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r>
      <rPr>
        <i/>
        <sz val="11"/>
        <color theme="1"/>
        <rFont val="Calibre"/>
      </rPr>
      <t xml:space="preserve">373 </t>
    </r>
    <r>
      <rPr>
        <sz val="11"/>
        <color theme="1"/>
        <rFont val="Calibre"/>
      </rPr>
      <t>Trading Days (From: 3/27/24 - 9/24/25)</t>
    </r>
  </si>
  <si>
    <t>More</t>
  </si>
  <si>
    <t>Equipment</t>
  </si>
  <si>
    <t>Sales</t>
  </si>
  <si>
    <t>RPO, a measure of backlog, includes unfilled firm and unconditional customer orders for equipment and services</t>
  </si>
  <si>
    <t xml:space="preserve">Sale of Equipment </t>
  </si>
  <si>
    <t>Sale of Services</t>
  </si>
  <si>
    <t>Cost of Equipment</t>
  </si>
  <si>
    <t>Cost of Services</t>
  </si>
  <si>
    <t>SG&amp;A</t>
  </si>
  <si>
    <t>R&amp;D</t>
  </si>
  <si>
    <t>OI</t>
  </si>
  <si>
    <t>Interest Income</t>
  </si>
  <si>
    <t>Non-Operating Income</t>
  </si>
  <si>
    <t>Other Income</t>
  </si>
  <si>
    <t>Pretax Income</t>
  </si>
  <si>
    <t>Taxes</t>
  </si>
  <si>
    <t>EPS</t>
  </si>
  <si>
    <t>Equipment Margin</t>
  </si>
  <si>
    <t>Services Margin</t>
  </si>
  <si>
    <t>A/R</t>
  </si>
  <si>
    <t>Inventories</t>
  </si>
  <si>
    <t>Current Contract Assets</t>
  </si>
  <si>
    <t>Other Current Assets</t>
  </si>
  <si>
    <t>PP&amp;E</t>
  </si>
  <si>
    <t>Goodwill</t>
  </si>
  <si>
    <t>Intangibles</t>
  </si>
  <si>
    <t>LT Contract Assets</t>
  </si>
  <si>
    <t xml:space="preserve">LT Investments </t>
  </si>
  <si>
    <t>Deferred Income Taxes</t>
  </si>
  <si>
    <t>Other LT Assets</t>
  </si>
  <si>
    <t>LT Assets</t>
  </si>
  <si>
    <t>A/P</t>
  </si>
  <si>
    <t>Contract Liabilities</t>
  </si>
  <si>
    <t>Other ST Liabilities</t>
  </si>
  <si>
    <t>LT Employee Comp Obligations</t>
  </si>
  <si>
    <t>Other LT Liabilities</t>
  </si>
  <si>
    <t>Ttl Liabilities</t>
  </si>
  <si>
    <t>Total SE</t>
  </si>
  <si>
    <t>Ttl L + SE</t>
  </si>
  <si>
    <t>Assets Held For Sale</t>
  </si>
  <si>
    <t>Liabilities Held For Sale</t>
  </si>
  <si>
    <t>Equipment Growth Y/y</t>
  </si>
  <si>
    <t>Service Growth Y/y</t>
  </si>
  <si>
    <t>Equipment % of Ttl Revenues</t>
  </si>
  <si>
    <t>Services % of Ttl Revenues</t>
  </si>
  <si>
    <t xml:space="preserve">Revenue Breakdown by Segment </t>
  </si>
  <si>
    <t xml:space="preserve">General Notes/Observations </t>
  </si>
  <si>
    <t xml:space="preserve">Financial Stmts. Notes/Observations </t>
  </si>
  <si>
    <t>Q3'25</t>
  </si>
  <si>
    <t>Power</t>
  </si>
  <si>
    <t>Wind</t>
  </si>
  <si>
    <t>Electrification</t>
  </si>
  <si>
    <t>Power Growth Y/y</t>
  </si>
  <si>
    <t>Wind Growth Y/y</t>
  </si>
  <si>
    <t>Electrification Growth Y/y</t>
  </si>
  <si>
    <t>Power % of Ttl Revenues</t>
  </si>
  <si>
    <t>Wind % of Ttl Revenues</t>
  </si>
  <si>
    <t>Electrification % of Ttl Revenues</t>
  </si>
  <si>
    <t>Gas Power</t>
  </si>
  <si>
    <t>Nuclear Power</t>
  </si>
  <si>
    <t>Hydro Power</t>
  </si>
  <si>
    <t>Steam Power</t>
  </si>
  <si>
    <t>Onshore Wind</t>
  </si>
  <si>
    <t>Offshore Wind</t>
  </si>
  <si>
    <t>LM Wind</t>
  </si>
  <si>
    <t>Grid Solutions</t>
  </si>
  <si>
    <t>Power Conversion &amp; Storage</t>
  </si>
  <si>
    <t>Electrification Software</t>
  </si>
  <si>
    <t>12/29/25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</si>
</sst>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1"/>
      <color theme="4" tint="-0.249977111117893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 applyAlignment="1">
      <alignment horizontal="left" indent="5"/>
    </xf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14" fontId="13" fillId="0" borderId="0" xfId="0" applyNumberFormat="1" applyFont="1" applyAlignment="1">
      <alignment horizontal="left" vertical="top"/>
    </xf>
    <xf numFmtId="2" fontId="13" fillId="0" borderId="0" xfId="0" applyNumberFormat="1" applyFont="1" applyAlignment="1">
      <alignment vertical="top"/>
    </xf>
    <xf numFmtId="0" fontId="13" fillId="0" borderId="0" xfId="0" applyFont="1" applyAlignment="1">
      <alignment horizontal="left" vertical="top"/>
    </xf>
    <xf numFmtId="10" fontId="2" fillId="0" borderId="0" xfId="1" applyNumberFormat="1" applyFont="1"/>
    <xf numFmtId="0" fontId="18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165" fontId="2" fillId="0" borderId="0" xfId="1" applyNumberFormat="1" applyFont="1"/>
    <xf numFmtId="165" fontId="3" fillId="0" borderId="0" xfId="1" applyNumberFormat="1" applyFont="1"/>
    <xf numFmtId="165" fontId="13" fillId="0" borderId="0" xfId="1" applyNumberFormat="1" applyFont="1"/>
    <xf numFmtId="165" fontId="12" fillId="0" borderId="0" xfId="1" applyNumberFormat="1" applyFont="1"/>
    <xf numFmtId="9" fontId="2" fillId="0" borderId="0" xfId="1" applyFont="1"/>
    <xf numFmtId="49" fontId="1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/>
    </xf>
    <xf numFmtId="1" fontId="13" fillId="0" borderId="0" xfId="0" applyNumberFormat="1" applyFont="1"/>
    <xf numFmtId="1" fontId="12" fillId="0" borderId="0" xfId="0" applyNumberFormat="1" applyFont="1"/>
    <xf numFmtId="166" fontId="2" fillId="0" borderId="0" xfId="3" applyNumberFormat="1" applyFont="1" applyAlignment="1">
      <alignment horizontal="right"/>
    </xf>
    <xf numFmtId="43" fontId="2" fillId="0" borderId="0" xfId="3" applyFont="1" applyAlignment="1">
      <alignment horizontal="right"/>
    </xf>
    <xf numFmtId="0" fontId="3" fillId="0" borderId="0" xfId="0" applyFont="1" applyAlignment="1">
      <alignment horizontal="left"/>
    </xf>
    <xf numFmtId="0" fontId="17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(GEV) Revenue by Segment (in $ millions)</a:t>
            </a:r>
          </a:p>
        </c:rich>
      </c:tx>
      <c:layout>
        <c:manualLayout>
          <c:xMode val="edge"/>
          <c:yMode val="edge"/>
          <c:x val="0.28762865518787406"/>
          <c:y val="2.0828166532762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Model!$B$4</c:f>
              <c:strCache>
                <c:ptCount val="1"/>
                <c:pt idx="0">
                  <c:v>Equipment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Model!$C$1:$L$1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Model!$C$4:$M$4</c:f>
              <c:numCache>
                <c:formatCode>General</c:formatCode>
                <c:ptCount val="11"/>
                <c:pt idx="0">
                  <c:v>3489</c:v>
                </c:pt>
                <c:pt idx="1">
                  <c:v>4388</c:v>
                </c:pt>
                <c:pt idx="2">
                  <c:v>4869</c:v>
                </c:pt>
                <c:pt idx="3">
                  <c:v>5512</c:v>
                </c:pt>
                <c:pt idx="4">
                  <c:v>3617</c:v>
                </c:pt>
                <c:pt idx="5">
                  <c:v>4194</c:v>
                </c:pt>
                <c:pt idx="6">
                  <c:v>5290</c:v>
                </c:pt>
                <c:pt idx="7">
                  <c:v>5851</c:v>
                </c:pt>
                <c:pt idx="8">
                  <c:v>4197</c:v>
                </c:pt>
                <c:pt idx="9">
                  <c:v>4894</c:v>
                </c:pt>
                <c:pt idx="10">
                  <c:v>5880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1"/>
          <c:tx>
            <c:strRef>
              <c:f>Model!$B$5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70AD47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Model!$C$1:$L$1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Model!$C$5:$M$5</c:f>
              <c:numCache>
                <c:formatCode>General</c:formatCode>
                <c:ptCount val="11"/>
                <c:pt idx="0">
                  <c:v>3333</c:v>
                </c:pt>
                <c:pt idx="1">
                  <c:v>3731</c:v>
                </c:pt>
                <c:pt idx="2">
                  <c:v>3383</c:v>
                </c:pt>
                <c:pt idx="3">
                  <c:v>4534</c:v>
                </c:pt>
                <c:pt idx="4">
                  <c:v>3642</c:v>
                </c:pt>
                <c:pt idx="5">
                  <c:v>4010</c:v>
                </c:pt>
                <c:pt idx="6">
                  <c:v>3623</c:v>
                </c:pt>
                <c:pt idx="7">
                  <c:v>4708</c:v>
                </c:pt>
                <c:pt idx="8">
                  <c:v>3835</c:v>
                </c:pt>
                <c:pt idx="9">
                  <c:v>4217</c:v>
                </c:pt>
                <c:pt idx="10">
                  <c:v>4089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2721881817"/>
          <c:y val="6.5943833924254347E-2"/>
          <c:w val="0.72529625506079487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(GEV)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Model!$C$54:$M$54</c:f>
              <c:numCache>
                <c:formatCode>General</c:formatCode>
                <c:ptCount val="11"/>
                <c:pt idx="0">
                  <c:v>-315</c:v>
                </c:pt>
                <c:pt idx="1">
                  <c:v>-150</c:v>
                </c:pt>
                <c:pt idx="2">
                  <c:v>-170</c:v>
                </c:pt>
                <c:pt idx="3">
                  <c:v>197</c:v>
                </c:pt>
                <c:pt idx="4">
                  <c:v>-130</c:v>
                </c:pt>
                <c:pt idx="5">
                  <c:v>1294</c:v>
                </c:pt>
                <c:pt idx="6">
                  <c:v>-96</c:v>
                </c:pt>
                <c:pt idx="7">
                  <c:v>485</c:v>
                </c:pt>
                <c:pt idx="8">
                  <c:v>254</c:v>
                </c:pt>
                <c:pt idx="9">
                  <c:v>506</c:v>
                </c:pt>
                <c:pt idx="10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Model!$C$104:$M$104</c:f>
              <c:numCache>
                <c:formatCode>General</c:formatCode>
                <c:ptCount val="11"/>
                <c:pt idx="0">
                  <c:v>-814</c:v>
                </c:pt>
                <c:pt idx="1">
                  <c:v>-447</c:v>
                </c:pt>
                <c:pt idx="2">
                  <c:v>51</c:v>
                </c:pt>
                <c:pt idx="3">
                  <c:v>1654</c:v>
                </c:pt>
                <c:pt idx="4">
                  <c:v>-661</c:v>
                </c:pt>
                <c:pt idx="5">
                  <c:v>825</c:v>
                </c:pt>
                <c:pt idx="6">
                  <c:v>964</c:v>
                </c:pt>
                <c:pt idx="7">
                  <c:v>572</c:v>
                </c:pt>
                <c:pt idx="8">
                  <c:v>974</c:v>
                </c:pt>
                <c:pt idx="9">
                  <c:v>194</c:v>
                </c:pt>
                <c:pt idx="10">
                  <c:v>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strRef>
              <c:f>Model!$B$41</c:f>
              <c:strCache>
                <c:ptCount val="1"/>
                <c:pt idx="0">
                  <c:v>Revenues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Model!$C$1:$L$1</c:f>
              <c:strCache>
                <c:ptCount val="9"/>
                <c:pt idx="0">
                  <c:v>Q1 2023</c:v>
                </c:pt>
                <c:pt idx="4">
                  <c:v>Q1 2024</c:v>
                </c:pt>
                <c:pt idx="8">
                  <c:v>Q1 2025</c:v>
                </c:pt>
              </c:strCache>
            </c:strRef>
          </c:cat>
          <c:val>
            <c:numRef>
              <c:f>Model!$C$41:$M$41</c:f>
              <c:numCache>
                <c:formatCode>General</c:formatCode>
                <c:ptCount val="11"/>
                <c:pt idx="0">
                  <c:v>6822</c:v>
                </c:pt>
                <c:pt idx="1">
                  <c:v>8119</c:v>
                </c:pt>
                <c:pt idx="2">
                  <c:v>8252</c:v>
                </c:pt>
                <c:pt idx="3">
                  <c:v>10046</c:v>
                </c:pt>
                <c:pt idx="4">
                  <c:v>7259</c:v>
                </c:pt>
                <c:pt idx="5">
                  <c:v>8204</c:v>
                </c:pt>
                <c:pt idx="6">
                  <c:v>8913</c:v>
                </c:pt>
                <c:pt idx="7">
                  <c:v>10559</c:v>
                </c:pt>
                <c:pt idx="8">
                  <c:v>8032</c:v>
                </c:pt>
                <c:pt idx="9">
                  <c:v>9111</c:v>
                </c:pt>
                <c:pt idx="10">
                  <c:v>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(GEV)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Analysis'!$I$207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016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Analysis'!$I$209:$I$391</c:f>
              <c:numCache>
                <c:formatCode>0.00%</c:formatCode>
                <c:ptCount val="183"/>
                <c:pt idx="0">
                  <c:v>-9.1000000000000067E-2</c:v>
                </c:pt>
                <c:pt idx="1">
                  <c:v>-9.0000000000000066E-2</c:v>
                </c:pt>
                <c:pt idx="2">
                  <c:v>-8.9000000000000065E-2</c:v>
                </c:pt>
                <c:pt idx="3">
                  <c:v>-8.8000000000000064E-2</c:v>
                </c:pt>
                <c:pt idx="4">
                  <c:v>-8.7000000000000063E-2</c:v>
                </c:pt>
                <c:pt idx="5">
                  <c:v>-8.6000000000000063E-2</c:v>
                </c:pt>
                <c:pt idx="6">
                  <c:v>-8.5000000000000062E-2</c:v>
                </c:pt>
                <c:pt idx="7">
                  <c:v>-8.4000000000000061E-2</c:v>
                </c:pt>
                <c:pt idx="8">
                  <c:v>-8.300000000000006E-2</c:v>
                </c:pt>
                <c:pt idx="9">
                  <c:v>-8.2000000000000059E-2</c:v>
                </c:pt>
                <c:pt idx="10">
                  <c:v>-8.1000000000000058E-2</c:v>
                </c:pt>
                <c:pt idx="11">
                  <c:v>-8.0000000000000057E-2</c:v>
                </c:pt>
                <c:pt idx="12">
                  <c:v>-7.9000000000000056E-2</c:v>
                </c:pt>
                <c:pt idx="13">
                  <c:v>-7.8000000000000055E-2</c:v>
                </c:pt>
                <c:pt idx="14">
                  <c:v>-7.7000000000000055E-2</c:v>
                </c:pt>
                <c:pt idx="15">
                  <c:v>-7.6000000000000054E-2</c:v>
                </c:pt>
                <c:pt idx="16">
                  <c:v>-7.5000000000000053E-2</c:v>
                </c:pt>
                <c:pt idx="17">
                  <c:v>-7.4000000000000052E-2</c:v>
                </c:pt>
                <c:pt idx="18">
                  <c:v>-7.3000000000000051E-2</c:v>
                </c:pt>
                <c:pt idx="19">
                  <c:v>-7.200000000000005E-2</c:v>
                </c:pt>
                <c:pt idx="20">
                  <c:v>-7.1000000000000049E-2</c:v>
                </c:pt>
                <c:pt idx="21">
                  <c:v>-7.0000000000000048E-2</c:v>
                </c:pt>
                <c:pt idx="22">
                  <c:v>-6.9000000000000047E-2</c:v>
                </c:pt>
                <c:pt idx="23">
                  <c:v>-6.8000000000000047E-2</c:v>
                </c:pt>
                <c:pt idx="24">
                  <c:v>-6.7000000000000046E-2</c:v>
                </c:pt>
                <c:pt idx="25">
                  <c:v>-6.6000000000000045E-2</c:v>
                </c:pt>
                <c:pt idx="26">
                  <c:v>-6.5000000000000044E-2</c:v>
                </c:pt>
                <c:pt idx="27">
                  <c:v>-6.4000000000000043E-2</c:v>
                </c:pt>
                <c:pt idx="28">
                  <c:v>-6.3000000000000042E-2</c:v>
                </c:pt>
                <c:pt idx="29">
                  <c:v>-6.2000000000000048E-2</c:v>
                </c:pt>
                <c:pt idx="30">
                  <c:v>-6.1000000000000047E-2</c:v>
                </c:pt>
                <c:pt idx="31">
                  <c:v>-6.0000000000000046E-2</c:v>
                </c:pt>
                <c:pt idx="32">
                  <c:v>-5.9000000000000045E-2</c:v>
                </c:pt>
                <c:pt idx="33">
                  <c:v>-5.8000000000000045E-2</c:v>
                </c:pt>
                <c:pt idx="34">
                  <c:v>-5.7000000000000044E-2</c:v>
                </c:pt>
                <c:pt idx="35">
                  <c:v>-5.6000000000000043E-2</c:v>
                </c:pt>
                <c:pt idx="36">
                  <c:v>-5.5000000000000042E-2</c:v>
                </c:pt>
                <c:pt idx="37">
                  <c:v>-5.4000000000000041E-2</c:v>
                </c:pt>
                <c:pt idx="38">
                  <c:v>-5.300000000000004E-2</c:v>
                </c:pt>
                <c:pt idx="39">
                  <c:v>-5.2000000000000039E-2</c:v>
                </c:pt>
                <c:pt idx="40">
                  <c:v>-5.1000000000000038E-2</c:v>
                </c:pt>
                <c:pt idx="41">
                  <c:v>-5.0000000000000037E-2</c:v>
                </c:pt>
                <c:pt idx="42">
                  <c:v>-4.9000000000000037E-2</c:v>
                </c:pt>
                <c:pt idx="43">
                  <c:v>-4.8000000000000036E-2</c:v>
                </c:pt>
                <c:pt idx="44">
                  <c:v>-4.7000000000000035E-2</c:v>
                </c:pt>
                <c:pt idx="45">
                  <c:v>-4.6000000000000034E-2</c:v>
                </c:pt>
                <c:pt idx="46">
                  <c:v>-4.5000000000000033E-2</c:v>
                </c:pt>
                <c:pt idx="47">
                  <c:v>-4.4000000000000032E-2</c:v>
                </c:pt>
                <c:pt idx="48">
                  <c:v>-4.3000000000000031E-2</c:v>
                </c:pt>
                <c:pt idx="49">
                  <c:v>-4.200000000000003E-2</c:v>
                </c:pt>
                <c:pt idx="50">
                  <c:v>-4.1000000000000029E-2</c:v>
                </c:pt>
                <c:pt idx="51">
                  <c:v>-4.0000000000000029E-2</c:v>
                </c:pt>
                <c:pt idx="52">
                  <c:v>-3.9000000000000028E-2</c:v>
                </c:pt>
                <c:pt idx="53">
                  <c:v>-3.8000000000000027E-2</c:v>
                </c:pt>
                <c:pt idx="54">
                  <c:v>-3.7000000000000026E-2</c:v>
                </c:pt>
                <c:pt idx="55">
                  <c:v>-3.6000000000000025E-2</c:v>
                </c:pt>
                <c:pt idx="56">
                  <c:v>-3.5000000000000024E-2</c:v>
                </c:pt>
                <c:pt idx="57">
                  <c:v>-3.4000000000000023E-2</c:v>
                </c:pt>
                <c:pt idx="58">
                  <c:v>-3.3000000000000022E-2</c:v>
                </c:pt>
                <c:pt idx="59">
                  <c:v>-3.2000000000000021E-2</c:v>
                </c:pt>
                <c:pt idx="60">
                  <c:v>-3.1000000000000021E-2</c:v>
                </c:pt>
                <c:pt idx="61">
                  <c:v>-3.000000000000002E-2</c:v>
                </c:pt>
                <c:pt idx="62">
                  <c:v>-2.9000000000000019E-2</c:v>
                </c:pt>
                <c:pt idx="63">
                  <c:v>-2.8000000000000018E-2</c:v>
                </c:pt>
                <c:pt idx="64">
                  <c:v>-2.7000000000000017E-2</c:v>
                </c:pt>
                <c:pt idx="65">
                  <c:v>-2.6000000000000016E-2</c:v>
                </c:pt>
                <c:pt idx="66">
                  <c:v>-2.5000000000000015E-2</c:v>
                </c:pt>
                <c:pt idx="67">
                  <c:v>-2.4000000000000014E-2</c:v>
                </c:pt>
                <c:pt idx="68">
                  <c:v>-2.3000000000000013E-2</c:v>
                </c:pt>
                <c:pt idx="69">
                  <c:v>-2.2000000000000013E-2</c:v>
                </c:pt>
                <c:pt idx="70">
                  <c:v>-2.1000000000000012E-2</c:v>
                </c:pt>
                <c:pt idx="71">
                  <c:v>-2.0000000000000011E-2</c:v>
                </c:pt>
                <c:pt idx="72">
                  <c:v>-1.900000000000001E-2</c:v>
                </c:pt>
                <c:pt idx="73">
                  <c:v>-1.8000000000000009E-2</c:v>
                </c:pt>
                <c:pt idx="74">
                  <c:v>-1.7000000000000008E-2</c:v>
                </c:pt>
                <c:pt idx="75">
                  <c:v>-1.6000000000000007E-2</c:v>
                </c:pt>
                <c:pt idx="76">
                  <c:v>-1.5000000000000006E-2</c:v>
                </c:pt>
                <c:pt idx="77">
                  <c:v>-1.4000000000000005E-2</c:v>
                </c:pt>
                <c:pt idx="78">
                  <c:v>-1.3000000000000005E-2</c:v>
                </c:pt>
                <c:pt idx="79">
                  <c:v>-1.2000000000000004E-2</c:v>
                </c:pt>
                <c:pt idx="80">
                  <c:v>-1.1000000000000003E-2</c:v>
                </c:pt>
                <c:pt idx="81">
                  <c:v>-1.0000000000000002E-2</c:v>
                </c:pt>
                <c:pt idx="82">
                  <c:v>-9.0000000000000011E-3</c:v>
                </c:pt>
                <c:pt idx="83">
                  <c:v>-8.0000000000000002E-3</c:v>
                </c:pt>
                <c:pt idx="84">
                  <c:v>-7.0000000000000001E-3</c:v>
                </c:pt>
                <c:pt idx="85">
                  <c:v>-6.0000000000000001E-3</c:v>
                </c:pt>
                <c:pt idx="86">
                  <c:v>-5.0000000000000001E-3</c:v>
                </c:pt>
                <c:pt idx="87">
                  <c:v>-4.0000000000000001E-3</c:v>
                </c:pt>
                <c:pt idx="88">
                  <c:v>-3.0000000000000001E-3</c:v>
                </c:pt>
                <c:pt idx="89">
                  <c:v>-2E-3</c:v>
                </c:pt>
                <c:pt idx="90">
                  <c:v>-1E-3</c:v>
                </c:pt>
                <c:pt idx="91">
                  <c:v>0</c:v>
                </c:pt>
                <c:pt idx="92">
                  <c:v>1E-3</c:v>
                </c:pt>
                <c:pt idx="93">
                  <c:v>2E-3</c:v>
                </c:pt>
                <c:pt idx="94">
                  <c:v>3.0000000000000001E-3</c:v>
                </c:pt>
                <c:pt idx="95">
                  <c:v>4.0000000000000001E-3</c:v>
                </c:pt>
                <c:pt idx="96">
                  <c:v>5.0000000000000001E-3</c:v>
                </c:pt>
                <c:pt idx="97">
                  <c:v>6.0000000000000001E-3</c:v>
                </c:pt>
                <c:pt idx="98">
                  <c:v>7.0000000000000001E-3</c:v>
                </c:pt>
                <c:pt idx="99">
                  <c:v>8.0000000000000002E-3</c:v>
                </c:pt>
                <c:pt idx="100">
                  <c:v>9.0000000000000011E-3</c:v>
                </c:pt>
                <c:pt idx="101">
                  <c:v>1.0000000000000002E-2</c:v>
                </c:pt>
                <c:pt idx="102">
                  <c:v>1.1000000000000003E-2</c:v>
                </c:pt>
                <c:pt idx="103">
                  <c:v>1.2000000000000004E-2</c:v>
                </c:pt>
                <c:pt idx="104">
                  <c:v>1.3000000000000005E-2</c:v>
                </c:pt>
                <c:pt idx="105">
                  <c:v>1.4000000000000005E-2</c:v>
                </c:pt>
                <c:pt idx="106">
                  <c:v>1.5000000000000006E-2</c:v>
                </c:pt>
                <c:pt idx="107">
                  <c:v>1.6000000000000007E-2</c:v>
                </c:pt>
                <c:pt idx="108">
                  <c:v>1.7000000000000008E-2</c:v>
                </c:pt>
                <c:pt idx="109">
                  <c:v>1.8000000000000009E-2</c:v>
                </c:pt>
                <c:pt idx="110">
                  <c:v>1.900000000000001E-2</c:v>
                </c:pt>
                <c:pt idx="111">
                  <c:v>2.0000000000000011E-2</c:v>
                </c:pt>
                <c:pt idx="112">
                  <c:v>2.1000000000000012E-2</c:v>
                </c:pt>
                <c:pt idx="113">
                  <c:v>2.2000000000000013E-2</c:v>
                </c:pt>
                <c:pt idx="114">
                  <c:v>2.3000000000000013E-2</c:v>
                </c:pt>
                <c:pt idx="115">
                  <c:v>2.4000000000000014E-2</c:v>
                </c:pt>
                <c:pt idx="116">
                  <c:v>2.5000000000000015E-2</c:v>
                </c:pt>
                <c:pt idx="117">
                  <c:v>2.6000000000000016E-2</c:v>
                </c:pt>
                <c:pt idx="118">
                  <c:v>2.7000000000000017E-2</c:v>
                </c:pt>
                <c:pt idx="119">
                  <c:v>2.8000000000000018E-2</c:v>
                </c:pt>
                <c:pt idx="120">
                  <c:v>2.9000000000000019E-2</c:v>
                </c:pt>
                <c:pt idx="121">
                  <c:v>3.000000000000002E-2</c:v>
                </c:pt>
                <c:pt idx="122">
                  <c:v>3.1000000000000021E-2</c:v>
                </c:pt>
                <c:pt idx="123">
                  <c:v>3.2000000000000021E-2</c:v>
                </c:pt>
                <c:pt idx="124">
                  <c:v>3.3000000000000022E-2</c:v>
                </c:pt>
                <c:pt idx="125">
                  <c:v>3.4000000000000023E-2</c:v>
                </c:pt>
                <c:pt idx="126">
                  <c:v>3.5000000000000024E-2</c:v>
                </c:pt>
                <c:pt idx="127">
                  <c:v>3.6000000000000025E-2</c:v>
                </c:pt>
                <c:pt idx="128">
                  <c:v>3.7000000000000026E-2</c:v>
                </c:pt>
                <c:pt idx="129">
                  <c:v>3.8000000000000027E-2</c:v>
                </c:pt>
                <c:pt idx="130">
                  <c:v>3.9000000000000028E-2</c:v>
                </c:pt>
                <c:pt idx="131">
                  <c:v>4.0000000000000029E-2</c:v>
                </c:pt>
                <c:pt idx="132">
                  <c:v>4.1000000000000029E-2</c:v>
                </c:pt>
                <c:pt idx="133">
                  <c:v>4.200000000000003E-2</c:v>
                </c:pt>
                <c:pt idx="134">
                  <c:v>4.3000000000000031E-2</c:v>
                </c:pt>
                <c:pt idx="135">
                  <c:v>4.4000000000000032E-2</c:v>
                </c:pt>
                <c:pt idx="136">
                  <c:v>4.5000000000000033E-2</c:v>
                </c:pt>
                <c:pt idx="137">
                  <c:v>4.6000000000000034E-2</c:v>
                </c:pt>
                <c:pt idx="138">
                  <c:v>4.7000000000000035E-2</c:v>
                </c:pt>
                <c:pt idx="139">
                  <c:v>4.8000000000000036E-2</c:v>
                </c:pt>
                <c:pt idx="140">
                  <c:v>4.9000000000000037E-2</c:v>
                </c:pt>
                <c:pt idx="141">
                  <c:v>5.0000000000000037E-2</c:v>
                </c:pt>
                <c:pt idx="142">
                  <c:v>5.1000000000000038E-2</c:v>
                </c:pt>
                <c:pt idx="143">
                  <c:v>5.2000000000000039E-2</c:v>
                </c:pt>
                <c:pt idx="144">
                  <c:v>5.300000000000004E-2</c:v>
                </c:pt>
                <c:pt idx="145">
                  <c:v>5.4000000000000041E-2</c:v>
                </c:pt>
                <c:pt idx="146">
                  <c:v>5.5000000000000042E-2</c:v>
                </c:pt>
                <c:pt idx="147">
                  <c:v>5.6000000000000043E-2</c:v>
                </c:pt>
                <c:pt idx="148">
                  <c:v>5.7000000000000044E-2</c:v>
                </c:pt>
                <c:pt idx="149">
                  <c:v>5.8000000000000045E-2</c:v>
                </c:pt>
                <c:pt idx="150">
                  <c:v>5.9000000000000045E-2</c:v>
                </c:pt>
                <c:pt idx="151">
                  <c:v>6.0000000000000046E-2</c:v>
                </c:pt>
                <c:pt idx="152">
                  <c:v>6.1000000000000047E-2</c:v>
                </c:pt>
                <c:pt idx="153">
                  <c:v>6.2000000000000048E-2</c:v>
                </c:pt>
                <c:pt idx="154">
                  <c:v>6.3000000000000042E-2</c:v>
                </c:pt>
                <c:pt idx="155">
                  <c:v>6.4000000000000043E-2</c:v>
                </c:pt>
                <c:pt idx="156">
                  <c:v>6.5000000000000044E-2</c:v>
                </c:pt>
                <c:pt idx="157">
                  <c:v>6.6000000000000045E-2</c:v>
                </c:pt>
                <c:pt idx="158">
                  <c:v>6.7000000000000046E-2</c:v>
                </c:pt>
                <c:pt idx="159">
                  <c:v>6.8000000000000047E-2</c:v>
                </c:pt>
                <c:pt idx="160">
                  <c:v>6.9000000000000047E-2</c:v>
                </c:pt>
                <c:pt idx="161">
                  <c:v>7.0000000000000048E-2</c:v>
                </c:pt>
                <c:pt idx="162">
                  <c:v>7.1000000000000049E-2</c:v>
                </c:pt>
                <c:pt idx="163">
                  <c:v>7.200000000000005E-2</c:v>
                </c:pt>
                <c:pt idx="164">
                  <c:v>7.3000000000000051E-2</c:v>
                </c:pt>
                <c:pt idx="165">
                  <c:v>7.4000000000000052E-2</c:v>
                </c:pt>
                <c:pt idx="166">
                  <c:v>7.5000000000000053E-2</c:v>
                </c:pt>
                <c:pt idx="167">
                  <c:v>7.6000000000000054E-2</c:v>
                </c:pt>
                <c:pt idx="168">
                  <c:v>7.7000000000000055E-2</c:v>
                </c:pt>
                <c:pt idx="169">
                  <c:v>7.8000000000000055E-2</c:v>
                </c:pt>
                <c:pt idx="170">
                  <c:v>7.9000000000000056E-2</c:v>
                </c:pt>
                <c:pt idx="171">
                  <c:v>8.0000000000000057E-2</c:v>
                </c:pt>
                <c:pt idx="172">
                  <c:v>8.1000000000000058E-2</c:v>
                </c:pt>
                <c:pt idx="173">
                  <c:v>8.2000000000000059E-2</c:v>
                </c:pt>
                <c:pt idx="174">
                  <c:v>8.300000000000006E-2</c:v>
                </c:pt>
                <c:pt idx="175">
                  <c:v>8.4000000000000061E-2</c:v>
                </c:pt>
                <c:pt idx="176">
                  <c:v>8.5000000000000062E-2</c:v>
                </c:pt>
                <c:pt idx="177">
                  <c:v>8.6000000000000063E-2</c:v>
                </c:pt>
                <c:pt idx="178">
                  <c:v>8.7000000000000063E-2</c:v>
                </c:pt>
                <c:pt idx="179">
                  <c:v>8.8000000000000064E-2</c:v>
                </c:pt>
                <c:pt idx="180">
                  <c:v>8.9000000000000065E-2</c:v>
                </c:pt>
                <c:pt idx="181">
                  <c:v>9.0000000000000066E-2</c:v>
                </c:pt>
                <c:pt idx="182">
                  <c:v>9.1000000000000067E-2</c:v>
                </c:pt>
              </c:numCache>
            </c:numRef>
          </c:xVal>
          <c:yVal>
            <c:numRef>
              <c:f>'Notes | Quant Analysis'!$J$209:$J$391</c:f>
              <c:numCache>
                <c:formatCode>General</c:formatCode>
                <c:ptCount val="1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3</c:v>
                </c:pt>
                <c:pt idx="63">
                  <c:v>5</c:v>
                </c:pt>
                <c:pt idx="64">
                  <c:v>0</c:v>
                </c:pt>
                <c:pt idx="65">
                  <c:v>1</c:v>
                </c:pt>
                <c:pt idx="66">
                  <c:v>4</c:v>
                </c:pt>
                <c:pt idx="67">
                  <c:v>2</c:v>
                </c:pt>
                <c:pt idx="68">
                  <c:v>3</c:v>
                </c:pt>
                <c:pt idx="69">
                  <c:v>7</c:v>
                </c:pt>
                <c:pt idx="70">
                  <c:v>5</c:v>
                </c:pt>
                <c:pt idx="71">
                  <c:v>5</c:v>
                </c:pt>
                <c:pt idx="72">
                  <c:v>2</c:v>
                </c:pt>
                <c:pt idx="73">
                  <c:v>7</c:v>
                </c:pt>
                <c:pt idx="74">
                  <c:v>4</c:v>
                </c:pt>
                <c:pt idx="75">
                  <c:v>1</c:v>
                </c:pt>
                <c:pt idx="76">
                  <c:v>5</c:v>
                </c:pt>
                <c:pt idx="77">
                  <c:v>2</c:v>
                </c:pt>
                <c:pt idx="78">
                  <c:v>8</c:v>
                </c:pt>
                <c:pt idx="79">
                  <c:v>5</c:v>
                </c:pt>
                <c:pt idx="80">
                  <c:v>5</c:v>
                </c:pt>
                <c:pt idx="81">
                  <c:v>6</c:v>
                </c:pt>
                <c:pt idx="82">
                  <c:v>5</c:v>
                </c:pt>
                <c:pt idx="83">
                  <c:v>3</c:v>
                </c:pt>
                <c:pt idx="84">
                  <c:v>11</c:v>
                </c:pt>
                <c:pt idx="85">
                  <c:v>8</c:v>
                </c:pt>
                <c:pt idx="86">
                  <c:v>3</c:v>
                </c:pt>
                <c:pt idx="87">
                  <c:v>3</c:v>
                </c:pt>
                <c:pt idx="88">
                  <c:v>9</c:v>
                </c:pt>
                <c:pt idx="89">
                  <c:v>12</c:v>
                </c:pt>
                <c:pt idx="90">
                  <c:v>6</c:v>
                </c:pt>
                <c:pt idx="91">
                  <c:v>1</c:v>
                </c:pt>
                <c:pt idx="92">
                  <c:v>6</c:v>
                </c:pt>
                <c:pt idx="93">
                  <c:v>4</c:v>
                </c:pt>
                <c:pt idx="94">
                  <c:v>6</c:v>
                </c:pt>
                <c:pt idx="95">
                  <c:v>5</c:v>
                </c:pt>
                <c:pt idx="96">
                  <c:v>7</c:v>
                </c:pt>
                <c:pt idx="97">
                  <c:v>8</c:v>
                </c:pt>
                <c:pt idx="98">
                  <c:v>6</c:v>
                </c:pt>
                <c:pt idx="99">
                  <c:v>8</c:v>
                </c:pt>
                <c:pt idx="100">
                  <c:v>7</c:v>
                </c:pt>
                <c:pt idx="101">
                  <c:v>9</c:v>
                </c:pt>
                <c:pt idx="102">
                  <c:v>5</c:v>
                </c:pt>
                <c:pt idx="103">
                  <c:v>4</c:v>
                </c:pt>
                <c:pt idx="104">
                  <c:v>1</c:v>
                </c:pt>
                <c:pt idx="105">
                  <c:v>5</c:v>
                </c:pt>
                <c:pt idx="106">
                  <c:v>8</c:v>
                </c:pt>
                <c:pt idx="107">
                  <c:v>5</c:v>
                </c:pt>
                <c:pt idx="108">
                  <c:v>5</c:v>
                </c:pt>
                <c:pt idx="109">
                  <c:v>2</c:v>
                </c:pt>
                <c:pt idx="110">
                  <c:v>3</c:v>
                </c:pt>
                <c:pt idx="111">
                  <c:v>2</c:v>
                </c:pt>
                <c:pt idx="112">
                  <c:v>6</c:v>
                </c:pt>
                <c:pt idx="113">
                  <c:v>3</c:v>
                </c:pt>
                <c:pt idx="114">
                  <c:v>5</c:v>
                </c:pt>
                <c:pt idx="115">
                  <c:v>7</c:v>
                </c:pt>
                <c:pt idx="116">
                  <c:v>4</c:v>
                </c:pt>
                <c:pt idx="117">
                  <c:v>2</c:v>
                </c:pt>
                <c:pt idx="118">
                  <c:v>3</c:v>
                </c:pt>
                <c:pt idx="119">
                  <c:v>7</c:v>
                </c:pt>
                <c:pt idx="120">
                  <c:v>2</c:v>
                </c:pt>
                <c:pt idx="121">
                  <c:v>3</c:v>
                </c:pt>
                <c:pt idx="122">
                  <c:v>6</c:v>
                </c:pt>
                <c:pt idx="123">
                  <c:v>0</c:v>
                </c:pt>
                <c:pt idx="124">
                  <c:v>2</c:v>
                </c:pt>
                <c:pt idx="125">
                  <c:v>4</c:v>
                </c:pt>
                <c:pt idx="126">
                  <c:v>2</c:v>
                </c:pt>
                <c:pt idx="127">
                  <c:v>3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3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3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3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3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Analysis'!$L$207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Analysis'!$L$209:$L$393</c:f>
              <c:numCache>
                <c:formatCode>0.00%</c:formatCode>
                <c:ptCount val="185"/>
                <c:pt idx="0">
                  <c:v>-9.2000000000000068E-2</c:v>
                </c:pt>
                <c:pt idx="1">
                  <c:v>-9.1000000000000067E-2</c:v>
                </c:pt>
                <c:pt idx="2">
                  <c:v>-9.0000000000000066E-2</c:v>
                </c:pt>
                <c:pt idx="3">
                  <c:v>-8.9000000000000065E-2</c:v>
                </c:pt>
                <c:pt idx="4">
                  <c:v>-8.8000000000000064E-2</c:v>
                </c:pt>
                <c:pt idx="5">
                  <c:v>-8.7000000000000063E-2</c:v>
                </c:pt>
                <c:pt idx="6">
                  <c:v>-8.6000000000000063E-2</c:v>
                </c:pt>
                <c:pt idx="7">
                  <c:v>-8.5000000000000062E-2</c:v>
                </c:pt>
                <c:pt idx="8">
                  <c:v>-8.4000000000000061E-2</c:v>
                </c:pt>
                <c:pt idx="9">
                  <c:v>-8.300000000000006E-2</c:v>
                </c:pt>
                <c:pt idx="10">
                  <c:v>-8.2000000000000059E-2</c:v>
                </c:pt>
                <c:pt idx="11">
                  <c:v>-8.1000000000000058E-2</c:v>
                </c:pt>
                <c:pt idx="12">
                  <c:v>-8.0000000000000057E-2</c:v>
                </c:pt>
                <c:pt idx="13">
                  <c:v>-7.9000000000000056E-2</c:v>
                </c:pt>
                <c:pt idx="14">
                  <c:v>-7.8000000000000055E-2</c:v>
                </c:pt>
                <c:pt idx="15">
                  <c:v>-7.7000000000000055E-2</c:v>
                </c:pt>
                <c:pt idx="16">
                  <c:v>-7.6000000000000054E-2</c:v>
                </c:pt>
                <c:pt idx="17">
                  <c:v>-7.5000000000000053E-2</c:v>
                </c:pt>
                <c:pt idx="18">
                  <c:v>-7.4000000000000052E-2</c:v>
                </c:pt>
                <c:pt idx="19">
                  <c:v>-7.3000000000000051E-2</c:v>
                </c:pt>
                <c:pt idx="20">
                  <c:v>-7.200000000000005E-2</c:v>
                </c:pt>
                <c:pt idx="21">
                  <c:v>-7.1000000000000049E-2</c:v>
                </c:pt>
                <c:pt idx="22">
                  <c:v>-7.0000000000000048E-2</c:v>
                </c:pt>
                <c:pt idx="23">
                  <c:v>-6.9000000000000047E-2</c:v>
                </c:pt>
                <c:pt idx="24">
                  <c:v>-6.8000000000000047E-2</c:v>
                </c:pt>
                <c:pt idx="25">
                  <c:v>-6.7000000000000046E-2</c:v>
                </c:pt>
                <c:pt idx="26">
                  <c:v>-6.6000000000000045E-2</c:v>
                </c:pt>
                <c:pt idx="27">
                  <c:v>-6.5000000000000044E-2</c:v>
                </c:pt>
                <c:pt idx="28">
                  <c:v>-6.4000000000000043E-2</c:v>
                </c:pt>
                <c:pt idx="29">
                  <c:v>-6.3000000000000042E-2</c:v>
                </c:pt>
                <c:pt idx="30">
                  <c:v>-6.2000000000000048E-2</c:v>
                </c:pt>
                <c:pt idx="31">
                  <c:v>-6.1000000000000047E-2</c:v>
                </c:pt>
                <c:pt idx="32">
                  <c:v>-6.0000000000000046E-2</c:v>
                </c:pt>
                <c:pt idx="33">
                  <c:v>-5.9000000000000045E-2</c:v>
                </c:pt>
                <c:pt idx="34">
                  <c:v>-5.8000000000000045E-2</c:v>
                </c:pt>
                <c:pt idx="35">
                  <c:v>-5.7000000000000044E-2</c:v>
                </c:pt>
                <c:pt idx="36">
                  <c:v>-5.6000000000000043E-2</c:v>
                </c:pt>
                <c:pt idx="37">
                  <c:v>-5.5000000000000042E-2</c:v>
                </c:pt>
                <c:pt idx="38">
                  <c:v>-5.4000000000000041E-2</c:v>
                </c:pt>
                <c:pt idx="39">
                  <c:v>-5.300000000000004E-2</c:v>
                </c:pt>
                <c:pt idx="40">
                  <c:v>-5.2000000000000039E-2</c:v>
                </c:pt>
                <c:pt idx="41">
                  <c:v>-5.1000000000000038E-2</c:v>
                </c:pt>
                <c:pt idx="42">
                  <c:v>-5.0000000000000037E-2</c:v>
                </c:pt>
                <c:pt idx="43">
                  <c:v>-4.9000000000000037E-2</c:v>
                </c:pt>
                <c:pt idx="44">
                  <c:v>-4.8000000000000036E-2</c:v>
                </c:pt>
                <c:pt idx="45">
                  <c:v>-4.7000000000000035E-2</c:v>
                </c:pt>
                <c:pt idx="46">
                  <c:v>-4.6000000000000034E-2</c:v>
                </c:pt>
                <c:pt idx="47">
                  <c:v>-4.5000000000000033E-2</c:v>
                </c:pt>
                <c:pt idx="48">
                  <c:v>-4.4000000000000032E-2</c:v>
                </c:pt>
                <c:pt idx="49">
                  <c:v>-4.3000000000000031E-2</c:v>
                </c:pt>
                <c:pt idx="50">
                  <c:v>-4.200000000000003E-2</c:v>
                </c:pt>
                <c:pt idx="51">
                  <c:v>-4.1000000000000029E-2</c:v>
                </c:pt>
                <c:pt idx="52">
                  <c:v>-4.0000000000000029E-2</c:v>
                </c:pt>
                <c:pt idx="53">
                  <c:v>-3.9000000000000028E-2</c:v>
                </c:pt>
                <c:pt idx="54">
                  <c:v>-3.8000000000000027E-2</c:v>
                </c:pt>
                <c:pt idx="55">
                  <c:v>-3.7000000000000026E-2</c:v>
                </c:pt>
                <c:pt idx="56">
                  <c:v>-3.6000000000000025E-2</c:v>
                </c:pt>
                <c:pt idx="57">
                  <c:v>-3.5000000000000024E-2</c:v>
                </c:pt>
                <c:pt idx="58">
                  <c:v>-3.4000000000000023E-2</c:v>
                </c:pt>
                <c:pt idx="59">
                  <c:v>-3.3000000000000022E-2</c:v>
                </c:pt>
                <c:pt idx="60">
                  <c:v>-3.2000000000000021E-2</c:v>
                </c:pt>
                <c:pt idx="61">
                  <c:v>-3.1000000000000021E-2</c:v>
                </c:pt>
                <c:pt idx="62">
                  <c:v>-3.000000000000002E-2</c:v>
                </c:pt>
                <c:pt idx="63">
                  <c:v>-2.9000000000000019E-2</c:v>
                </c:pt>
                <c:pt idx="64">
                  <c:v>-2.8000000000000018E-2</c:v>
                </c:pt>
                <c:pt idx="65">
                  <c:v>-2.7000000000000017E-2</c:v>
                </c:pt>
                <c:pt idx="66">
                  <c:v>-2.6000000000000016E-2</c:v>
                </c:pt>
                <c:pt idx="67">
                  <c:v>-2.5000000000000015E-2</c:v>
                </c:pt>
                <c:pt idx="68">
                  <c:v>-2.4000000000000014E-2</c:v>
                </c:pt>
                <c:pt idx="69">
                  <c:v>-2.3000000000000013E-2</c:v>
                </c:pt>
                <c:pt idx="70">
                  <c:v>-2.2000000000000013E-2</c:v>
                </c:pt>
                <c:pt idx="71">
                  <c:v>-2.1000000000000012E-2</c:v>
                </c:pt>
                <c:pt idx="72">
                  <c:v>-2.0000000000000011E-2</c:v>
                </c:pt>
                <c:pt idx="73">
                  <c:v>-1.900000000000001E-2</c:v>
                </c:pt>
                <c:pt idx="74">
                  <c:v>-1.8000000000000009E-2</c:v>
                </c:pt>
                <c:pt idx="75">
                  <c:v>-1.7000000000000008E-2</c:v>
                </c:pt>
                <c:pt idx="76">
                  <c:v>-1.6000000000000007E-2</c:v>
                </c:pt>
                <c:pt idx="77">
                  <c:v>-1.5000000000000006E-2</c:v>
                </c:pt>
                <c:pt idx="78">
                  <c:v>-1.4000000000000005E-2</c:v>
                </c:pt>
                <c:pt idx="79">
                  <c:v>-1.3000000000000005E-2</c:v>
                </c:pt>
                <c:pt idx="80">
                  <c:v>-1.2000000000000004E-2</c:v>
                </c:pt>
                <c:pt idx="81">
                  <c:v>-1.1000000000000003E-2</c:v>
                </c:pt>
                <c:pt idx="82">
                  <c:v>-1.0000000000000002E-2</c:v>
                </c:pt>
                <c:pt idx="83">
                  <c:v>-9.0000000000000011E-3</c:v>
                </c:pt>
                <c:pt idx="84">
                  <c:v>-8.0000000000000002E-3</c:v>
                </c:pt>
                <c:pt idx="85">
                  <c:v>-7.0000000000000001E-3</c:v>
                </c:pt>
                <c:pt idx="86">
                  <c:v>-6.0000000000000001E-3</c:v>
                </c:pt>
                <c:pt idx="87">
                  <c:v>-5.0000000000000001E-3</c:v>
                </c:pt>
                <c:pt idx="88">
                  <c:v>-4.0000000000000001E-3</c:v>
                </c:pt>
                <c:pt idx="89">
                  <c:v>-3.0000000000000001E-3</c:v>
                </c:pt>
                <c:pt idx="90">
                  <c:v>-2E-3</c:v>
                </c:pt>
                <c:pt idx="91">
                  <c:v>-1E-3</c:v>
                </c:pt>
                <c:pt idx="92">
                  <c:v>0</c:v>
                </c:pt>
                <c:pt idx="93">
                  <c:v>1E-3</c:v>
                </c:pt>
                <c:pt idx="94">
                  <c:v>2E-3</c:v>
                </c:pt>
                <c:pt idx="95">
                  <c:v>3.0000000000000001E-3</c:v>
                </c:pt>
                <c:pt idx="96">
                  <c:v>4.0000000000000001E-3</c:v>
                </c:pt>
                <c:pt idx="97">
                  <c:v>5.0000000000000001E-3</c:v>
                </c:pt>
                <c:pt idx="98">
                  <c:v>6.0000000000000001E-3</c:v>
                </c:pt>
                <c:pt idx="99">
                  <c:v>7.0000000000000001E-3</c:v>
                </c:pt>
                <c:pt idx="100">
                  <c:v>8.0000000000000002E-3</c:v>
                </c:pt>
                <c:pt idx="101">
                  <c:v>9.0000000000000011E-3</c:v>
                </c:pt>
                <c:pt idx="102">
                  <c:v>1.0000000000000002E-2</c:v>
                </c:pt>
                <c:pt idx="103">
                  <c:v>1.1000000000000003E-2</c:v>
                </c:pt>
                <c:pt idx="104">
                  <c:v>1.2000000000000004E-2</c:v>
                </c:pt>
                <c:pt idx="105">
                  <c:v>1.3000000000000005E-2</c:v>
                </c:pt>
                <c:pt idx="106">
                  <c:v>1.4000000000000005E-2</c:v>
                </c:pt>
                <c:pt idx="107">
                  <c:v>1.5000000000000006E-2</c:v>
                </c:pt>
                <c:pt idx="108">
                  <c:v>1.6000000000000007E-2</c:v>
                </c:pt>
                <c:pt idx="109">
                  <c:v>1.7000000000000008E-2</c:v>
                </c:pt>
                <c:pt idx="110">
                  <c:v>1.8000000000000009E-2</c:v>
                </c:pt>
                <c:pt idx="111">
                  <c:v>1.900000000000001E-2</c:v>
                </c:pt>
                <c:pt idx="112">
                  <c:v>2.0000000000000011E-2</c:v>
                </c:pt>
                <c:pt idx="113">
                  <c:v>2.1000000000000012E-2</c:v>
                </c:pt>
                <c:pt idx="114">
                  <c:v>2.2000000000000013E-2</c:v>
                </c:pt>
                <c:pt idx="115">
                  <c:v>2.3000000000000013E-2</c:v>
                </c:pt>
                <c:pt idx="116">
                  <c:v>2.4000000000000014E-2</c:v>
                </c:pt>
                <c:pt idx="117">
                  <c:v>2.5000000000000015E-2</c:v>
                </c:pt>
                <c:pt idx="118">
                  <c:v>2.6000000000000016E-2</c:v>
                </c:pt>
                <c:pt idx="119">
                  <c:v>2.7000000000000017E-2</c:v>
                </c:pt>
                <c:pt idx="120">
                  <c:v>2.8000000000000018E-2</c:v>
                </c:pt>
                <c:pt idx="121">
                  <c:v>2.9000000000000019E-2</c:v>
                </c:pt>
                <c:pt idx="122">
                  <c:v>3.000000000000002E-2</c:v>
                </c:pt>
                <c:pt idx="123">
                  <c:v>3.1000000000000021E-2</c:v>
                </c:pt>
                <c:pt idx="124">
                  <c:v>3.2000000000000021E-2</c:v>
                </c:pt>
                <c:pt idx="125">
                  <c:v>3.3000000000000022E-2</c:v>
                </c:pt>
                <c:pt idx="126">
                  <c:v>3.4000000000000023E-2</c:v>
                </c:pt>
                <c:pt idx="127">
                  <c:v>3.5000000000000024E-2</c:v>
                </c:pt>
                <c:pt idx="128">
                  <c:v>3.6000000000000025E-2</c:v>
                </c:pt>
                <c:pt idx="129">
                  <c:v>3.7000000000000026E-2</c:v>
                </c:pt>
                <c:pt idx="130">
                  <c:v>3.8000000000000027E-2</c:v>
                </c:pt>
                <c:pt idx="131">
                  <c:v>3.9000000000000028E-2</c:v>
                </c:pt>
                <c:pt idx="132">
                  <c:v>4.0000000000000029E-2</c:v>
                </c:pt>
                <c:pt idx="133">
                  <c:v>4.1000000000000029E-2</c:v>
                </c:pt>
                <c:pt idx="134">
                  <c:v>4.200000000000003E-2</c:v>
                </c:pt>
                <c:pt idx="135">
                  <c:v>4.3000000000000031E-2</c:v>
                </c:pt>
                <c:pt idx="136">
                  <c:v>4.4000000000000032E-2</c:v>
                </c:pt>
                <c:pt idx="137">
                  <c:v>4.5000000000000033E-2</c:v>
                </c:pt>
                <c:pt idx="138">
                  <c:v>4.6000000000000034E-2</c:v>
                </c:pt>
                <c:pt idx="139">
                  <c:v>4.7000000000000035E-2</c:v>
                </c:pt>
                <c:pt idx="140">
                  <c:v>4.8000000000000036E-2</c:v>
                </c:pt>
                <c:pt idx="141">
                  <c:v>4.9000000000000037E-2</c:v>
                </c:pt>
                <c:pt idx="142">
                  <c:v>5.0000000000000037E-2</c:v>
                </c:pt>
                <c:pt idx="143">
                  <c:v>5.1000000000000038E-2</c:v>
                </c:pt>
                <c:pt idx="144">
                  <c:v>5.2000000000000039E-2</c:v>
                </c:pt>
                <c:pt idx="145">
                  <c:v>5.300000000000004E-2</c:v>
                </c:pt>
                <c:pt idx="146">
                  <c:v>5.4000000000000041E-2</c:v>
                </c:pt>
                <c:pt idx="147">
                  <c:v>5.5000000000000042E-2</c:v>
                </c:pt>
                <c:pt idx="148">
                  <c:v>5.6000000000000043E-2</c:v>
                </c:pt>
                <c:pt idx="149">
                  <c:v>5.7000000000000044E-2</c:v>
                </c:pt>
                <c:pt idx="150">
                  <c:v>5.8000000000000045E-2</c:v>
                </c:pt>
                <c:pt idx="151">
                  <c:v>5.9000000000000045E-2</c:v>
                </c:pt>
                <c:pt idx="152">
                  <c:v>6.0000000000000046E-2</c:v>
                </c:pt>
                <c:pt idx="153">
                  <c:v>6.1000000000000047E-2</c:v>
                </c:pt>
                <c:pt idx="154">
                  <c:v>6.2000000000000048E-2</c:v>
                </c:pt>
                <c:pt idx="155">
                  <c:v>6.3000000000000042E-2</c:v>
                </c:pt>
                <c:pt idx="156">
                  <c:v>6.4000000000000043E-2</c:v>
                </c:pt>
                <c:pt idx="157">
                  <c:v>6.5000000000000044E-2</c:v>
                </c:pt>
                <c:pt idx="158">
                  <c:v>6.6000000000000045E-2</c:v>
                </c:pt>
                <c:pt idx="159">
                  <c:v>6.7000000000000046E-2</c:v>
                </c:pt>
                <c:pt idx="160">
                  <c:v>6.8000000000000047E-2</c:v>
                </c:pt>
                <c:pt idx="161">
                  <c:v>6.9000000000000047E-2</c:v>
                </c:pt>
                <c:pt idx="162">
                  <c:v>7.0000000000000048E-2</c:v>
                </c:pt>
                <c:pt idx="163">
                  <c:v>7.1000000000000049E-2</c:v>
                </c:pt>
                <c:pt idx="164">
                  <c:v>7.200000000000005E-2</c:v>
                </c:pt>
                <c:pt idx="165">
                  <c:v>7.3000000000000051E-2</c:v>
                </c:pt>
                <c:pt idx="166">
                  <c:v>7.4000000000000052E-2</c:v>
                </c:pt>
                <c:pt idx="167">
                  <c:v>7.5000000000000053E-2</c:v>
                </c:pt>
                <c:pt idx="168">
                  <c:v>7.6000000000000054E-2</c:v>
                </c:pt>
                <c:pt idx="169">
                  <c:v>7.7000000000000055E-2</c:v>
                </c:pt>
                <c:pt idx="170">
                  <c:v>7.8000000000000055E-2</c:v>
                </c:pt>
                <c:pt idx="171">
                  <c:v>7.9000000000000056E-2</c:v>
                </c:pt>
                <c:pt idx="172">
                  <c:v>8.0000000000000057E-2</c:v>
                </c:pt>
                <c:pt idx="173">
                  <c:v>8.1000000000000058E-2</c:v>
                </c:pt>
                <c:pt idx="174">
                  <c:v>8.2000000000000059E-2</c:v>
                </c:pt>
                <c:pt idx="175">
                  <c:v>8.300000000000006E-2</c:v>
                </c:pt>
                <c:pt idx="176">
                  <c:v>8.4000000000000061E-2</c:v>
                </c:pt>
                <c:pt idx="177">
                  <c:v>8.5000000000000062E-2</c:v>
                </c:pt>
                <c:pt idx="178">
                  <c:v>8.6000000000000063E-2</c:v>
                </c:pt>
                <c:pt idx="179">
                  <c:v>8.7000000000000063E-2</c:v>
                </c:pt>
                <c:pt idx="180">
                  <c:v>8.8000000000000064E-2</c:v>
                </c:pt>
                <c:pt idx="181">
                  <c:v>8.9000000000000065E-2</c:v>
                </c:pt>
                <c:pt idx="182">
                  <c:v>9.0000000000000066E-2</c:v>
                </c:pt>
                <c:pt idx="183">
                  <c:v>9.1000000000000067E-2</c:v>
                </c:pt>
                <c:pt idx="184">
                  <c:v>9.2000000000000068E-2</c:v>
                </c:pt>
              </c:numCache>
            </c:numRef>
          </c:xVal>
          <c:yVal>
            <c:numRef>
              <c:f>'Notes | Quant Analysis'!$M$209:$M$393</c:f>
              <c:numCache>
                <c:formatCode>General</c:formatCode>
                <c:ptCount val="185"/>
                <c:pt idx="0">
                  <c:v>6.1617671304536083E-2</c:v>
                </c:pt>
                <c:pt idx="1">
                  <c:v>6.8986126651079865E-2</c:v>
                </c:pt>
                <c:pt idx="2">
                  <c:v>7.7143731703207041E-2</c:v>
                </c:pt>
                <c:pt idx="3">
                  <c:v>8.6163221265048967E-2</c:v>
                </c:pt>
                <c:pt idx="4">
                  <c:v>9.6122622763781196E-2</c:v>
                </c:pt>
                <c:pt idx="5">
                  <c:v>0.10710548183142093</c:v>
                </c:pt>
                <c:pt idx="6">
                  <c:v>0.11920107937651553</c:v>
                </c:pt>
                <c:pt idx="7">
                  <c:v>0.13250463752451974</c:v>
                </c:pt>
                <c:pt idx="8">
                  <c:v>0.14711751160259043</c:v>
                </c:pt>
                <c:pt idx="9">
                  <c:v>0.16314736514668465</c:v>
                </c:pt>
                <c:pt idx="10">
                  <c:v>0.18070832471901777</c:v>
                </c:pt>
                <c:pt idx="11">
                  <c:v>0.1999211111452065</c:v>
                </c:pt>
                <c:pt idx="12">
                  <c:v>0.22091314361600509</c:v>
                </c:pt>
                <c:pt idx="13">
                  <c:v>0.2438186129518804</c:v>
                </c:pt>
                <c:pt idx="14">
                  <c:v>0.26877852020333309</c:v>
                </c:pt>
                <c:pt idx="15">
                  <c:v>0.29594067665954826</c:v>
                </c:pt>
                <c:pt idx="16">
                  <c:v>0.32545966126641712</c:v>
                </c:pt>
                <c:pt idx="17">
                  <c:v>0.357496731416034</c:v>
                </c:pt>
                <c:pt idx="18">
                  <c:v>0.39221968306719862</c:v>
                </c:pt>
                <c:pt idx="19">
                  <c:v>0.42980265619401842</c:v>
                </c:pt>
                <c:pt idx="20">
                  <c:v>0.47042588164095156</c:v>
                </c:pt>
                <c:pt idx="21">
                  <c:v>0.51427536559103171</c:v>
                </c:pt>
                <c:pt idx="22">
                  <c:v>0.56154250803269223</c:v>
                </c:pt>
                <c:pt idx="23">
                  <c:v>0.61242365184241709</c:v>
                </c:pt>
                <c:pt idx="24">
                  <c:v>0.66711955938785805</c:v>
                </c:pt>
                <c:pt idx="25">
                  <c:v>0.72583481390102655</c:v>
                </c:pt>
                <c:pt idx="26">
                  <c:v>0.78877714327521653</c:v>
                </c:pt>
                <c:pt idx="27">
                  <c:v>0.85615666440323424</c:v>
                </c:pt>
                <c:pt idx="28">
                  <c:v>0.92818504669856561</c:v>
                </c:pt>
                <c:pt idx="29">
                  <c:v>1.0050745940247316</c:v>
                </c:pt>
                <c:pt idx="30">
                  <c:v>1.0870372448999366</c:v>
                </c:pt>
                <c:pt idx="31">
                  <c:v>1.1742834915421416</c:v>
                </c:pt>
                <c:pt idx="32">
                  <c:v>1.2670212190706713</c:v>
                </c:pt>
                <c:pt idx="33">
                  <c:v>1.3654544669807143</c:v>
                </c:pt>
                <c:pt idx="34">
                  <c:v>1.4697821158514481</c:v>
                </c:pt>
                <c:pt idx="35">
                  <c:v>1.5801965031313616</c:v>
                </c:pt>
                <c:pt idx="36">
                  <c:v>1.6968819727588755</c:v>
                </c:pt>
                <c:pt idx="37">
                  <c:v>1.8200133643147915</c:v>
                </c:pt>
                <c:pt idx="38">
                  <c:v>1.9497544483569276</c:v>
                </c:pt>
                <c:pt idx="39">
                  <c:v>2.086256315547101</c:v>
                </c:pt>
                <c:pt idx="40">
                  <c:v>2.2296557281361262</c:v>
                </c:pt>
                <c:pt idx="41">
                  <c:v>2.3800734433128432</c:v>
                </c:pt>
                <c:pt idx="42">
                  <c:v>2.5376125188368337</c:v>
                </c:pt>
                <c:pt idx="43">
                  <c:v>2.7023566122494564</c:v>
                </c:pt>
                <c:pt idx="44">
                  <c:v>2.8743682857817219</c:v>
                </c:pt>
                <c:pt idx="45">
                  <c:v>3.0536873298377292</c:v>
                </c:pt>
                <c:pt idx="46">
                  <c:v>3.2403291186163687</c:v>
                </c:pt>
                <c:pt idx="47">
                  <c:v>3.4342830120289372</c:v>
                </c:pt>
                <c:pt idx="48">
                  <c:v>3.6355108185643012</c:v>
                </c:pt>
                <c:pt idx="49">
                  <c:v>3.8439453341340659</c:v>
                </c:pt>
                <c:pt idx="50">
                  <c:v>4.0594889721870278</c:v>
                </c:pt>
                <c:pt idx="51">
                  <c:v>4.2820125005044067</c:v>
                </c:pt>
                <c:pt idx="52">
                  <c:v>4.5113539000659104</c:v>
                </c:pt>
                <c:pt idx="53">
                  <c:v>4.7473173612032005</c:v>
                </c:pt>
                <c:pt idx="54">
                  <c:v>4.9896724319254551</c:v>
                </c:pt>
                <c:pt idx="55">
                  <c:v>5.2381533328059842</c:v>
                </c:pt>
                <c:pt idx="56">
                  <c:v>5.4924584521560957</c:v>
                </c:pt>
                <c:pt idx="57">
                  <c:v>5.7522500343809222</c:v>
                </c:pt>
                <c:pt idx="58">
                  <c:v>6.0171540734122368</c:v>
                </c:pt>
                <c:pt idx="59">
                  <c:v>6.2867604219477213</c:v>
                </c:pt>
                <c:pt idx="60">
                  <c:v>6.5606231258996504</c:v>
                </c:pt>
                <c:pt idx="61">
                  <c:v>6.8382609919749617</c:v>
                </c:pt>
                <c:pt idx="62">
                  <c:v>7.1191583946825752</c:v>
                </c:pt>
                <c:pt idx="63">
                  <c:v>7.4027663273035254</c:v>
                </c:pt>
                <c:pt idx="64">
                  <c:v>7.6885036994786171</c:v>
                </c:pt>
                <c:pt idx="65">
                  <c:v>7.9757588820818697</c:v>
                </c:pt>
                <c:pt idx="66">
                  <c:v>8.263891497973896</c:v>
                </c:pt>
                <c:pt idx="67">
                  <c:v>8.5522344550859604</c:v>
                </c:pt>
                <c:pt idx="68">
                  <c:v>8.8400962160941283</c:v>
                </c:pt>
                <c:pt idx="69">
                  <c:v>9.1267632967252457</c:v>
                </c:pt>
                <c:pt idx="70">
                  <c:v>9.4115029825159571</c:v>
                </c:pt>
                <c:pt idx="71">
                  <c:v>9.6935662516465726</c:v>
                </c:pt>
                <c:pt idx="72">
                  <c:v>9.972190889317984</c:v>
                </c:pt>
                <c:pt idx="73">
                  <c:v>10.246604777057085</c:v>
                </c:pt>
                <c:pt idx="74">
                  <c:v>10.516029338348908</c:v>
                </c:pt>
                <c:pt idx="75">
                  <c:v>10.779683120126862</c:v>
                </c:pt>
                <c:pt idx="76">
                  <c:v>11.036785487929368</c:v>
                </c:pt>
                <c:pt idx="77">
                  <c:v>11.286560410975092</c:v>
                </c:pt>
                <c:pt idx="78">
                  <c:v>11.528240312040804</c:v>
                </c:pt>
                <c:pt idx="79">
                  <c:v>11.761069955865604</c:v>
                </c:pt>
                <c:pt idx="80">
                  <c:v>11.984310348870368</c:v>
                </c:pt>
                <c:pt idx="81">
                  <c:v>12.197242622287078</c:v>
                </c:pt>
                <c:pt idx="82">
                  <c:v>12.39917187035231</c:v>
                </c:pt>
                <c:pt idx="83">
                  <c:v>12.589430915042165</c:v>
                </c:pt>
                <c:pt idx="84">
                  <c:v>12.767383968919738</c:v>
                </c:pt>
                <c:pt idx="85">
                  <c:v>12.932430168034792</c:v>
                </c:pt>
                <c:pt idx="86">
                  <c:v>13.084006947459088</c:v>
                </c:pt>
                <c:pt idx="87">
                  <c:v>13.221593232957506</c:v>
                </c:pt>
                <c:pt idx="88">
                  <c:v>13.3447124234788</c:v>
                </c:pt>
                <c:pt idx="89">
                  <c:v>13.452935140591308</c:v>
                </c:pt>
                <c:pt idx="90">
                  <c:v>13.545881722675754</c:v>
                </c:pt>
                <c:pt idx="91">
                  <c:v>13.623224443604377</c:v>
                </c:pt>
                <c:pt idx="92">
                  <c:v>13.684689437764181</c:v>
                </c:pt>
                <c:pt idx="93">
                  <c:v>13.730058315601317</c:v>
                </c:pt>
                <c:pt idx="94">
                  <c:v>13.759169456350143</c:v>
                </c:pt>
                <c:pt idx="95">
                  <c:v>13.771918967238275</c:v>
                </c:pt>
                <c:pt idx="96">
                  <c:v>13.768261301200909</c:v>
                </c:pt>
                <c:pt idx="97">
                  <c:v>13.74820952796464</c:v>
                </c:pt>
                <c:pt idx="98">
                  <c:v>13.711835256242864</c:v>
                </c:pt>
                <c:pt idx="99">
                  <c:v>13.659268207690962</c:v>
                </c:pt>
                <c:pt idx="100">
                  <c:v>13.59069544616859</c:v>
                </c:pt>
                <c:pt idx="101">
                  <c:v>13.506360268717556</c:v>
                </c:pt>
                <c:pt idx="102">
                  <c:v>13.406560767456481</c:v>
                </c:pt>
                <c:pt idx="103">
                  <c:v>13.291648074288029</c:v>
                </c:pt>
                <c:pt idx="104">
                  <c:v>13.162024302882525</c:v>
                </c:pt>
                <c:pt idx="105">
                  <c:v>13.018140204816929</c:v>
                </c:pt>
                <c:pt idx="106">
                  <c:v>12.860492558984898</c:v>
                </c:pt>
                <c:pt idx="107">
                  <c:v>12.689621315430712</c:v>
                </c:pt>
                <c:pt idx="108">
                  <c:v>12.50610651657604</c:v>
                </c:pt>
                <c:pt idx="109">
                  <c:v>12.310565020388065</c:v>
                </c:pt>
                <c:pt idx="110">
                  <c:v>12.103647051365096</c:v>
                </c:pt>
                <c:pt idx="111">
                  <c:v>11.886032606281622</c:v>
                </c:pt>
                <c:pt idx="112">
                  <c:v>11.658427742430204</c:v>
                </c:pt>
                <c:pt idx="113">
                  <c:v>11.421560776618916</c:v>
                </c:pt>
                <c:pt idx="114">
                  <c:v>11.176178423428807</c:v>
                </c:pt>
                <c:pt idx="115">
                  <c:v>10.923041901208276</c:v>
                </c:pt>
                <c:pt idx="116">
                  <c:v>10.662923033985857</c:v>
                </c:pt>
                <c:pt idx="117">
                  <c:v>10.396600376927921</c:v>
                </c:pt>
                <c:pt idx="118">
                  <c:v>10.12485539216458</c:v>
                </c:pt>
                <c:pt idx="119">
                  <c:v>9.8484687007697662</c:v>
                </c:pt>
                <c:pt idx="120">
                  <c:v>9.5682164354260681</c:v>
                </c:pt>
                <c:pt idx="121">
                  <c:v>9.2848667168505461</c:v>
                </c:pt>
                <c:pt idx="122">
                  <c:v>8.9991762754244284</c:v>
                </c:pt>
                <c:pt idx="123">
                  <c:v>8.711887237679532</c:v>
                </c:pt>
                <c:pt idx="124">
                  <c:v>8.4237240953708472</c:v>
                </c:pt>
                <c:pt idx="125">
                  <c:v>8.1353908728317297</c:v>
                </c:pt>
                <c:pt idx="126">
                  <c:v>7.8475685061908473</c:v>
                </c:pt>
                <c:pt idx="127">
                  <c:v>7.5609124458528143</c:v>
                </c:pt>
                <c:pt idx="128">
                  <c:v>7.2760504914327209</c:v>
                </c:pt>
                <c:pt idx="129">
                  <c:v>6.9935808661125325</c:v>
                </c:pt>
                <c:pt idx="130">
                  <c:v>6.7140705351785135</c:v>
                </c:pt>
                <c:pt idx="131">
                  <c:v>6.4380537713264161</c:v>
                </c:pt>
                <c:pt idx="132">
                  <c:v>6.166030967205951</c:v>
                </c:pt>
                <c:pt idx="133">
                  <c:v>5.8984676936389473</c:v>
                </c:pt>
                <c:pt idx="134">
                  <c:v>5.6357940000040987</c:v>
                </c:pt>
                <c:pt idx="135">
                  <c:v>5.3784039514523379</c:v>
                </c:pt>
                <c:pt idx="136">
                  <c:v>5.1266553959148702</c:v>
                </c:pt>
                <c:pt idx="137">
                  <c:v>4.8808699523031978</c:v>
                </c:pt>
                <c:pt idx="138">
                  <c:v>4.6413332098874021</c:v>
                </c:pt>
                <c:pt idx="139">
                  <c:v>4.408295127583405</c:v>
                </c:pt>
                <c:pt idx="140">
                  <c:v>4.181970620787923</c:v>
                </c:pt>
                <c:pt idx="141">
                  <c:v>3.962540322474926</c:v>
                </c:pt>
                <c:pt idx="142">
                  <c:v>3.7501515045111535</c:v>
                </c:pt>
                <c:pt idx="143">
                  <c:v>3.5449191445603208</c:v>
                </c:pt>
                <c:pt idx="144">
                  <c:v>3.3469271235234039</c:v>
                </c:pt>
                <c:pt idx="145">
                  <c:v>3.1562295382018863</c:v>
                </c:pt>
                <c:pt idx="146">
                  <c:v>2.9728521137660513</c:v>
                </c:pt>
                <c:pt idx="147">
                  <c:v>2.7967937006540704</c:v>
                </c:pt>
                <c:pt idx="148">
                  <c:v>2.6280278407110456</c:v>
                </c:pt>
                <c:pt idx="149">
                  <c:v>2.4665043876906498</c:v>
                </c:pt>
                <c:pt idx="150">
                  <c:v>2.3121511676746236</c:v>
                </c:pt>
                <c:pt idx="151">
                  <c:v>2.1648756655059174</c:v>
                </c:pt>
                <c:pt idx="152">
                  <c:v>2.0245667239674252</c:v>
                </c:pt>
                <c:pt idx="153">
                  <c:v>1.8910962431577654</c:v>
                </c:pt>
                <c:pt idx="154">
                  <c:v>1.7643208683057212</c:v>
                </c:pt>
                <c:pt idx="155">
                  <c:v>1.6440836551131739</c:v>
                </c:pt>
                <c:pt idx="156">
                  <c:v>1.5302157026100593</c:v>
                </c:pt>
                <c:pt idx="157">
                  <c:v>1.4225377444318932</c:v>
                </c:pt>
                <c:pt idx="158">
                  <c:v>1.3208616903788986</c:v>
                </c:pt>
                <c:pt idx="159">
                  <c:v>1.2249921110745188</c:v>
                </c:pt>
                <c:pt idx="160">
                  <c:v>1.1347276594994127</c:v>
                </c:pt>
                <c:pt idx="161">
                  <c:v>1.0498624241251573</c:v>
                </c:pt>
                <c:pt idx="162">
                  <c:v>0.97018720930063795</c:v>
                </c:pt>
                <c:pt idx="163">
                  <c:v>0.89549073944540258</c:v>
                </c:pt>
                <c:pt idx="164">
                  <c:v>0.82556078447075631</c:v>
                </c:pt>
                <c:pt idx="165">
                  <c:v>0.7601852046747124</c:v>
                </c:pt>
                <c:pt idx="166">
                  <c:v>0.69915291413576297</c:v>
                </c:pt>
                <c:pt idx="167">
                  <c:v>0.6422547623582433</c:v>
                </c:pt>
                <c:pt idx="168">
                  <c:v>0.58928433459536189</c:v>
                </c:pt>
                <c:pt idx="169">
                  <c:v>0.54003867189209032</c:v>
                </c:pt>
                <c:pt idx="170">
                  <c:v>0.49431891244728798</c:v>
                </c:pt>
                <c:pt idx="171">
                  <c:v>0.45193085639169822</c:v>
                </c:pt>
                <c:pt idx="172">
                  <c:v>0.41268545651563876</c:v>
                </c:pt>
                <c:pt idx="173">
                  <c:v>0.37639923785775209</c:v>
                </c:pt>
                <c:pt idx="174">
                  <c:v>0.34289464938531145</c:v>
                </c:pt>
                <c:pt idx="175">
                  <c:v>0.31200035125889619</c:v>
                </c:pt>
                <c:pt idx="176">
                  <c:v>0.28355144138208321</c:v>
                </c:pt>
                <c:pt idx="177">
                  <c:v>0.257389625092667</c:v>
                </c:pt>
                <c:pt idx="178">
                  <c:v>0.23336333195890896</c:v>
                </c:pt>
                <c:pt idx="179">
                  <c:v>0.21132778370565641</c:v>
                </c:pt>
                <c:pt idx="180">
                  <c:v>0.19114501731438688</c:v>
                </c:pt>
                <c:pt idx="181">
                  <c:v>0.17268386732198815</c:v>
                </c:pt>
                <c:pt idx="182">
                  <c:v>0.15581991128914097</c:v>
                </c:pt>
                <c:pt idx="183">
                  <c:v>0.14043538232433395</c:v>
                </c:pt>
                <c:pt idx="184">
                  <c:v>0.12641905243759902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Analysis'!$O$209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1369616090545906E-2"/>
                  <c:y val="-2.71031697960831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004979519472452"/>
                      <c:h val="7.74484151019584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Analysis'!$P$209:$P$210</c:f>
              <c:numCache>
                <c:formatCode>0.00%</c:formatCode>
                <c:ptCount val="2"/>
                <c:pt idx="0">
                  <c:v>3.2771263464247821E-3</c:v>
                </c:pt>
                <c:pt idx="1">
                  <c:v>3.2771263464247821E-3</c:v>
                </c:pt>
              </c:numCache>
            </c:numRef>
          </c:xVal>
          <c:yVal>
            <c:numRef>
              <c:f>'Notes | Quant Analysis'!$Q$209:$Q$210</c:f>
              <c:numCache>
                <c:formatCode>General</c:formatCode>
                <c:ptCount val="2"/>
                <c:pt idx="0">
                  <c:v>0</c:v>
                </c:pt>
                <c:pt idx="1">
                  <c:v>13.75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Analysis'!$O$211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Analysis'!$P$211:$P$212</c:f>
              <c:numCache>
                <c:formatCode>0.00%</c:formatCode>
                <c:ptCount val="2"/>
                <c:pt idx="0">
                  <c:v>-8.3622315367912717E-2</c:v>
                </c:pt>
                <c:pt idx="1">
                  <c:v>-8.3622315367912717E-2</c:v>
                </c:pt>
              </c:numCache>
            </c:numRef>
          </c:xVal>
          <c:yVal>
            <c:numRef>
              <c:f>'Notes | Quant Analysis'!$Q$211:$Q$212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Analysis'!$O$213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4.9842664343413515E-2"/>
                  <c:y val="-3.80060569351907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Analysis'!$P$213:$P$214</c:f>
              <c:numCache>
                <c:formatCode>0.00%</c:formatCode>
                <c:ptCount val="2"/>
                <c:pt idx="0">
                  <c:v>-5.4655834796466886E-2</c:v>
                </c:pt>
                <c:pt idx="1">
                  <c:v>-5.4655834796466886E-2</c:v>
                </c:pt>
              </c:numCache>
            </c:numRef>
          </c:xVal>
          <c:yVal>
            <c:numRef>
              <c:f>'Notes | Quant Analysis'!$Q$213:$Q$214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Analysis'!$O$215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Analysis'!$P$215:$P$216</c:f>
              <c:numCache>
                <c:formatCode>0.00%</c:formatCode>
                <c:ptCount val="2"/>
                <c:pt idx="0">
                  <c:v>-2.5689354225021051E-2</c:v>
                </c:pt>
                <c:pt idx="1">
                  <c:v>-2.5689354225021051E-2</c:v>
                </c:pt>
              </c:numCache>
            </c:numRef>
          </c:xVal>
          <c:yVal>
            <c:numRef>
              <c:f>'Notes | Quant Analysis'!$Q$215:$Q$216</c:f>
              <c:numCache>
                <c:formatCode>General</c:formatCode>
                <c:ptCount val="2"/>
                <c:pt idx="0">
                  <c:v>0</c:v>
                </c:pt>
                <c:pt idx="1">
                  <c:v>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Analysis'!$O$217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Analysis'!$P$217:$P$218</c:f>
              <c:numCache>
                <c:formatCode>0.00%</c:formatCode>
                <c:ptCount val="2"/>
                <c:pt idx="0">
                  <c:v>3.2243606917870614E-2</c:v>
                </c:pt>
                <c:pt idx="1">
                  <c:v>3.2243606917870614E-2</c:v>
                </c:pt>
              </c:numCache>
            </c:numRef>
          </c:xVal>
          <c:yVal>
            <c:numRef>
              <c:f>'Notes | Quant Analysis'!$Q$217:$Q$218</c:f>
              <c:numCache>
                <c:formatCode>General</c:formatCode>
                <c:ptCount val="2"/>
                <c:pt idx="0">
                  <c:v>0</c:v>
                </c:pt>
                <c:pt idx="1">
                  <c:v>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Analysis'!$O$219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4.486162061714434E-2"/>
                  <c:y val="-3.5589137896224601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Analysis'!$P$219:$P$220</c:f>
              <c:numCache>
                <c:formatCode>0.00%</c:formatCode>
                <c:ptCount val="2"/>
                <c:pt idx="0">
                  <c:v>6.1210087489316452E-2</c:v>
                </c:pt>
                <c:pt idx="1">
                  <c:v>6.1210087489316452E-2</c:v>
                </c:pt>
              </c:numCache>
            </c:numRef>
          </c:xVal>
          <c:yVal>
            <c:numRef>
              <c:f>'Notes | Quant Analysis'!$Q$219:$Q$220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Analysis'!$O$221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Analysis'!$P$221:$P$222</c:f>
              <c:numCache>
                <c:formatCode>0.00%</c:formatCode>
                <c:ptCount val="2"/>
                <c:pt idx="0">
                  <c:v>9.0176568060762283E-2</c:v>
                </c:pt>
                <c:pt idx="1">
                  <c:v>9.0176568060762283E-2</c:v>
                </c:pt>
              </c:numCache>
            </c:numRef>
          </c:xVal>
          <c:yVal>
            <c:numRef>
              <c:f>'Notes | Quant Analysis'!$Q$221:$Q$222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0.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(GEV)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Model!$Z$54:$AA$54</c:f>
              <c:numCache>
                <c:formatCode>General</c:formatCode>
                <c:ptCount val="2"/>
                <c:pt idx="0">
                  <c:v>-438</c:v>
                </c:pt>
                <c:pt idx="1">
                  <c:v>1553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strRef>
              <c:f>Model!$B$104</c:f>
              <c:strCache>
                <c:ptCount val="1"/>
                <c:pt idx="0">
                  <c:v>FCF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Model!$Z$104:$AA$104</c:f>
              <c:numCache>
                <c:formatCode>General</c:formatCode>
                <c:ptCount val="2"/>
                <c:pt idx="0">
                  <c:v>444</c:v>
                </c:pt>
                <c:pt idx="1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/>
          </c:spPr>
          <c:marker>
            <c:symbol val="none"/>
          </c:marker>
          <c:cat>
            <c:numRef>
              <c:f>Model!$Z$3:$AA$3</c:f>
              <c:numCache>
                <c:formatCode>General</c:formatCode>
                <c:ptCount val="2"/>
                <c:pt idx="0">
                  <c:v>2023</c:v>
                </c:pt>
                <c:pt idx="1">
                  <c:v>2024</c:v>
                </c:pt>
              </c:numCache>
            </c:numRef>
          </c:cat>
          <c:val>
            <c:numRef>
              <c:f>Model!$Z$41:$AA$41</c:f>
              <c:numCache>
                <c:formatCode>General</c:formatCode>
                <c:ptCount val="2"/>
                <c:pt idx="0">
                  <c:v>33239</c:v>
                </c:pt>
                <c:pt idx="1">
                  <c:v>34935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11203</xdr:colOff>
      <xdr:row>2</xdr:row>
      <xdr:rowOff>11206</xdr:rowOff>
    </xdr:from>
    <xdr:to>
      <xdr:col>9</xdr:col>
      <xdr:colOff>605117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0A0239-67B7-8D2A-9383-31313DE53D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55" r="8823"/>
        <a:stretch>
          <a:fillRect/>
        </a:stretch>
      </xdr:blipFill>
      <xdr:spPr>
        <a:xfrm>
          <a:off x="4034115" y="381000"/>
          <a:ext cx="1804149" cy="1243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13</xdr:col>
      <xdr:colOff>0</xdr:colOff>
      <xdr:row>111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D82459E-58B3-42DB-9684-9D533E1F9712}"/>
            </a:ext>
          </a:extLst>
        </xdr:cNvPr>
        <xdr:cNvCxnSpPr/>
      </xdr:nvCxnSpPr>
      <xdr:spPr>
        <a:xfrm>
          <a:off x="9300882" y="0"/>
          <a:ext cx="0" cy="190679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0</xdr:row>
      <xdr:rowOff>0</xdr:rowOff>
    </xdr:from>
    <xdr:to>
      <xdr:col>27</xdr:col>
      <xdr:colOff>0</xdr:colOff>
      <xdr:row>110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001E5F4-1B9E-487D-83F1-747CF5EB542B}"/>
            </a:ext>
          </a:extLst>
        </xdr:cNvPr>
        <xdr:cNvCxnSpPr/>
      </xdr:nvCxnSpPr>
      <xdr:spPr>
        <a:xfrm>
          <a:off x="17772529" y="0"/>
          <a:ext cx="0" cy="1808405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66</xdr:row>
      <xdr:rowOff>190499</xdr:rowOff>
    </xdr:from>
    <xdr:to>
      <xdr:col>23</xdr:col>
      <xdr:colOff>0</xdr:colOff>
      <xdr:row>97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103</xdr:row>
      <xdr:rowOff>0</xdr:rowOff>
    </xdr:from>
    <xdr:to>
      <xdr:col>23</xdr:col>
      <xdr:colOff>0</xdr:colOff>
      <xdr:row>131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168</xdr:row>
      <xdr:rowOff>0</xdr:rowOff>
    </xdr:from>
    <xdr:to>
      <xdr:col>23</xdr:col>
      <xdr:colOff>0</xdr:colOff>
      <xdr:row>196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136</xdr:row>
      <xdr:rowOff>0</xdr:rowOff>
    </xdr:from>
    <xdr:to>
      <xdr:col>23</xdr:col>
      <xdr:colOff>0</xdr:colOff>
      <xdr:row>164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13608</xdr:colOff>
      <xdr:row>2</xdr:row>
      <xdr:rowOff>13607</xdr:rowOff>
    </xdr:from>
    <xdr:to>
      <xdr:col>18</xdr:col>
      <xdr:colOff>6566</xdr:colOff>
      <xdr:row>29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7C76D0-13D3-0A16-B701-A68B5C54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715" y="381000"/>
          <a:ext cx="6116172" cy="4762500"/>
        </a:xfrm>
        <a:prstGeom prst="rect">
          <a:avLst/>
        </a:prstGeom>
      </xdr:spPr>
    </xdr:pic>
    <xdr:clientData/>
  </xdr:twoCellAnchor>
  <xdr:twoCellAnchor editAs="oneCell">
    <xdr:from>
      <xdr:col>17</xdr:col>
      <xdr:colOff>571500</xdr:colOff>
      <xdr:row>2</xdr:row>
      <xdr:rowOff>13608</xdr:rowOff>
    </xdr:from>
    <xdr:to>
      <xdr:col>27</xdr:col>
      <xdr:colOff>605052</xdr:colOff>
      <xdr:row>29</xdr:row>
      <xdr:rowOff>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5C2825-D790-8267-0DFA-F1C0FF968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0" y="381001"/>
          <a:ext cx="6156766" cy="4762500"/>
        </a:xfrm>
        <a:prstGeom prst="rect">
          <a:avLst/>
        </a:prstGeom>
      </xdr:spPr>
    </xdr:pic>
    <xdr:clientData/>
  </xdr:twoCellAnchor>
  <xdr:twoCellAnchor editAs="oneCell">
    <xdr:from>
      <xdr:col>8</xdr:col>
      <xdr:colOff>13607</xdr:colOff>
      <xdr:row>34</xdr:row>
      <xdr:rowOff>0</xdr:rowOff>
    </xdr:from>
    <xdr:to>
      <xdr:col>17</xdr:col>
      <xdr:colOff>0</xdr:colOff>
      <xdr:row>62</xdr:row>
      <xdr:rowOff>2111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130BE5-2F11-4850-83A1-4FE2595DA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714" y="6055179"/>
          <a:ext cx="5497286" cy="49551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edgar/browse/?CIK=1996810&amp;owner=exclude" TargetMode="External"/><Relationship Id="rId2" Type="http://schemas.openxmlformats.org/officeDocument/2006/relationships/hyperlink" Target="https://www.gevernova.com/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1"/>
  <sheetViews>
    <sheetView zoomScale="85" zoomScaleNormal="85" workbookViewId="0">
      <selection activeCell="D3" sqref="D3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.5703125" style="1" customWidth="1"/>
    <col min="4" max="4" width="9.140625" style="1" customWidth="1"/>
    <col min="5" max="16384" width="9.140625" style="1"/>
  </cols>
  <sheetData>
    <row r="2" spans="2:18" ht="15">
      <c r="B2" s="2" t="s">
        <v>132</v>
      </c>
    </row>
    <row r="3" spans="2:18">
      <c r="B3" s="1" t="s">
        <v>0</v>
      </c>
      <c r="C3" s="73">
        <v>663.16</v>
      </c>
      <c r="D3" s="42" t="s">
        <v>609</v>
      </c>
    </row>
    <row r="4" spans="2:18">
      <c r="B4" s="1" t="s">
        <v>1</v>
      </c>
      <c r="C4" s="43">
        <v>271.32</v>
      </c>
      <c r="D4" s="1" t="s">
        <v>589</v>
      </c>
    </row>
    <row r="5" spans="2:18">
      <c r="B5" s="1" t="s">
        <v>2</v>
      </c>
      <c r="C5" s="72">
        <f>C3*C4</f>
        <v>179928.57119999998</v>
      </c>
    </row>
    <row r="6" spans="2:18">
      <c r="B6" s="1" t="s">
        <v>3</v>
      </c>
      <c r="C6" s="72">
        <v>7945</v>
      </c>
      <c r="D6" s="1" t="s">
        <v>589</v>
      </c>
    </row>
    <row r="7" spans="2:18">
      <c r="B7" s="1" t="s">
        <v>4</v>
      </c>
      <c r="C7" s="72">
        <v>0</v>
      </c>
      <c r="D7" s="1" t="s">
        <v>589</v>
      </c>
    </row>
    <row r="8" spans="2:18">
      <c r="B8" s="1" t="s">
        <v>5</v>
      </c>
      <c r="C8" s="72">
        <f>C5-C6+C7</f>
        <v>171983.57119999998</v>
      </c>
    </row>
    <row r="10" spans="2:18" ht="15">
      <c r="B10" s="2" t="s">
        <v>133</v>
      </c>
    </row>
    <row r="12" spans="2:18" ht="15">
      <c r="B12" s="1" t="s">
        <v>142</v>
      </c>
      <c r="H12" s="1" t="s">
        <v>6</v>
      </c>
      <c r="N12" s="1" t="s">
        <v>108</v>
      </c>
      <c r="Q12" s="2"/>
    </row>
    <row r="13" spans="2:18">
      <c r="B13" s="1" t="s">
        <v>141</v>
      </c>
      <c r="H13" s="1" t="s">
        <v>103</v>
      </c>
      <c r="I13" s="1" t="s">
        <v>134</v>
      </c>
      <c r="N13" s="1" t="s">
        <v>8</v>
      </c>
      <c r="Q13" s="44" t="s">
        <v>145</v>
      </c>
    </row>
    <row r="14" spans="2:18">
      <c r="B14" s="1" t="s">
        <v>136</v>
      </c>
      <c r="H14" s="1" t="s">
        <v>7</v>
      </c>
      <c r="N14" s="1" t="s">
        <v>113</v>
      </c>
      <c r="Q14" s="44" t="s">
        <v>146</v>
      </c>
    </row>
    <row r="15" spans="2:18">
      <c r="B15" s="1" t="s">
        <v>137</v>
      </c>
      <c r="H15" s="1" t="s">
        <v>104</v>
      </c>
      <c r="O15" s="1" t="s">
        <v>112</v>
      </c>
      <c r="R15" s="44" t="s">
        <v>147</v>
      </c>
    </row>
    <row r="16" spans="2:18">
      <c r="B16" s="1" t="s">
        <v>138</v>
      </c>
      <c r="H16" s="1" t="s">
        <v>97</v>
      </c>
      <c r="I16" s="1" t="s">
        <v>135</v>
      </c>
      <c r="K16" s="1" t="s">
        <v>98</v>
      </c>
      <c r="N16" s="1" t="s">
        <v>100</v>
      </c>
      <c r="Q16" s="44" t="s">
        <v>148</v>
      </c>
    </row>
    <row r="17" spans="1:17">
      <c r="B17" s="1" t="s">
        <v>139</v>
      </c>
      <c r="N17" s="1" t="s">
        <v>101</v>
      </c>
      <c r="Q17" s="44" t="s">
        <v>149</v>
      </c>
    </row>
    <row r="18" spans="1:17">
      <c r="B18" s="1" t="s">
        <v>140</v>
      </c>
      <c r="N18" s="1" t="s">
        <v>114</v>
      </c>
      <c r="Q18" s="44" t="s">
        <v>150</v>
      </c>
    </row>
    <row r="19" spans="1:17">
      <c r="B19" s="1" t="s">
        <v>143</v>
      </c>
      <c r="N19" s="1" t="s">
        <v>115</v>
      </c>
      <c r="Q19" s="44" t="s">
        <v>151</v>
      </c>
    </row>
    <row r="20" spans="1:17">
      <c r="B20" s="1" t="s">
        <v>144</v>
      </c>
      <c r="N20" s="1" t="s">
        <v>9</v>
      </c>
      <c r="Q20" s="44" t="s">
        <v>102</v>
      </c>
    </row>
    <row r="21" spans="1:17">
      <c r="Q21" s="44"/>
    </row>
    <row r="22" spans="1:17" ht="15">
      <c r="A22" s="2" t="s">
        <v>10</v>
      </c>
      <c r="N22" s="2"/>
    </row>
    <row r="23" spans="1:17">
      <c r="B23" s="1" t="s">
        <v>152</v>
      </c>
    </row>
    <row r="24" spans="1:17">
      <c r="C24" s="1" t="s">
        <v>153</v>
      </c>
    </row>
    <row r="25" spans="1:17">
      <c r="B25" s="1" t="s">
        <v>155</v>
      </c>
    </row>
    <row r="26" spans="1:17">
      <c r="C26" s="1" t="s">
        <v>158</v>
      </c>
    </row>
    <row r="27" spans="1:17">
      <c r="D27" s="1" t="s">
        <v>156</v>
      </c>
    </row>
    <row r="28" spans="1:17">
      <c r="D28" s="1" t="s">
        <v>157</v>
      </c>
    </row>
    <row r="29" spans="1:17">
      <c r="E29" s="1" t="s">
        <v>544</v>
      </c>
    </row>
    <row r="30" spans="1:17">
      <c r="D30" s="1" t="s">
        <v>163</v>
      </c>
    </row>
    <row r="31" spans="1:17">
      <c r="C31" s="1" t="s">
        <v>159</v>
      </c>
    </row>
    <row r="32" spans="1:17">
      <c r="D32" s="1" t="s">
        <v>160</v>
      </c>
    </row>
    <row r="33" spans="1:4">
      <c r="C33" s="1" t="s">
        <v>161</v>
      </c>
    </row>
    <row r="34" spans="1:4">
      <c r="D34" s="1" t="s">
        <v>162</v>
      </c>
    </row>
    <row r="35" spans="1:4">
      <c r="B35" s="1" t="s">
        <v>164</v>
      </c>
    </row>
    <row r="36" spans="1:4">
      <c r="C36" s="1" t="s">
        <v>165</v>
      </c>
    </row>
    <row r="37" spans="1:4">
      <c r="C37" s="1" t="s">
        <v>166</v>
      </c>
    </row>
    <row r="38" spans="1:4">
      <c r="B38" s="1" t="s">
        <v>154</v>
      </c>
    </row>
    <row r="40" spans="1:4" ht="15">
      <c r="A40" s="2" t="s">
        <v>105</v>
      </c>
    </row>
    <row r="41" spans="1:4">
      <c r="B41" s="1" t="s">
        <v>106</v>
      </c>
    </row>
  </sheetData>
  <hyperlinks>
    <hyperlink ref="Q20" r:id="rId1" xr:uid="{14375537-5C3D-4253-9650-337AB6789785}"/>
    <hyperlink ref="Q14" r:id="rId2" xr:uid="{4C147A74-B018-4EC6-B32A-3E51F3CCEABD}"/>
    <hyperlink ref="Q13" r:id="rId3" xr:uid="{F5D8B61A-D6AC-4492-A18C-0BC09C1A4F05}"/>
  </hyperlinks>
  <pageMargins left="0.7" right="0.7" top="0.75" bottom="0.75" header="0.3" footer="0.3"/>
  <ignoredErrors>
    <ignoredError sqref="D3" twoDigitTextYear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CM115"/>
  <sheetViews>
    <sheetView tabSelected="1" zoomScale="85" zoomScaleNormal="85" workbookViewId="0">
      <pane xSplit="2" ySplit="3" topLeftCell="S45" activePane="bottomRight" state="frozen"/>
      <selection pane="topRight" activeCell="C1" sqref="C1"/>
      <selection pane="bottomLeft" activeCell="A4" sqref="A4"/>
      <selection pane="bottomRight" activeCell="AK72" sqref="AK72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13" width="9.140625" style="1"/>
    <col min="14" max="18" width="9.140625" style="35"/>
    <col min="19" max="27" width="9.140625" style="1"/>
    <col min="28" max="90" width="9.140625" style="35"/>
    <col min="91" max="16384" width="9.140625" style="1"/>
  </cols>
  <sheetData>
    <row r="1" spans="2:91" ht="15">
      <c r="B1" s="1" t="s">
        <v>60</v>
      </c>
      <c r="C1" s="33" t="s">
        <v>44</v>
      </c>
      <c r="G1" s="33" t="s">
        <v>48</v>
      </c>
      <c r="K1" s="33" t="s">
        <v>52</v>
      </c>
    </row>
    <row r="2" spans="2:91">
      <c r="B2" s="1" t="s">
        <v>61</v>
      </c>
    </row>
    <row r="3" spans="2:91" ht="15">
      <c r="B3" s="2" t="s">
        <v>62</v>
      </c>
      <c r="C3" s="33" t="s">
        <v>44</v>
      </c>
      <c r="D3" s="33" t="s">
        <v>45</v>
      </c>
      <c r="E3" s="33" t="s">
        <v>46</v>
      </c>
      <c r="F3" s="33" t="s">
        <v>47</v>
      </c>
      <c r="G3" s="33" t="s">
        <v>48</v>
      </c>
      <c r="H3" s="33" t="s">
        <v>49</v>
      </c>
      <c r="I3" s="33" t="s">
        <v>50</v>
      </c>
      <c r="J3" s="33" t="s">
        <v>51</v>
      </c>
      <c r="K3" s="33" t="s">
        <v>52</v>
      </c>
      <c r="L3" s="2" t="s">
        <v>53</v>
      </c>
      <c r="M3" s="2" t="s">
        <v>54</v>
      </c>
      <c r="N3" s="34" t="s">
        <v>55</v>
      </c>
      <c r="O3" s="34" t="s">
        <v>56</v>
      </c>
      <c r="P3" s="34" t="s">
        <v>57</v>
      </c>
      <c r="Q3" s="34" t="s">
        <v>58</v>
      </c>
      <c r="R3" s="34" t="s">
        <v>59</v>
      </c>
      <c r="Y3" s="2">
        <v>2022</v>
      </c>
      <c r="Z3" s="2">
        <v>2023</v>
      </c>
      <c r="AA3" s="2">
        <f>2023+1</f>
        <v>2024</v>
      </c>
      <c r="AB3" s="34">
        <f t="shared" ref="AB3:BY3" si="0">AA3+1</f>
        <v>2025</v>
      </c>
      <c r="AC3" s="34">
        <f t="shared" si="0"/>
        <v>2026</v>
      </c>
      <c r="AD3" s="34">
        <f t="shared" si="0"/>
        <v>2027</v>
      </c>
      <c r="AE3" s="34">
        <f t="shared" si="0"/>
        <v>2028</v>
      </c>
      <c r="AF3" s="34">
        <f t="shared" si="0"/>
        <v>2029</v>
      </c>
      <c r="AG3" s="34">
        <f t="shared" si="0"/>
        <v>2030</v>
      </c>
      <c r="AH3" s="34">
        <f t="shared" si="0"/>
        <v>2031</v>
      </c>
      <c r="AI3" s="34">
        <f t="shared" si="0"/>
        <v>2032</v>
      </c>
      <c r="AJ3" s="34">
        <f t="shared" si="0"/>
        <v>2033</v>
      </c>
      <c r="AK3" s="34">
        <f t="shared" si="0"/>
        <v>2034</v>
      </c>
      <c r="AL3" s="34">
        <f t="shared" si="0"/>
        <v>2035</v>
      </c>
      <c r="AM3" s="34">
        <f t="shared" si="0"/>
        <v>2036</v>
      </c>
      <c r="AN3" s="34">
        <f t="shared" si="0"/>
        <v>2037</v>
      </c>
      <c r="AO3" s="34">
        <f t="shared" si="0"/>
        <v>2038</v>
      </c>
      <c r="AP3" s="34">
        <f t="shared" si="0"/>
        <v>2039</v>
      </c>
      <c r="AQ3" s="34">
        <f t="shared" si="0"/>
        <v>2040</v>
      </c>
      <c r="AR3" s="34">
        <f t="shared" si="0"/>
        <v>2041</v>
      </c>
      <c r="AS3" s="34">
        <f t="shared" si="0"/>
        <v>2042</v>
      </c>
      <c r="AT3" s="34">
        <f t="shared" si="0"/>
        <v>2043</v>
      </c>
      <c r="AU3" s="34">
        <f t="shared" si="0"/>
        <v>2044</v>
      </c>
      <c r="AV3" s="34">
        <f t="shared" si="0"/>
        <v>2045</v>
      </c>
      <c r="AW3" s="34">
        <f t="shared" si="0"/>
        <v>2046</v>
      </c>
      <c r="AX3" s="34">
        <f t="shared" si="0"/>
        <v>2047</v>
      </c>
      <c r="AY3" s="34">
        <f t="shared" si="0"/>
        <v>2048</v>
      </c>
      <c r="AZ3" s="34">
        <f t="shared" si="0"/>
        <v>2049</v>
      </c>
      <c r="BA3" s="34">
        <f t="shared" si="0"/>
        <v>2050</v>
      </c>
      <c r="BB3" s="34">
        <f t="shared" si="0"/>
        <v>2051</v>
      </c>
      <c r="BC3" s="34">
        <f t="shared" si="0"/>
        <v>2052</v>
      </c>
      <c r="BD3" s="34">
        <f t="shared" si="0"/>
        <v>2053</v>
      </c>
      <c r="BE3" s="34">
        <f t="shared" si="0"/>
        <v>2054</v>
      </c>
      <c r="BF3" s="34">
        <f t="shared" si="0"/>
        <v>2055</v>
      </c>
      <c r="BG3" s="34">
        <f t="shared" si="0"/>
        <v>2056</v>
      </c>
      <c r="BH3" s="34">
        <f t="shared" si="0"/>
        <v>2057</v>
      </c>
      <c r="BI3" s="34">
        <f t="shared" si="0"/>
        <v>2058</v>
      </c>
      <c r="BJ3" s="34">
        <f t="shared" si="0"/>
        <v>2059</v>
      </c>
      <c r="BK3" s="34">
        <f t="shared" si="0"/>
        <v>2060</v>
      </c>
      <c r="BL3" s="34">
        <f t="shared" si="0"/>
        <v>2061</v>
      </c>
      <c r="BM3" s="34">
        <f t="shared" si="0"/>
        <v>2062</v>
      </c>
      <c r="BN3" s="34">
        <f t="shared" si="0"/>
        <v>2063</v>
      </c>
      <c r="BO3" s="34">
        <f t="shared" si="0"/>
        <v>2064</v>
      </c>
      <c r="BP3" s="34">
        <f t="shared" si="0"/>
        <v>2065</v>
      </c>
      <c r="BQ3" s="34">
        <f t="shared" si="0"/>
        <v>2066</v>
      </c>
      <c r="BR3" s="34">
        <f t="shared" si="0"/>
        <v>2067</v>
      </c>
      <c r="BS3" s="34">
        <f t="shared" si="0"/>
        <v>2068</v>
      </c>
      <c r="BT3" s="34">
        <f t="shared" si="0"/>
        <v>2069</v>
      </c>
      <c r="BU3" s="34">
        <f t="shared" si="0"/>
        <v>2070</v>
      </c>
      <c r="BV3" s="34">
        <f t="shared" si="0"/>
        <v>2071</v>
      </c>
      <c r="BW3" s="34">
        <f t="shared" si="0"/>
        <v>2072</v>
      </c>
      <c r="BX3" s="34">
        <f t="shared" si="0"/>
        <v>2073</v>
      </c>
      <c r="BY3" s="34">
        <f t="shared" si="0"/>
        <v>2074</v>
      </c>
      <c r="BZ3" s="34">
        <f t="shared" ref="BZ3:CJ3" si="1">BY3+1</f>
        <v>2075</v>
      </c>
      <c r="CA3" s="34">
        <f t="shared" si="1"/>
        <v>2076</v>
      </c>
      <c r="CB3" s="34">
        <f t="shared" si="1"/>
        <v>2077</v>
      </c>
      <c r="CC3" s="34">
        <f t="shared" si="1"/>
        <v>2078</v>
      </c>
      <c r="CD3" s="34">
        <f t="shared" si="1"/>
        <v>2079</v>
      </c>
      <c r="CE3" s="34">
        <f t="shared" si="1"/>
        <v>2080</v>
      </c>
      <c r="CF3" s="34">
        <f t="shared" si="1"/>
        <v>2081</v>
      </c>
      <c r="CG3" s="34">
        <f t="shared" si="1"/>
        <v>2082</v>
      </c>
      <c r="CH3" s="34">
        <f t="shared" si="1"/>
        <v>2083</v>
      </c>
      <c r="CI3" s="34">
        <f t="shared" si="1"/>
        <v>2084</v>
      </c>
      <c r="CJ3" s="34">
        <f t="shared" si="1"/>
        <v>2085</v>
      </c>
      <c r="CK3" s="34"/>
      <c r="CL3" s="34"/>
      <c r="CM3" s="2"/>
    </row>
    <row r="4" spans="2:91">
      <c r="B4" s="36" t="s">
        <v>542</v>
      </c>
      <c r="C4" s="1">
        <v>3489</v>
      </c>
      <c r="D4" s="1">
        <v>4388</v>
      </c>
      <c r="E4" s="1">
        <v>4869</v>
      </c>
      <c r="F4" s="1">
        <f>18258-SUM(C4:E4)</f>
        <v>5512</v>
      </c>
      <c r="G4" s="1">
        <v>3617</v>
      </c>
      <c r="H4" s="1">
        <v>4194</v>
      </c>
      <c r="I4" s="1">
        <v>5290</v>
      </c>
      <c r="J4" s="1">
        <f>18952-SUM(G4:I4)</f>
        <v>5851</v>
      </c>
      <c r="K4" s="1">
        <v>4197</v>
      </c>
      <c r="L4" s="1">
        <v>4894</v>
      </c>
      <c r="M4" s="1">
        <v>5880</v>
      </c>
      <c r="Y4" s="1">
        <v>15819</v>
      </c>
      <c r="Z4" s="1">
        <f>SUM(C4:F4)</f>
        <v>18258</v>
      </c>
      <c r="AA4" s="1">
        <f>SUM(G4:J4)</f>
        <v>18952</v>
      </c>
      <c r="AB4" s="70">
        <f t="shared" ref="AB4:AL4" si="2">AA4*(1+AB8)</f>
        <v>21557.899999999998</v>
      </c>
      <c r="AC4" s="70">
        <f t="shared" si="2"/>
        <v>25718.574699999997</v>
      </c>
      <c r="AD4" s="70">
        <f t="shared" si="2"/>
        <v>30733.696766499997</v>
      </c>
      <c r="AE4" s="70">
        <f t="shared" si="2"/>
        <v>36680.667090817748</v>
      </c>
      <c r="AF4" s="70">
        <f t="shared" si="2"/>
        <v>42402.851156985314</v>
      </c>
      <c r="AG4" s="70">
        <f t="shared" si="2"/>
        <v>47872.81895623642</v>
      </c>
      <c r="AH4" s="70">
        <f t="shared" si="2"/>
        <v>51702.644472735337</v>
      </c>
      <c r="AI4" s="70">
        <f t="shared" si="2"/>
        <v>54804.803141099459</v>
      </c>
      <c r="AJ4" s="70">
        <f t="shared" si="2"/>
        <v>56996.995266743441</v>
      </c>
      <c r="AK4" s="70">
        <f t="shared" si="2"/>
        <v>58706.905124745746</v>
      </c>
      <c r="AL4" s="70">
        <f t="shared" si="2"/>
        <v>59881.043227240662</v>
      </c>
    </row>
    <row r="5" spans="2:91">
      <c r="B5" s="36" t="s">
        <v>543</v>
      </c>
      <c r="C5" s="1">
        <v>3333</v>
      </c>
      <c r="D5" s="1">
        <v>3731</v>
      </c>
      <c r="E5" s="1">
        <v>3383</v>
      </c>
      <c r="F5" s="1">
        <f>14981-SUM(C5:E5)</f>
        <v>4534</v>
      </c>
      <c r="G5" s="1">
        <v>3642</v>
      </c>
      <c r="H5" s="1">
        <v>4010</v>
      </c>
      <c r="I5" s="1">
        <v>3623</v>
      </c>
      <c r="J5" s="1">
        <f>15983-SUM(G5:I5)</f>
        <v>4708</v>
      </c>
      <c r="K5" s="1">
        <v>3835</v>
      </c>
      <c r="L5" s="1">
        <v>4217</v>
      </c>
      <c r="M5" s="1">
        <v>4089</v>
      </c>
      <c r="Y5" s="1">
        <v>13835</v>
      </c>
      <c r="Z5" s="1">
        <f>SUM(C5:F5)</f>
        <v>14981</v>
      </c>
      <c r="AA5" s="1">
        <f>SUM(G5:J5)</f>
        <v>15983</v>
      </c>
      <c r="AB5" s="70">
        <f t="shared" ref="AB5:AL5" si="3">AA5*(1+AB9)</f>
        <v>16814.116000000002</v>
      </c>
      <c r="AC5" s="70">
        <f t="shared" si="3"/>
        <v>18293.758208000003</v>
      </c>
      <c r="AD5" s="70">
        <f t="shared" si="3"/>
        <v>20287.777852672003</v>
      </c>
      <c r="AE5" s="70">
        <f t="shared" si="3"/>
        <v>22499.145638613252</v>
      </c>
      <c r="AF5" s="70">
        <f t="shared" si="3"/>
        <v>25829.019193128013</v>
      </c>
      <c r="AG5" s="70">
        <f t="shared" si="3"/>
        <v>29845.431677659417</v>
      </c>
      <c r="AH5" s="70">
        <f t="shared" si="3"/>
        <v>34322.246429308325</v>
      </c>
      <c r="AI5" s="70">
        <f t="shared" si="3"/>
        <v>39127.360929411494</v>
      </c>
      <c r="AJ5" s="70">
        <f t="shared" si="3"/>
        <v>42257.549803764414</v>
      </c>
      <c r="AK5" s="70">
        <f t="shared" si="3"/>
        <v>45215.578290027923</v>
      </c>
      <c r="AL5" s="70">
        <f t="shared" si="3"/>
        <v>47476.357204529319</v>
      </c>
    </row>
    <row r="6" spans="2:91" s="2" customFormat="1" ht="15">
      <c r="B6" s="33" t="s">
        <v>63</v>
      </c>
      <c r="C6" s="2">
        <f t="shared" ref="C6" si="4">SUM(C4:C5)</f>
        <v>6822</v>
      </c>
      <c r="D6" s="2">
        <f t="shared" ref="D6" si="5">SUM(D4:D5)</f>
        <v>8119</v>
      </c>
      <c r="E6" s="2">
        <f t="shared" ref="E6" si="6">SUM(E4:E5)</f>
        <v>8252</v>
      </c>
      <c r="F6" s="2">
        <f t="shared" ref="F6" si="7">SUM(F4:F5)</f>
        <v>10046</v>
      </c>
      <c r="G6" s="2">
        <f t="shared" ref="G6:K6" si="8">SUM(G4:G5)</f>
        <v>7259</v>
      </c>
      <c r="H6" s="2">
        <f t="shared" si="8"/>
        <v>8204</v>
      </c>
      <c r="I6" s="2">
        <f t="shared" si="8"/>
        <v>8913</v>
      </c>
      <c r="J6" s="2">
        <f t="shared" si="8"/>
        <v>10559</v>
      </c>
      <c r="K6" s="2">
        <f t="shared" si="8"/>
        <v>8032</v>
      </c>
      <c r="L6" s="2">
        <f>SUM(L4:L5)</f>
        <v>9111</v>
      </c>
      <c r="M6" s="2">
        <f>SUM(M4:M5)</f>
        <v>9969</v>
      </c>
      <c r="N6" s="34"/>
      <c r="O6" s="34"/>
      <c r="P6" s="34"/>
      <c r="Q6" s="34"/>
      <c r="R6" s="34"/>
      <c r="Y6" s="2">
        <f>SUM(Y4:Y5)</f>
        <v>29654</v>
      </c>
      <c r="Z6" s="2">
        <f>SUM(C6:F6)</f>
        <v>33239</v>
      </c>
      <c r="AA6" s="2">
        <f>SUM(G6:J6)</f>
        <v>34935</v>
      </c>
      <c r="AB6" s="71">
        <f t="shared" ref="AB6:AL6" si="9">SUM(AB4:AB5)</f>
        <v>38372.016000000003</v>
      </c>
      <c r="AC6" s="71">
        <f t="shared" si="9"/>
        <v>44012.332907999997</v>
      </c>
      <c r="AD6" s="71">
        <f t="shared" si="9"/>
        <v>51021.474619172004</v>
      </c>
      <c r="AE6" s="71">
        <f t="shared" si="9"/>
        <v>59179.812729430996</v>
      </c>
      <c r="AF6" s="71">
        <f t="shared" si="9"/>
        <v>68231.870350113328</v>
      </c>
      <c r="AG6" s="71">
        <f t="shared" si="9"/>
        <v>77718.250633895834</v>
      </c>
      <c r="AH6" s="71">
        <f t="shared" si="9"/>
        <v>86024.890902043669</v>
      </c>
      <c r="AI6" s="71">
        <f t="shared" si="9"/>
        <v>93932.164070510946</v>
      </c>
      <c r="AJ6" s="71">
        <f t="shared" si="9"/>
        <v>99254.545070507855</v>
      </c>
      <c r="AK6" s="71">
        <f t="shared" si="9"/>
        <v>103922.48341477367</v>
      </c>
      <c r="AL6" s="71">
        <f t="shared" si="9"/>
        <v>107357.40043176999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spans="2:91">
      <c r="B7" s="36"/>
    </row>
    <row r="8" spans="2:91">
      <c r="B8" s="36" t="s">
        <v>582</v>
      </c>
      <c r="G8" s="63">
        <f t="shared" ref="G8:J8" si="10">G4/C4-1</f>
        <v>3.668672972198328E-2</v>
      </c>
      <c r="H8" s="63">
        <f t="shared" si="10"/>
        <v>-4.4211485870556011E-2</v>
      </c>
      <c r="I8" s="63">
        <f t="shared" si="10"/>
        <v>8.6465393304580029E-2</v>
      </c>
      <c r="J8" s="63">
        <f t="shared" si="10"/>
        <v>6.1502177068214703E-2</v>
      </c>
      <c r="K8" s="63">
        <f t="shared" ref="K8:M10" si="11">K4/G4-1</f>
        <v>0.1603538844346144</v>
      </c>
      <c r="L8" s="63">
        <f t="shared" si="11"/>
        <v>0.16690510252742019</v>
      </c>
      <c r="M8" s="63">
        <f t="shared" si="11"/>
        <v>0.11153119092627595</v>
      </c>
      <c r="Z8" s="63">
        <f t="shared" ref="Z8:AA10" si="12">Z4/Y4-1</f>
        <v>0.15418168025791767</v>
      </c>
      <c r="AA8" s="63">
        <f t="shared" si="12"/>
        <v>3.8010735020265196E-2</v>
      </c>
      <c r="AB8" s="65">
        <v>0.13750000000000001</v>
      </c>
      <c r="AC8" s="65">
        <v>0.193</v>
      </c>
      <c r="AD8" s="65">
        <v>0.19500000000000001</v>
      </c>
      <c r="AE8" s="65">
        <v>0.19350000000000001</v>
      </c>
      <c r="AF8" s="65">
        <v>0.156</v>
      </c>
      <c r="AG8" s="65">
        <v>0.129</v>
      </c>
      <c r="AH8" s="65">
        <v>0.08</v>
      </c>
      <c r="AI8" s="65">
        <v>0.06</v>
      </c>
      <c r="AJ8" s="65">
        <v>0.04</v>
      </c>
      <c r="AK8" s="65">
        <v>0.03</v>
      </c>
      <c r="AL8" s="65">
        <v>0.02</v>
      </c>
    </row>
    <row r="9" spans="2:91">
      <c r="B9" s="36" t="s">
        <v>583</v>
      </c>
      <c r="G9" s="63">
        <f t="shared" ref="G9:J9" si="13">G5/C5-1</f>
        <v>9.2709270927092691E-2</v>
      </c>
      <c r="H9" s="63">
        <f t="shared" si="13"/>
        <v>7.4778879656928421E-2</v>
      </c>
      <c r="I9" s="63">
        <f t="shared" si="13"/>
        <v>7.0942950044339259E-2</v>
      </c>
      <c r="J9" s="63">
        <f t="shared" si="13"/>
        <v>3.8376709307454737E-2</v>
      </c>
      <c r="K9" s="63">
        <f t="shared" si="11"/>
        <v>5.2992861065348729E-2</v>
      </c>
      <c r="L9" s="63">
        <f t="shared" si="11"/>
        <v>5.162094763092262E-2</v>
      </c>
      <c r="M9" s="63">
        <f t="shared" si="11"/>
        <v>0.12862268837979585</v>
      </c>
      <c r="Z9" s="63">
        <f t="shared" si="12"/>
        <v>8.2833393567040225E-2</v>
      </c>
      <c r="AA9" s="63">
        <f t="shared" si="12"/>
        <v>6.6884720646151807E-2</v>
      </c>
      <c r="AB9" s="65">
        <v>5.1999999999999998E-2</v>
      </c>
      <c r="AC9" s="65">
        <v>8.7999999999999995E-2</v>
      </c>
      <c r="AD9" s="65">
        <v>0.109</v>
      </c>
      <c r="AE9" s="65">
        <v>0.109</v>
      </c>
      <c r="AF9" s="65">
        <v>0.14799999999999999</v>
      </c>
      <c r="AG9" s="65">
        <v>0.1555</v>
      </c>
      <c r="AH9" s="65">
        <v>0.15</v>
      </c>
      <c r="AI9" s="65">
        <v>0.14000000000000001</v>
      </c>
      <c r="AJ9" s="65">
        <v>0.08</v>
      </c>
      <c r="AK9" s="65">
        <v>7.0000000000000007E-2</v>
      </c>
      <c r="AL9" s="65">
        <v>0.05</v>
      </c>
    </row>
    <row r="10" spans="2:91" s="2" customFormat="1" ht="15">
      <c r="B10" s="33" t="s">
        <v>116</v>
      </c>
      <c r="G10" s="64">
        <f t="shared" ref="G10:J10" si="14">G6/C6-1</f>
        <v>6.4057461155086592E-2</v>
      </c>
      <c r="H10" s="64">
        <f t="shared" si="14"/>
        <v>1.0469269614484578E-2</v>
      </c>
      <c r="I10" s="64">
        <f t="shared" si="14"/>
        <v>8.010179350460489E-2</v>
      </c>
      <c r="J10" s="64">
        <f t="shared" si="14"/>
        <v>5.106510053752733E-2</v>
      </c>
      <c r="K10" s="64">
        <f t="shared" si="11"/>
        <v>0.10648849703815944</v>
      </c>
      <c r="L10" s="64">
        <f t="shared" si="11"/>
        <v>0.11055582642613349</v>
      </c>
      <c r="M10" s="64">
        <f t="shared" si="11"/>
        <v>0.11847862672500842</v>
      </c>
      <c r="N10" s="34"/>
      <c r="O10" s="34"/>
      <c r="P10" s="34"/>
      <c r="Q10" s="34"/>
      <c r="R10" s="34"/>
      <c r="Z10" s="64">
        <f t="shared" si="12"/>
        <v>0.12089431442638432</v>
      </c>
      <c r="AA10" s="64">
        <f t="shared" si="12"/>
        <v>5.1024399049309554E-2</v>
      </c>
      <c r="AB10" s="66">
        <f t="shared" ref="AB10:AL10" si="15">AB6/AA6-1</f>
        <v>9.8383168741949412E-2</v>
      </c>
      <c r="AC10" s="66">
        <f t="shared" si="15"/>
        <v>0.14699037204612853</v>
      </c>
      <c r="AD10" s="66">
        <f t="shared" si="15"/>
        <v>0.15925403740409272</v>
      </c>
      <c r="AE10" s="66">
        <f t="shared" si="15"/>
        <v>0.1599000846438372</v>
      </c>
      <c r="AF10" s="66">
        <f t="shared" si="15"/>
        <v>0.15295853777145552</v>
      </c>
      <c r="AG10" s="66">
        <f t="shared" si="15"/>
        <v>0.1390315146735055</v>
      </c>
      <c r="AH10" s="66">
        <f t="shared" si="15"/>
        <v>0.10688146220992012</v>
      </c>
      <c r="AI10" s="66">
        <f t="shared" si="15"/>
        <v>9.1918432973908226E-2</v>
      </c>
      <c r="AJ10" s="66">
        <f t="shared" si="15"/>
        <v>5.6661965075153864E-2</v>
      </c>
      <c r="AK10" s="66">
        <f t="shared" si="15"/>
        <v>4.7029970677411548E-2</v>
      </c>
      <c r="AL10" s="66">
        <f t="shared" si="15"/>
        <v>3.3052684117323539E-2</v>
      </c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spans="2:91">
      <c r="G11" s="63"/>
      <c r="H11" s="63"/>
      <c r="I11" s="63"/>
      <c r="J11" s="63"/>
      <c r="K11" s="63"/>
      <c r="L11" s="63"/>
      <c r="M11" s="63"/>
      <c r="AA11" s="63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</row>
    <row r="12" spans="2:91" ht="15">
      <c r="B12" s="33" t="s">
        <v>584</v>
      </c>
      <c r="C12" s="63">
        <f t="shared" ref="C12:F12" si="16">C4/C6</f>
        <v>0.51143359718557613</v>
      </c>
      <c r="D12" s="63">
        <f t="shared" si="16"/>
        <v>0.54046064786303727</v>
      </c>
      <c r="E12" s="63">
        <f t="shared" si="16"/>
        <v>0.59003877847794473</v>
      </c>
      <c r="F12" s="63">
        <f t="shared" si="16"/>
        <v>0.5486760899860641</v>
      </c>
      <c r="G12" s="63">
        <f t="shared" ref="G12:K12" si="17">G4/G6</f>
        <v>0.49827799972447995</v>
      </c>
      <c r="H12" s="63">
        <f t="shared" si="17"/>
        <v>0.51121404193076547</v>
      </c>
      <c r="I12" s="63">
        <f t="shared" si="17"/>
        <v>0.5935150903175137</v>
      </c>
      <c r="J12" s="63">
        <f t="shared" si="17"/>
        <v>0.55412444360261393</v>
      </c>
      <c r="K12" s="63">
        <f t="shared" si="17"/>
        <v>0.52253486055776888</v>
      </c>
      <c r="L12" s="63">
        <f>L4/L6</f>
        <v>0.53715289210844031</v>
      </c>
      <c r="M12" s="63">
        <f>M4/M6</f>
        <v>0.58982846825157986</v>
      </c>
      <c r="Y12" s="63">
        <f>Y4/Y6</f>
        <v>0.53345248533081535</v>
      </c>
      <c r="Z12" s="63">
        <f>Z4/Z6</f>
        <v>0.54929450344474862</v>
      </c>
      <c r="AA12" s="63">
        <f>AA4/AA6</f>
        <v>0.54249320166022619</v>
      </c>
      <c r="AB12" s="65">
        <f>AB4/AB6</f>
        <v>0.56181306710598666</v>
      </c>
      <c r="AC12" s="65">
        <f t="shared" ref="AC12:AL12" si="18">AC4/AC6</f>
        <v>0.58434927214060961</v>
      </c>
      <c r="AD12" s="65">
        <f t="shared" si="18"/>
        <v>0.60236786560754163</v>
      </c>
      <c r="AE12" s="65">
        <f t="shared" si="18"/>
        <v>0.61981722143192775</v>
      </c>
      <c r="AF12" s="65">
        <f t="shared" si="18"/>
        <v>0.62145227647148749</v>
      </c>
      <c r="AG12" s="65">
        <f t="shared" si="18"/>
        <v>0.61597911128685767</v>
      </c>
      <c r="AH12" s="65">
        <f t="shared" si="18"/>
        <v>0.60101958782614451</v>
      </c>
      <c r="AI12" s="65">
        <f t="shared" si="18"/>
        <v>0.58345087312115784</v>
      </c>
      <c r="AJ12" s="65">
        <f t="shared" si="18"/>
        <v>0.57425073306471008</v>
      </c>
      <c r="AK12" s="65">
        <f t="shared" si="18"/>
        <v>0.56491052942254794</v>
      </c>
      <c r="AL12" s="65">
        <f t="shared" si="18"/>
        <v>0.55777285018462708</v>
      </c>
    </row>
    <row r="13" spans="2:91" ht="15">
      <c r="B13" s="33" t="s">
        <v>585</v>
      </c>
      <c r="C13" s="63">
        <f t="shared" ref="C13:F13" si="19">C5/C6</f>
        <v>0.48856640281442393</v>
      </c>
      <c r="D13" s="63">
        <f t="shared" si="19"/>
        <v>0.45953935213696268</v>
      </c>
      <c r="E13" s="63">
        <f t="shared" si="19"/>
        <v>0.40996122152205527</v>
      </c>
      <c r="F13" s="63">
        <f t="shared" si="19"/>
        <v>0.4513239100139359</v>
      </c>
      <c r="G13" s="63">
        <f t="shared" ref="G13:K13" si="20">G5/G6</f>
        <v>0.50172200027552005</v>
      </c>
      <c r="H13" s="63">
        <f t="shared" si="20"/>
        <v>0.48878595806923453</v>
      </c>
      <c r="I13" s="63">
        <f t="shared" si="20"/>
        <v>0.40648490968248624</v>
      </c>
      <c r="J13" s="63">
        <f t="shared" si="20"/>
        <v>0.44587555639738613</v>
      </c>
      <c r="K13" s="63">
        <f t="shared" si="20"/>
        <v>0.47746513944223107</v>
      </c>
      <c r="L13" s="63">
        <f>L5/L6</f>
        <v>0.46284710789155964</v>
      </c>
      <c r="M13" s="63">
        <f>M5/M6</f>
        <v>0.41017153174842008</v>
      </c>
      <c r="Y13" s="63">
        <f>Y5/Y6</f>
        <v>0.46654751466918459</v>
      </c>
      <c r="Z13" s="63">
        <f>Z5/Z6</f>
        <v>0.45070549655525138</v>
      </c>
      <c r="AA13" s="63">
        <f>AA5/AA6</f>
        <v>0.45750679833977387</v>
      </c>
      <c r="AB13" s="65">
        <f>AB5/AB6</f>
        <v>0.43818693289401317</v>
      </c>
      <c r="AC13" s="65">
        <f t="shared" ref="AC13:AL13" si="21">AC5/AC6</f>
        <v>0.4156507278593905</v>
      </c>
      <c r="AD13" s="65">
        <f t="shared" si="21"/>
        <v>0.39763213439245831</v>
      </c>
      <c r="AE13" s="65">
        <f t="shared" si="21"/>
        <v>0.38018277856807231</v>
      </c>
      <c r="AF13" s="65">
        <f t="shared" si="21"/>
        <v>0.37854772352851257</v>
      </c>
      <c r="AG13" s="65">
        <f t="shared" si="21"/>
        <v>0.38402088871314233</v>
      </c>
      <c r="AH13" s="65">
        <f t="shared" si="21"/>
        <v>0.39898041217385538</v>
      </c>
      <c r="AI13" s="65">
        <f t="shared" si="21"/>
        <v>0.41654912687884227</v>
      </c>
      <c r="AJ13" s="65">
        <f t="shared" si="21"/>
        <v>0.42574926693528992</v>
      </c>
      <c r="AK13" s="65">
        <f t="shared" si="21"/>
        <v>0.43508947057745212</v>
      </c>
      <c r="AL13" s="65">
        <f t="shared" si="21"/>
        <v>0.44222714981537281</v>
      </c>
    </row>
    <row r="15" spans="2:91">
      <c r="B15" s="62" t="s">
        <v>599</v>
      </c>
      <c r="C15" s="1">
        <v>2882</v>
      </c>
      <c r="D15" s="1">
        <v>3051</v>
      </c>
      <c r="E15" s="1">
        <v>2944</v>
      </c>
      <c r="F15" s="1">
        <f>13220-SUM(C15:E15)</f>
        <v>4343</v>
      </c>
      <c r="G15" s="1">
        <v>3041</v>
      </c>
      <c r="H15" s="1">
        <v>3459</v>
      </c>
      <c r="I15" s="1">
        <v>3466</v>
      </c>
      <c r="J15" s="1">
        <f>14465-SUM(G15:I15)</f>
        <v>4499</v>
      </c>
      <c r="K15" s="1">
        <v>3579</v>
      </c>
      <c r="L15" s="1">
        <v>3884</v>
      </c>
      <c r="M15" s="1">
        <v>3923</v>
      </c>
      <c r="Y15" s="1">
        <v>12079</v>
      </c>
      <c r="Z15" s="1">
        <f t="shared" ref="Z15:Z18" si="22">SUM(C15:F15)</f>
        <v>13220</v>
      </c>
      <c r="AA15" s="1">
        <f t="shared" ref="AA15:AA18" si="23">SUM(G15:J15)</f>
        <v>14465</v>
      </c>
    </row>
    <row r="16" spans="2:91">
      <c r="B16" s="62" t="s">
        <v>600</v>
      </c>
      <c r="C16" s="1">
        <v>221</v>
      </c>
      <c r="D16" s="1">
        <v>212</v>
      </c>
      <c r="E16" s="1">
        <v>158</v>
      </c>
      <c r="F16" s="1">
        <f>827-SUM(C16:E16)</f>
        <v>236</v>
      </c>
      <c r="G16" s="1">
        <v>229</v>
      </c>
      <c r="H16" s="1">
        <v>222</v>
      </c>
      <c r="I16" s="1">
        <v>167</v>
      </c>
      <c r="J16" s="1">
        <f>819-SUM(G16:I16)</f>
        <v>201</v>
      </c>
      <c r="K16" s="1">
        <v>200</v>
      </c>
      <c r="L16" s="1">
        <v>189</v>
      </c>
      <c r="M16" s="1">
        <v>251</v>
      </c>
      <c r="Y16" s="1">
        <v>699</v>
      </c>
      <c r="Z16" s="1">
        <f t="shared" si="22"/>
        <v>827</v>
      </c>
      <c r="AA16" s="1">
        <f t="shared" si="23"/>
        <v>819</v>
      </c>
    </row>
    <row r="17" spans="2:90">
      <c r="B17" s="62" t="s">
        <v>601</v>
      </c>
      <c r="C17" s="1">
        <v>178</v>
      </c>
      <c r="D17" s="1">
        <v>220</v>
      </c>
      <c r="E17" s="1">
        <v>220</v>
      </c>
      <c r="F17" s="1">
        <f>887-SUM(C17:E17)</f>
        <v>269</v>
      </c>
      <c r="G17" s="1">
        <v>181</v>
      </c>
      <c r="H17" s="1">
        <v>182</v>
      </c>
      <c r="I17" s="1">
        <v>181</v>
      </c>
      <c r="J17" s="1">
        <f>781-SUM(G17:I17)</f>
        <v>237</v>
      </c>
      <c r="K17" s="1">
        <v>157</v>
      </c>
      <c r="L17" s="1">
        <v>201</v>
      </c>
      <c r="M17" s="1">
        <v>223</v>
      </c>
      <c r="Y17" s="1">
        <v>703</v>
      </c>
      <c r="Z17" s="1">
        <f t="shared" si="22"/>
        <v>887</v>
      </c>
      <c r="AA17" s="1">
        <f t="shared" si="23"/>
        <v>781</v>
      </c>
    </row>
    <row r="18" spans="2:90">
      <c r="B18" s="62" t="s">
        <v>602</v>
      </c>
      <c r="C18" s="1">
        <v>540</v>
      </c>
      <c r="D18" s="1">
        <v>648</v>
      </c>
      <c r="E18" s="1">
        <v>571</v>
      </c>
      <c r="F18" s="1">
        <f>2502-SUM(C18:E18)</f>
        <v>743</v>
      </c>
      <c r="G18" s="1">
        <v>584</v>
      </c>
      <c r="H18" s="1">
        <v>592</v>
      </c>
      <c r="I18" s="1">
        <v>393</v>
      </c>
      <c r="J18" s="1">
        <f>2063-SUM(G18:I18)</f>
        <v>494</v>
      </c>
      <c r="K18" s="1">
        <v>487</v>
      </c>
      <c r="L18" s="1">
        <v>484</v>
      </c>
      <c r="M18" s="1">
        <v>442</v>
      </c>
      <c r="Y18" s="1">
        <v>2643</v>
      </c>
      <c r="Z18" s="1">
        <f t="shared" si="22"/>
        <v>2502</v>
      </c>
      <c r="AA18" s="1">
        <f t="shared" si="23"/>
        <v>2063</v>
      </c>
    </row>
    <row r="19" spans="2:90" ht="15">
      <c r="B19" s="74" t="s">
        <v>590</v>
      </c>
      <c r="C19" s="2">
        <f t="shared" ref="C19:L19" si="24">SUM(C15:C18)</f>
        <v>3821</v>
      </c>
      <c r="D19" s="2">
        <f t="shared" si="24"/>
        <v>4131</v>
      </c>
      <c r="E19" s="2">
        <f t="shared" si="24"/>
        <v>3893</v>
      </c>
      <c r="F19" s="2">
        <f t="shared" si="24"/>
        <v>5591</v>
      </c>
      <c r="G19" s="2">
        <f t="shared" si="24"/>
        <v>4035</v>
      </c>
      <c r="H19" s="2">
        <f t="shared" si="24"/>
        <v>4455</v>
      </c>
      <c r="I19" s="2">
        <f t="shared" si="24"/>
        <v>4207</v>
      </c>
      <c r="J19" s="2">
        <f t="shared" si="24"/>
        <v>5431</v>
      </c>
      <c r="K19" s="2">
        <f t="shared" si="24"/>
        <v>4423</v>
      </c>
      <c r="L19" s="2">
        <f t="shared" si="24"/>
        <v>4758</v>
      </c>
      <c r="M19" s="2">
        <f>SUM(M15:M18)</f>
        <v>4839</v>
      </c>
      <c r="Y19" s="2">
        <f>SUM(Y15:Y18)</f>
        <v>16124</v>
      </c>
      <c r="Z19" s="2">
        <f>SUM(C19:F19)</f>
        <v>17436</v>
      </c>
      <c r="AA19" s="2">
        <f>SUM(G19:J19)</f>
        <v>18128</v>
      </c>
      <c r="AB19" s="70">
        <f>AA19*(1+AB30)</f>
        <v>19487.599999999999</v>
      </c>
      <c r="AC19" s="70">
        <f t="shared" ref="AC19:AL19" si="25">AB19*(1+AC30)</f>
        <v>22703.054</v>
      </c>
      <c r="AD19" s="70">
        <f t="shared" si="25"/>
        <v>27470.695339999998</v>
      </c>
      <c r="AE19" s="70">
        <f t="shared" si="25"/>
        <v>32896.157669649998</v>
      </c>
      <c r="AF19" s="70">
        <f t="shared" si="25"/>
        <v>38159.542896793995</v>
      </c>
      <c r="AG19" s="70">
        <f t="shared" si="25"/>
        <v>43311.081187861186</v>
      </c>
      <c r="AH19" s="70">
        <f t="shared" si="25"/>
        <v>47923.711334368403</v>
      </c>
      <c r="AI19" s="70">
        <f t="shared" si="25"/>
        <v>51912.641447284557</v>
      </c>
      <c r="AJ19" s="70">
        <f t="shared" si="25"/>
        <v>54975.487292674341</v>
      </c>
      <c r="AK19" s="70">
        <f t="shared" si="25"/>
        <v>57449.38422084468</v>
      </c>
      <c r="AL19" s="70">
        <f t="shared" si="25"/>
        <v>59575.011437015928</v>
      </c>
    </row>
    <row r="20" spans="2:90">
      <c r="B20" s="62" t="s">
        <v>603</v>
      </c>
      <c r="C20" s="1">
        <v>1422</v>
      </c>
      <c r="D20" s="1">
        <v>2174</v>
      </c>
      <c r="E20" s="1">
        <v>2281</v>
      </c>
      <c r="F20" s="1">
        <f>7761-SUM(C20:E20)</f>
        <v>1884</v>
      </c>
      <c r="G20" s="1">
        <v>1059</v>
      </c>
      <c r="H20" s="1">
        <v>1560</v>
      </c>
      <c r="I20" s="1">
        <v>2355</v>
      </c>
      <c r="J20" s="1">
        <f>7781-SUM(G20:I20)</f>
        <v>2807</v>
      </c>
      <c r="K20" s="1">
        <v>1583</v>
      </c>
      <c r="L20" s="1">
        <v>1962</v>
      </c>
      <c r="M20" s="1">
        <v>2402</v>
      </c>
      <c r="Y20" s="1">
        <v>7941</v>
      </c>
      <c r="Z20" s="1">
        <f t="shared" ref="Z20:Z22" si="26">SUM(C20:F20)</f>
        <v>7761</v>
      </c>
      <c r="AA20" s="1">
        <f t="shared" ref="AA20:AA22" si="27">SUM(G20:J20)</f>
        <v>7781</v>
      </c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</row>
    <row r="21" spans="2:90">
      <c r="B21" s="62" t="s">
        <v>604</v>
      </c>
      <c r="C21" s="1">
        <v>249</v>
      </c>
      <c r="D21" s="1">
        <v>285</v>
      </c>
      <c r="E21" s="1">
        <v>455</v>
      </c>
      <c r="F21" s="1">
        <f>1455-SUM(C21:E21)</f>
        <v>466</v>
      </c>
      <c r="G21" s="1">
        <v>441</v>
      </c>
      <c r="H21" s="1">
        <v>353</v>
      </c>
      <c r="I21" s="1">
        <v>388</v>
      </c>
      <c r="J21" s="1">
        <f>1377-SUM(G21:I21)</f>
        <v>195</v>
      </c>
      <c r="K21" s="1">
        <v>204</v>
      </c>
      <c r="L21" s="1">
        <v>225</v>
      </c>
      <c r="M21" s="1">
        <v>195</v>
      </c>
      <c r="Y21" s="1">
        <v>531</v>
      </c>
      <c r="Z21" s="1">
        <f t="shared" si="26"/>
        <v>1455</v>
      </c>
      <c r="AA21" s="1">
        <f t="shared" si="27"/>
        <v>1377</v>
      </c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</row>
    <row r="22" spans="2:90">
      <c r="B22" s="62" t="s">
        <v>605</v>
      </c>
      <c r="C22" s="1">
        <v>80</v>
      </c>
      <c r="D22" s="1">
        <v>142</v>
      </c>
      <c r="E22" s="1">
        <v>151</v>
      </c>
      <c r="F22" s="1">
        <f>610-SUM(C22:E22)</f>
        <v>237</v>
      </c>
      <c r="G22" s="1">
        <v>139</v>
      </c>
      <c r="H22" s="1">
        <v>149</v>
      </c>
      <c r="I22" s="1">
        <v>148</v>
      </c>
      <c r="J22" s="1">
        <f>542-SUM(G22:I22)</f>
        <v>106</v>
      </c>
      <c r="K22" s="1">
        <v>63</v>
      </c>
      <c r="L22" s="1">
        <v>58</v>
      </c>
      <c r="M22" s="1">
        <v>51</v>
      </c>
      <c r="Y22" s="1">
        <v>433</v>
      </c>
      <c r="Z22" s="1">
        <f t="shared" si="26"/>
        <v>610</v>
      </c>
      <c r="AA22" s="1">
        <f t="shared" si="27"/>
        <v>542</v>
      </c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</row>
    <row r="23" spans="2:90" ht="15">
      <c r="B23" s="74" t="s">
        <v>591</v>
      </c>
      <c r="C23" s="2">
        <f t="shared" ref="C23:L23" si="28">SUM(C20:C22)</f>
        <v>1751</v>
      </c>
      <c r="D23" s="2">
        <f t="shared" si="28"/>
        <v>2601</v>
      </c>
      <c r="E23" s="2">
        <f t="shared" si="28"/>
        <v>2887</v>
      </c>
      <c r="F23" s="2">
        <f t="shared" si="28"/>
        <v>2587</v>
      </c>
      <c r="G23" s="2">
        <f t="shared" si="28"/>
        <v>1639</v>
      </c>
      <c r="H23" s="2">
        <f t="shared" si="28"/>
        <v>2062</v>
      </c>
      <c r="I23" s="2">
        <f t="shared" si="28"/>
        <v>2891</v>
      </c>
      <c r="J23" s="2">
        <f t="shared" si="28"/>
        <v>3108</v>
      </c>
      <c r="K23" s="2">
        <f t="shared" si="28"/>
        <v>1850</v>
      </c>
      <c r="L23" s="2">
        <f t="shared" si="28"/>
        <v>2245</v>
      </c>
      <c r="M23" s="2">
        <f>SUM(M20:M22)</f>
        <v>2648</v>
      </c>
      <c r="Y23" s="2">
        <f>SUM(Y20:Y22)</f>
        <v>8905</v>
      </c>
      <c r="Z23" s="2">
        <f>SUM(C23:F23)</f>
        <v>9826</v>
      </c>
      <c r="AA23" s="2">
        <f>SUM(G23:J23)</f>
        <v>9700</v>
      </c>
      <c r="AB23" s="70">
        <f>AA23*(1+AB31)</f>
        <v>9991</v>
      </c>
      <c r="AC23" s="70">
        <f t="shared" ref="AC23:AL23" si="29">AB23*(1+AC31)</f>
        <v>9491.4499999999989</v>
      </c>
      <c r="AD23" s="70">
        <f t="shared" si="29"/>
        <v>7403.3309999999992</v>
      </c>
      <c r="AE23" s="70">
        <f t="shared" si="29"/>
        <v>5959.681454999999</v>
      </c>
      <c r="AF23" s="70">
        <f t="shared" si="29"/>
        <v>6227.867120474999</v>
      </c>
      <c r="AG23" s="70">
        <f t="shared" si="29"/>
        <v>6912.9325037272492</v>
      </c>
      <c r="AH23" s="70">
        <f t="shared" si="29"/>
        <v>7542.0093615664291</v>
      </c>
      <c r="AI23" s="70">
        <f t="shared" si="29"/>
        <v>8069.9500168760796</v>
      </c>
      <c r="AJ23" s="70">
        <f t="shared" si="29"/>
        <v>8412.922892593313</v>
      </c>
      <c r="AK23" s="70">
        <f t="shared" si="29"/>
        <v>8732.6139625118594</v>
      </c>
      <c r="AL23" s="70">
        <f t="shared" si="29"/>
        <v>8929.0977766683754</v>
      </c>
    </row>
    <row r="24" spans="2:90">
      <c r="B24" s="62" t="s">
        <v>606</v>
      </c>
      <c r="C24" s="1">
        <v>835</v>
      </c>
      <c r="D24" s="1">
        <v>966</v>
      </c>
      <c r="E24" s="1">
        <v>979</v>
      </c>
      <c r="F24" s="1">
        <f>3955-SUM(C24:E24)</f>
        <v>1175</v>
      </c>
      <c r="G24" s="1">
        <v>1109</v>
      </c>
      <c r="H24" s="1">
        <v>1142</v>
      </c>
      <c r="I24" s="1">
        <v>1270</v>
      </c>
      <c r="J24" s="1">
        <f>4957-SUM(G24:I24)</f>
        <v>1436</v>
      </c>
      <c r="K24" s="1">
        <v>1275</v>
      </c>
      <c r="L24" s="1">
        <v>1570</v>
      </c>
      <c r="M24" s="1">
        <v>1747</v>
      </c>
      <c r="Y24" s="1">
        <v>3133</v>
      </c>
      <c r="Z24" s="1">
        <f t="shared" ref="Z24:Z26" si="30">SUM(C24:F24)</f>
        <v>3955</v>
      </c>
      <c r="AA24" s="1">
        <f t="shared" ref="AA24:AA26" si="31">SUM(G24:J24)</f>
        <v>4957</v>
      </c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</row>
    <row r="25" spans="2:90">
      <c r="B25" s="62" t="s">
        <v>607</v>
      </c>
      <c r="C25" s="1">
        <f>183+95</f>
        <v>278</v>
      </c>
      <c r="D25" s="1">
        <f>217+109</f>
        <v>326</v>
      </c>
      <c r="E25" s="1">
        <f>286+108</f>
        <v>394</v>
      </c>
      <c r="F25" s="1">
        <f>1027+482-SUM(C25:E25)</f>
        <v>511</v>
      </c>
      <c r="G25" s="1">
        <v>336</v>
      </c>
      <c r="H25" s="1">
        <v>426</v>
      </c>
      <c r="I25" s="1">
        <v>440</v>
      </c>
      <c r="J25" s="1">
        <f>1194+482-SUM(G25:I25)</f>
        <v>474</v>
      </c>
      <c r="K25" s="1">
        <v>381</v>
      </c>
      <c r="L25" s="1">
        <v>411</v>
      </c>
      <c r="M25" s="1">
        <v>621</v>
      </c>
      <c r="Y25" s="1">
        <f>843+296</f>
        <v>1139</v>
      </c>
      <c r="Z25" s="1">
        <f t="shared" si="30"/>
        <v>1509</v>
      </c>
      <c r="AA25" s="1">
        <f t="shared" si="31"/>
        <v>1676</v>
      </c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</row>
    <row r="26" spans="2:90">
      <c r="B26" s="62" t="s">
        <v>608</v>
      </c>
      <c r="C26" s="1">
        <v>218</v>
      </c>
      <c r="D26" s="1">
        <v>213</v>
      </c>
      <c r="E26" s="1">
        <v>204</v>
      </c>
      <c r="F26" s="1">
        <f>874-SUM(C26:E26)</f>
        <v>239</v>
      </c>
      <c r="G26" s="1">
        <v>206</v>
      </c>
      <c r="H26" s="1">
        <v>223</v>
      </c>
      <c r="I26" s="1">
        <v>218</v>
      </c>
      <c r="J26" s="1">
        <f>917-SUM(G26:I26)</f>
        <v>270</v>
      </c>
      <c r="K26" s="1">
        <v>224</v>
      </c>
      <c r="L26" s="1">
        <v>220</v>
      </c>
      <c r="M26" s="1">
        <v>234</v>
      </c>
      <c r="Y26" s="1">
        <v>804</v>
      </c>
      <c r="Z26" s="1">
        <f t="shared" si="30"/>
        <v>874</v>
      </c>
      <c r="AA26" s="1">
        <f t="shared" si="31"/>
        <v>917</v>
      </c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</row>
    <row r="27" spans="2:90" ht="15">
      <c r="B27" s="74" t="s">
        <v>592</v>
      </c>
      <c r="C27" s="2">
        <f t="shared" ref="C27:L27" si="32">SUM(C24:C26)</f>
        <v>1331</v>
      </c>
      <c r="D27" s="2">
        <f t="shared" si="32"/>
        <v>1505</v>
      </c>
      <c r="E27" s="2">
        <f t="shared" si="32"/>
        <v>1577</v>
      </c>
      <c r="F27" s="2">
        <f t="shared" si="32"/>
        <v>1925</v>
      </c>
      <c r="G27" s="2">
        <f t="shared" si="32"/>
        <v>1651</v>
      </c>
      <c r="H27" s="2">
        <f t="shared" si="32"/>
        <v>1791</v>
      </c>
      <c r="I27" s="2">
        <f t="shared" si="32"/>
        <v>1928</v>
      </c>
      <c r="J27" s="2">
        <f t="shared" si="32"/>
        <v>2180</v>
      </c>
      <c r="K27" s="2">
        <f t="shared" si="32"/>
        <v>1880</v>
      </c>
      <c r="L27" s="2">
        <f t="shared" si="32"/>
        <v>2201</v>
      </c>
      <c r="M27" s="2">
        <f>SUM(M24:M26)</f>
        <v>2602</v>
      </c>
      <c r="Y27" s="2">
        <f>SUM(Y24:Y26)</f>
        <v>5076</v>
      </c>
      <c r="Z27" s="2">
        <f>SUM(C27:F27)</f>
        <v>6338</v>
      </c>
      <c r="AA27" s="2">
        <f>SUM(G27:J27)</f>
        <v>7550</v>
      </c>
      <c r="AB27" s="70">
        <f>AA27*(1+AB32)</f>
        <v>8886.35</v>
      </c>
      <c r="AC27" s="70">
        <f t="shared" ref="AC27:AL27" si="33">AB27*(1+AC32)</f>
        <v>11818.845500000001</v>
      </c>
      <c r="AD27" s="70">
        <f t="shared" si="33"/>
        <v>16132.724107500002</v>
      </c>
      <c r="AE27" s="70">
        <f t="shared" si="33"/>
        <v>20327.232375450003</v>
      </c>
      <c r="AF27" s="70">
        <f t="shared" si="33"/>
        <v>23843.843576402855</v>
      </c>
      <c r="AG27" s="70">
        <f t="shared" si="33"/>
        <v>27515.795487168893</v>
      </c>
      <c r="AH27" s="70">
        <f t="shared" si="33"/>
        <v>30570.048786244639</v>
      </c>
      <c r="AI27" s="70">
        <f t="shared" si="33"/>
        <v>32434.82176220556</v>
      </c>
      <c r="AJ27" s="70">
        <f t="shared" si="33"/>
        <v>34153.867315602452</v>
      </c>
      <c r="AK27" s="70">
        <f t="shared" si="33"/>
        <v>35280.944937017332</v>
      </c>
      <c r="AL27" s="70">
        <f t="shared" si="33"/>
        <v>35986.563835757675</v>
      </c>
    </row>
    <row r="28" spans="2:90" s="2" customFormat="1" ht="15">
      <c r="B28" s="33" t="s">
        <v>63</v>
      </c>
      <c r="C28" s="2">
        <f>C27+C23+C19-81</f>
        <v>6822</v>
      </c>
      <c r="D28" s="2">
        <f>D27+D23+D19-118</f>
        <v>8119</v>
      </c>
      <c r="E28" s="2">
        <f>E27+E23+E19-105</f>
        <v>8252</v>
      </c>
      <c r="F28" s="2">
        <f t="shared" ref="F28" si="34">F27+F23+F19</f>
        <v>10103</v>
      </c>
      <c r="G28" s="2">
        <f>G27+G23+G19-66</f>
        <v>7259</v>
      </c>
      <c r="H28" s="2">
        <f>H27+H23+H19-104</f>
        <v>8204</v>
      </c>
      <c r="I28" s="2">
        <f>I27+I23+I19-113</f>
        <v>8913</v>
      </c>
      <c r="J28" s="2">
        <f>J27+J23+J19-160</f>
        <v>10559</v>
      </c>
      <c r="K28" s="2">
        <f>K27+K23+K19-121</f>
        <v>8032</v>
      </c>
      <c r="L28" s="2">
        <f>L27+L23+L19-93</f>
        <v>9111</v>
      </c>
      <c r="M28" s="2">
        <f>M27+M23+M19-120</f>
        <v>9969</v>
      </c>
      <c r="N28" s="34"/>
      <c r="O28" s="34"/>
      <c r="P28" s="34"/>
      <c r="Q28" s="34"/>
      <c r="R28" s="34"/>
      <c r="Y28" s="2">
        <f>Y27+Y23+Y19-451</f>
        <v>29654</v>
      </c>
      <c r="Z28" s="2">
        <f>SUM(C28:F28)</f>
        <v>33296</v>
      </c>
      <c r="AA28" s="2">
        <f>SUM(G28:J28)</f>
        <v>34935</v>
      </c>
      <c r="AB28" s="71">
        <f>AB19+AB23+AB27</f>
        <v>38364.949999999997</v>
      </c>
      <c r="AC28" s="71">
        <f t="shared" ref="AC28:AL28" si="35">AC19+AC23+AC27</f>
        <v>44013.349500000004</v>
      </c>
      <c r="AD28" s="71">
        <f t="shared" si="35"/>
        <v>51006.750447500002</v>
      </c>
      <c r="AE28" s="71">
        <f t="shared" si="35"/>
        <v>59183.071500099999</v>
      </c>
      <c r="AF28" s="71">
        <f t="shared" si="35"/>
        <v>68231.253593671849</v>
      </c>
      <c r="AG28" s="71">
        <f t="shared" si="35"/>
        <v>77739.809178757336</v>
      </c>
      <c r="AH28" s="71">
        <f t="shared" si="35"/>
        <v>86035.769482179472</v>
      </c>
      <c r="AI28" s="71">
        <f t="shared" si="35"/>
        <v>92417.413226366189</v>
      </c>
      <c r="AJ28" s="71">
        <f t="shared" si="35"/>
        <v>97542.277500870114</v>
      </c>
      <c r="AK28" s="71">
        <f t="shared" si="35"/>
        <v>101462.94312037388</v>
      </c>
      <c r="AL28" s="71">
        <f t="shared" si="35"/>
        <v>104490.67304944198</v>
      </c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</row>
    <row r="30" spans="2:90">
      <c r="B30" s="62" t="s">
        <v>593</v>
      </c>
      <c r="C30" s="63"/>
      <c r="D30" s="63"/>
      <c r="E30" s="63"/>
      <c r="F30" s="63"/>
      <c r="G30" s="63">
        <f t="shared" ref="G30:M30" si="36">G19/C19-1</f>
        <v>5.6006281078251785E-2</v>
      </c>
      <c r="H30" s="63">
        <f t="shared" si="36"/>
        <v>7.8431372549019551E-2</v>
      </c>
      <c r="I30" s="63">
        <f t="shared" si="36"/>
        <v>8.0657590547135838E-2</v>
      </c>
      <c r="J30" s="63">
        <f t="shared" si="36"/>
        <v>-2.8617420854945452E-2</v>
      </c>
      <c r="K30" s="63">
        <f t="shared" si="36"/>
        <v>9.6158612143742328E-2</v>
      </c>
      <c r="L30" s="63">
        <f t="shared" si="36"/>
        <v>6.8013468013468081E-2</v>
      </c>
      <c r="M30" s="63">
        <f t="shared" si="36"/>
        <v>0.1502258141193249</v>
      </c>
      <c r="Y30" s="63"/>
      <c r="Z30" s="63">
        <f>Z19/Y19-1</f>
        <v>8.1369387248821701E-2</v>
      </c>
      <c r="AA30" s="63">
        <f>AA19/Z19-1</f>
        <v>3.9688001835283426E-2</v>
      </c>
      <c r="AB30" s="65">
        <v>7.4999999999999997E-2</v>
      </c>
      <c r="AC30" s="65">
        <v>0.16500000000000001</v>
      </c>
      <c r="AD30" s="65">
        <v>0.21</v>
      </c>
      <c r="AE30" s="65">
        <v>0.19750000000000001</v>
      </c>
      <c r="AF30" s="65">
        <v>0.16</v>
      </c>
      <c r="AG30" s="65">
        <v>0.13500000000000001</v>
      </c>
      <c r="AH30" s="65">
        <v>0.1065</v>
      </c>
      <c r="AI30" s="65">
        <v>8.3235000000000003E-2</v>
      </c>
      <c r="AJ30" s="65">
        <v>5.8999999999999997E-2</v>
      </c>
      <c r="AK30" s="65">
        <v>4.4999999999999998E-2</v>
      </c>
      <c r="AL30" s="65">
        <v>3.6999999999999998E-2</v>
      </c>
    </row>
    <row r="31" spans="2:90">
      <c r="B31" s="62" t="s">
        <v>594</v>
      </c>
      <c r="C31" s="63"/>
      <c r="D31" s="63"/>
      <c r="E31" s="63"/>
      <c r="F31" s="63"/>
      <c r="G31" s="63">
        <f t="shared" ref="G31:M31" si="37">G23/C23-1</f>
        <v>-6.3963449457452914E-2</v>
      </c>
      <c r="H31" s="63">
        <f t="shared" si="37"/>
        <v>-0.2072279892349097</v>
      </c>
      <c r="I31" s="63">
        <f t="shared" si="37"/>
        <v>1.3855213023901136E-3</v>
      </c>
      <c r="J31" s="63">
        <f t="shared" si="37"/>
        <v>0.20139157325086976</v>
      </c>
      <c r="K31" s="63">
        <f t="shared" si="37"/>
        <v>0.12873703477730314</v>
      </c>
      <c r="L31" s="63">
        <f t="shared" si="37"/>
        <v>8.8748787584869149E-2</v>
      </c>
      <c r="M31" s="63">
        <f t="shared" si="37"/>
        <v>-8.4053960567277763E-2</v>
      </c>
      <c r="Y31" s="63"/>
      <c r="Z31" s="63">
        <f>Z23/Y23-1</f>
        <v>0.10342504211117354</v>
      </c>
      <c r="AA31" s="63">
        <f>AA23/Z23-1</f>
        <v>-1.2823122328516234E-2</v>
      </c>
      <c r="AB31" s="65">
        <v>0.03</v>
      </c>
      <c r="AC31" s="65">
        <v>-0.05</v>
      </c>
      <c r="AD31" s="65">
        <v>-0.22</v>
      </c>
      <c r="AE31" s="65">
        <v>-0.19500000000000001</v>
      </c>
      <c r="AF31" s="65">
        <v>4.4999999999999998E-2</v>
      </c>
      <c r="AG31" s="65">
        <v>0.11</v>
      </c>
      <c r="AH31" s="65">
        <v>9.0999999999999998E-2</v>
      </c>
      <c r="AI31" s="65">
        <v>7.0000000000000007E-2</v>
      </c>
      <c r="AJ31" s="65">
        <v>4.2500000000000003E-2</v>
      </c>
      <c r="AK31" s="65">
        <v>3.7999999999999999E-2</v>
      </c>
      <c r="AL31" s="65">
        <v>2.2499999999999999E-2</v>
      </c>
    </row>
    <row r="32" spans="2:90">
      <c r="B32" s="62" t="s">
        <v>595</v>
      </c>
      <c r="C32" s="63"/>
      <c r="D32" s="63"/>
      <c r="E32" s="63"/>
      <c r="F32" s="63"/>
      <c r="G32" s="63">
        <f t="shared" ref="G32:G33" si="38">G27/C27-1</f>
        <v>0.24042073628850491</v>
      </c>
      <c r="H32" s="63">
        <f t="shared" ref="H32:H33" si="39">H27/D27-1</f>
        <v>0.19003322259136213</v>
      </c>
      <c r="I32" s="63">
        <f t="shared" ref="I32:I33" si="40">I27/E27-1</f>
        <v>0.22257450856055794</v>
      </c>
      <c r="J32" s="63">
        <f t="shared" ref="J32:J33" si="41">J27/F27-1</f>
        <v>0.1324675324675324</v>
      </c>
      <c r="K32" s="63">
        <f t="shared" ref="K32:K33" si="42">K27/G27-1</f>
        <v>0.13870381586917024</v>
      </c>
      <c r="L32" s="63">
        <f t="shared" ref="L32:L33" si="43">L27/H27-1</f>
        <v>0.22892238972640988</v>
      </c>
      <c r="M32" s="63">
        <f t="shared" ref="M32" si="44">M27/I27-1</f>
        <v>0.34958506224066399</v>
      </c>
      <c r="Y32" s="63"/>
      <c r="Z32" s="63">
        <f t="shared" ref="Z32:AA33" si="45">Z27/Y27-1</f>
        <v>0.2486209613869188</v>
      </c>
      <c r="AA32" s="63">
        <f t="shared" si="45"/>
        <v>0.19122751656674031</v>
      </c>
      <c r="AB32" s="65">
        <v>0.17699999999999999</v>
      </c>
      <c r="AC32" s="65">
        <v>0.33</v>
      </c>
      <c r="AD32" s="65">
        <v>0.36499999999999999</v>
      </c>
      <c r="AE32" s="65">
        <v>0.26</v>
      </c>
      <c r="AF32" s="65">
        <v>0.17299999999999999</v>
      </c>
      <c r="AG32" s="65">
        <v>0.154</v>
      </c>
      <c r="AH32" s="65">
        <v>0.111</v>
      </c>
      <c r="AI32" s="65">
        <v>6.0999999999999999E-2</v>
      </c>
      <c r="AJ32" s="65">
        <v>5.2999999999999999E-2</v>
      </c>
      <c r="AK32" s="65">
        <v>3.3000000000000002E-2</v>
      </c>
      <c r="AL32" s="65">
        <v>0.02</v>
      </c>
    </row>
    <row r="33" spans="2:90" s="2" customFormat="1" ht="15">
      <c r="B33" s="33" t="s">
        <v>116</v>
      </c>
      <c r="C33" s="64"/>
      <c r="D33" s="64"/>
      <c r="E33" s="64"/>
      <c r="F33" s="64"/>
      <c r="G33" s="64">
        <f t="shared" si="38"/>
        <v>6.4057461155086592E-2</v>
      </c>
      <c r="H33" s="64">
        <f t="shared" si="39"/>
        <v>1.0469269614484578E-2</v>
      </c>
      <c r="I33" s="64">
        <f t="shared" si="40"/>
        <v>8.010179350460489E-2</v>
      </c>
      <c r="J33" s="64">
        <f t="shared" si="41"/>
        <v>4.5135108383648426E-2</v>
      </c>
      <c r="K33" s="64">
        <f t="shared" si="42"/>
        <v>0.10648849703815944</v>
      </c>
      <c r="L33" s="64">
        <f t="shared" si="43"/>
        <v>0.11055582642613349</v>
      </c>
      <c r="M33" s="64">
        <f>M28/I28-1</f>
        <v>0.11847862672500842</v>
      </c>
      <c r="N33" s="34"/>
      <c r="O33" s="34"/>
      <c r="P33" s="34"/>
      <c r="Q33" s="34"/>
      <c r="R33" s="34"/>
      <c r="Y33" s="64"/>
      <c r="Z33" s="64">
        <f t="shared" si="45"/>
        <v>0.12281648344236862</v>
      </c>
      <c r="AA33" s="64">
        <f t="shared" si="45"/>
        <v>4.9225132148005724E-2</v>
      </c>
      <c r="AB33" s="66">
        <f>AB28/AA28-1</f>
        <v>9.8180907399455952E-2</v>
      </c>
      <c r="AC33" s="66">
        <f t="shared" ref="AC33:AL33" si="46">AC28/AB28-1</f>
        <v>0.14722812098021776</v>
      </c>
      <c r="AD33" s="66">
        <f t="shared" si="46"/>
        <v>0.1588927229339816</v>
      </c>
      <c r="AE33" s="66">
        <f t="shared" si="46"/>
        <v>0.16029880321459977</v>
      </c>
      <c r="AF33" s="66">
        <f t="shared" si="46"/>
        <v>0.15288463177441813</v>
      </c>
      <c r="AG33" s="66">
        <f t="shared" si="46"/>
        <v>0.13935777351696443</v>
      </c>
      <c r="AH33" s="66">
        <f t="shared" si="46"/>
        <v>0.10671444130183216</v>
      </c>
      <c r="AI33" s="66">
        <f t="shared" si="46"/>
        <v>7.4174308925179622E-2</v>
      </c>
      <c r="AJ33" s="66">
        <f t="shared" si="46"/>
        <v>5.5453448604443567E-2</v>
      </c>
      <c r="AK33" s="66">
        <f t="shared" si="46"/>
        <v>4.0194526106577699E-2</v>
      </c>
      <c r="AL33" s="66">
        <f t="shared" si="46"/>
        <v>2.9840746147842934E-2</v>
      </c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</row>
    <row r="34" spans="2:90"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Y34" s="63"/>
      <c r="Z34" s="63"/>
      <c r="AA34" s="63"/>
    </row>
    <row r="35" spans="2:90">
      <c r="B35" s="62" t="s">
        <v>596</v>
      </c>
      <c r="C35" s="63">
        <f t="shared" ref="C35:L35" si="47">C19/C28</f>
        <v>0.56009967751392553</v>
      </c>
      <c r="D35" s="63">
        <f t="shared" si="47"/>
        <v>0.50880650326394872</v>
      </c>
      <c r="E35" s="63">
        <f t="shared" si="47"/>
        <v>0.47176442074648572</v>
      </c>
      <c r="F35" s="63">
        <f t="shared" si="47"/>
        <v>0.5533999802038998</v>
      </c>
      <c r="G35" s="63">
        <f t="shared" si="47"/>
        <v>0.55586168893787025</v>
      </c>
      <c r="H35" s="63">
        <f t="shared" si="47"/>
        <v>0.54302779132130663</v>
      </c>
      <c r="I35" s="63">
        <f t="shared" si="47"/>
        <v>0.4720071805228318</v>
      </c>
      <c r="J35" s="63">
        <f t="shared" si="47"/>
        <v>0.51434794961644092</v>
      </c>
      <c r="K35" s="63">
        <f t="shared" si="47"/>
        <v>0.55067231075697209</v>
      </c>
      <c r="L35" s="63">
        <f t="shared" si="47"/>
        <v>0.52222588080342447</v>
      </c>
      <c r="M35" s="63">
        <f>M19/M28</f>
        <v>0.48540475473969302</v>
      </c>
      <c r="Y35" s="63">
        <f t="shared" ref="Y35:Z35" si="48">Y19/Y28</f>
        <v>0.54373777567950365</v>
      </c>
      <c r="Z35" s="63">
        <f t="shared" si="48"/>
        <v>0.52366650648726576</v>
      </c>
      <c r="AA35" s="63">
        <f>AA19/AA28</f>
        <v>0.51890654071847719</v>
      </c>
    </row>
    <row r="36" spans="2:90">
      <c r="B36" s="62" t="s">
        <v>597</v>
      </c>
      <c r="C36" s="63">
        <f t="shared" ref="C36:L36" si="49">C23/C28</f>
        <v>0.2566695983582527</v>
      </c>
      <c r="D36" s="63">
        <f t="shared" si="49"/>
        <v>0.32035965020322699</v>
      </c>
      <c r="E36" s="63">
        <f t="shared" si="49"/>
        <v>0.3498545807077072</v>
      </c>
      <c r="F36" s="63">
        <f t="shared" si="49"/>
        <v>0.25606255567653174</v>
      </c>
      <c r="G36" s="63">
        <f t="shared" si="49"/>
        <v>0.22578867612618819</v>
      </c>
      <c r="H36" s="63">
        <f t="shared" si="49"/>
        <v>0.25134080936128717</v>
      </c>
      <c r="I36" s="63">
        <f t="shared" si="49"/>
        <v>0.32435767979355995</v>
      </c>
      <c r="J36" s="63">
        <f t="shared" si="49"/>
        <v>0.29434605549767973</v>
      </c>
      <c r="K36" s="63">
        <f t="shared" si="49"/>
        <v>0.23032868525896413</v>
      </c>
      <c r="L36" s="63">
        <f t="shared" si="49"/>
        <v>0.24640544396882888</v>
      </c>
      <c r="M36" s="63">
        <f>M23/M28</f>
        <v>0.26562343264118771</v>
      </c>
      <c r="Y36" s="63">
        <f t="shared" ref="Y36:Z36" si="50">Y23/Y28</f>
        <v>0.30029675591825722</v>
      </c>
      <c r="Z36" s="63">
        <f t="shared" si="50"/>
        <v>0.29511052378664104</v>
      </c>
      <c r="AA36" s="63">
        <f>AA23/AA28</f>
        <v>0.27765850865893804</v>
      </c>
    </row>
    <row r="37" spans="2:90">
      <c r="B37" s="62" t="s">
        <v>598</v>
      </c>
      <c r="C37" s="63">
        <f t="shared" ref="C37:L37" si="51">C27/C28</f>
        <v>0.19510407505130462</v>
      </c>
      <c r="D37" s="63">
        <f t="shared" si="51"/>
        <v>0.18536765611528513</v>
      </c>
      <c r="E37" s="63">
        <f t="shared" si="51"/>
        <v>0.19110518662142512</v>
      </c>
      <c r="F37" s="63">
        <f t="shared" si="51"/>
        <v>0.19053746411956846</v>
      </c>
      <c r="G37" s="63">
        <f t="shared" si="51"/>
        <v>0.22744179639068743</v>
      </c>
      <c r="H37" s="63">
        <f t="shared" si="51"/>
        <v>0.21830814236957582</v>
      </c>
      <c r="I37" s="63">
        <f t="shared" si="51"/>
        <v>0.2163132503085381</v>
      </c>
      <c r="J37" s="63">
        <f t="shared" si="51"/>
        <v>0.20645894497584999</v>
      </c>
      <c r="K37" s="63">
        <f t="shared" si="51"/>
        <v>0.23406374501992031</v>
      </c>
      <c r="L37" s="63">
        <f t="shared" si="51"/>
        <v>0.24157611678191199</v>
      </c>
      <c r="M37" s="63">
        <f>M27/M28</f>
        <v>0.26100912829772294</v>
      </c>
      <c r="Y37" s="63">
        <f t="shared" ref="Y37:Z37" si="52">Y27/Y28</f>
        <v>0.17117420921292237</v>
      </c>
      <c r="Z37" s="63">
        <f t="shared" si="52"/>
        <v>0.19035319557904853</v>
      </c>
      <c r="AA37" s="63">
        <f>AA27/AA28</f>
        <v>0.21611564333762703</v>
      </c>
    </row>
    <row r="39" spans="2:90">
      <c r="B39" s="62" t="s">
        <v>545</v>
      </c>
      <c r="C39" s="1">
        <f t="shared" ref="C39:M39" si="53">C4</f>
        <v>3489</v>
      </c>
      <c r="D39" s="1">
        <f t="shared" si="53"/>
        <v>4388</v>
      </c>
      <c r="E39" s="1">
        <f t="shared" si="53"/>
        <v>4869</v>
      </c>
      <c r="F39" s="1">
        <f t="shared" si="53"/>
        <v>5512</v>
      </c>
      <c r="G39" s="1">
        <f t="shared" si="53"/>
        <v>3617</v>
      </c>
      <c r="H39" s="1">
        <f t="shared" si="53"/>
        <v>4194</v>
      </c>
      <c r="I39" s="1">
        <f t="shared" si="53"/>
        <v>5290</v>
      </c>
      <c r="J39" s="1">
        <f t="shared" si="53"/>
        <v>5851</v>
      </c>
      <c r="K39" s="1">
        <f t="shared" si="53"/>
        <v>4197</v>
      </c>
      <c r="L39" s="1">
        <f t="shared" si="53"/>
        <v>4894</v>
      </c>
      <c r="M39" s="1">
        <f t="shared" si="53"/>
        <v>5880</v>
      </c>
      <c r="Y39" s="1">
        <f>Y4</f>
        <v>15819</v>
      </c>
      <c r="Z39" s="1">
        <f t="shared" ref="Z39:Z56" si="54">SUM(C39:F39)</f>
        <v>18258</v>
      </c>
      <c r="AA39" s="1">
        <f t="shared" ref="AA39:AA45" si="55">SUM(G39:J39)</f>
        <v>18952</v>
      </c>
      <c r="AB39" s="70">
        <f t="shared" ref="AB39:AL39" si="56">AB4</f>
        <v>21557.899999999998</v>
      </c>
      <c r="AC39" s="70">
        <f t="shared" si="56"/>
        <v>25718.574699999997</v>
      </c>
      <c r="AD39" s="70">
        <f t="shared" si="56"/>
        <v>30733.696766499997</v>
      </c>
      <c r="AE39" s="70">
        <f t="shared" si="56"/>
        <v>36680.667090817748</v>
      </c>
      <c r="AF39" s="70">
        <f t="shared" si="56"/>
        <v>42402.851156985314</v>
      </c>
      <c r="AG39" s="70">
        <f t="shared" si="56"/>
        <v>47872.81895623642</v>
      </c>
      <c r="AH39" s="70">
        <f t="shared" si="56"/>
        <v>51702.644472735337</v>
      </c>
      <c r="AI39" s="70">
        <f t="shared" si="56"/>
        <v>54804.803141099459</v>
      </c>
      <c r="AJ39" s="70">
        <f t="shared" si="56"/>
        <v>56996.995266743441</v>
      </c>
      <c r="AK39" s="70">
        <f t="shared" si="56"/>
        <v>58706.905124745746</v>
      </c>
      <c r="AL39" s="70">
        <f t="shared" si="56"/>
        <v>59881.043227240662</v>
      </c>
    </row>
    <row r="40" spans="2:90">
      <c r="B40" s="62" t="s">
        <v>546</v>
      </c>
      <c r="C40" s="1">
        <f t="shared" ref="C40:M40" si="57">C5</f>
        <v>3333</v>
      </c>
      <c r="D40" s="1">
        <f t="shared" si="57"/>
        <v>3731</v>
      </c>
      <c r="E40" s="1">
        <f t="shared" si="57"/>
        <v>3383</v>
      </c>
      <c r="F40" s="1">
        <f t="shared" si="57"/>
        <v>4534</v>
      </c>
      <c r="G40" s="1">
        <f t="shared" si="57"/>
        <v>3642</v>
      </c>
      <c r="H40" s="1">
        <f t="shared" si="57"/>
        <v>4010</v>
      </c>
      <c r="I40" s="1">
        <f t="shared" si="57"/>
        <v>3623</v>
      </c>
      <c r="J40" s="1">
        <f t="shared" si="57"/>
        <v>4708</v>
      </c>
      <c r="K40" s="1">
        <f t="shared" si="57"/>
        <v>3835</v>
      </c>
      <c r="L40" s="1">
        <f t="shared" si="57"/>
        <v>4217</v>
      </c>
      <c r="M40" s="1">
        <f t="shared" si="57"/>
        <v>4089</v>
      </c>
      <c r="Y40" s="1">
        <f>Y5</f>
        <v>13835</v>
      </c>
      <c r="Z40" s="1">
        <f t="shared" si="54"/>
        <v>14981</v>
      </c>
      <c r="AA40" s="1">
        <f t="shared" si="55"/>
        <v>15983</v>
      </c>
      <c r="AB40" s="70">
        <f t="shared" ref="AB40:AL40" si="58">AB5</f>
        <v>16814.116000000002</v>
      </c>
      <c r="AC40" s="70">
        <f t="shared" si="58"/>
        <v>18293.758208000003</v>
      </c>
      <c r="AD40" s="70">
        <f t="shared" si="58"/>
        <v>20287.777852672003</v>
      </c>
      <c r="AE40" s="70">
        <f t="shared" si="58"/>
        <v>22499.145638613252</v>
      </c>
      <c r="AF40" s="70">
        <f t="shared" si="58"/>
        <v>25829.019193128013</v>
      </c>
      <c r="AG40" s="70">
        <f t="shared" si="58"/>
        <v>29845.431677659417</v>
      </c>
      <c r="AH40" s="70">
        <f t="shared" si="58"/>
        <v>34322.246429308325</v>
      </c>
      <c r="AI40" s="70">
        <f t="shared" si="58"/>
        <v>39127.360929411494</v>
      </c>
      <c r="AJ40" s="70">
        <f t="shared" si="58"/>
        <v>42257.549803764414</v>
      </c>
      <c r="AK40" s="70">
        <f t="shared" si="58"/>
        <v>45215.578290027923</v>
      </c>
      <c r="AL40" s="70">
        <f t="shared" si="58"/>
        <v>47476.357204529319</v>
      </c>
    </row>
    <row r="41" spans="2:90" s="2" customFormat="1" ht="15">
      <c r="B41" s="2" t="s">
        <v>62</v>
      </c>
      <c r="C41" s="2">
        <f t="shared" ref="C41" si="59">SUM(C39:C40)</f>
        <v>6822</v>
      </c>
      <c r="D41" s="2">
        <f t="shared" ref="D41" si="60">SUM(D39:D40)</f>
        <v>8119</v>
      </c>
      <c r="E41" s="2">
        <f t="shared" ref="E41" si="61">SUM(E39:E40)</f>
        <v>8252</v>
      </c>
      <c r="F41" s="2">
        <f t="shared" ref="F41" si="62">SUM(F39:F40)</f>
        <v>10046</v>
      </c>
      <c r="G41" s="2">
        <f t="shared" ref="G41:K41" si="63">SUM(G39:G40)</f>
        <v>7259</v>
      </c>
      <c r="H41" s="2">
        <f t="shared" si="63"/>
        <v>8204</v>
      </c>
      <c r="I41" s="2">
        <f t="shared" si="63"/>
        <v>8913</v>
      </c>
      <c r="J41" s="2">
        <f t="shared" si="63"/>
        <v>10559</v>
      </c>
      <c r="K41" s="2">
        <f t="shared" si="63"/>
        <v>8032</v>
      </c>
      <c r="L41" s="2">
        <f>SUM(L39:L40)</f>
        <v>9111</v>
      </c>
      <c r="M41" s="2">
        <f>SUM(M39:M40)</f>
        <v>9969</v>
      </c>
      <c r="N41" s="34"/>
      <c r="O41" s="34"/>
      <c r="P41" s="34"/>
      <c r="Q41" s="34"/>
      <c r="R41" s="34"/>
      <c r="Y41" s="2">
        <f>Y6</f>
        <v>29654</v>
      </c>
      <c r="Z41" s="2">
        <f t="shared" si="54"/>
        <v>33239</v>
      </c>
      <c r="AA41" s="2">
        <f t="shared" si="55"/>
        <v>34935</v>
      </c>
      <c r="AB41" s="71">
        <f t="shared" ref="AB41:AL41" si="64">AB6</f>
        <v>38372.016000000003</v>
      </c>
      <c r="AC41" s="71">
        <f t="shared" si="64"/>
        <v>44012.332907999997</v>
      </c>
      <c r="AD41" s="71">
        <f t="shared" si="64"/>
        <v>51021.474619172004</v>
      </c>
      <c r="AE41" s="71">
        <f t="shared" si="64"/>
        <v>59179.812729430996</v>
      </c>
      <c r="AF41" s="71">
        <f t="shared" si="64"/>
        <v>68231.870350113328</v>
      </c>
      <c r="AG41" s="71">
        <f t="shared" si="64"/>
        <v>77718.250633895834</v>
      </c>
      <c r="AH41" s="71">
        <f t="shared" si="64"/>
        <v>86024.890902043669</v>
      </c>
      <c r="AI41" s="71">
        <f t="shared" si="64"/>
        <v>93932.164070510946</v>
      </c>
      <c r="AJ41" s="71">
        <f t="shared" si="64"/>
        <v>99254.545070507855</v>
      </c>
      <c r="AK41" s="71">
        <f t="shared" si="64"/>
        <v>103922.48341477367</v>
      </c>
      <c r="AL41" s="71">
        <f t="shared" si="64"/>
        <v>107357.40043176999</v>
      </c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</row>
    <row r="42" spans="2:90">
      <c r="B42" s="62" t="s">
        <v>547</v>
      </c>
      <c r="C42" s="1">
        <v>3575</v>
      </c>
      <c r="D42" s="1">
        <v>4621</v>
      </c>
      <c r="E42" s="1">
        <v>5005</v>
      </c>
      <c r="F42" s="1">
        <f>18705-SUM(C42:E42)</f>
        <v>5504</v>
      </c>
      <c r="G42" s="1">
        <v>3693</v>
      </c>
      <c r="H42" s="1">
        <v>3853</v>
      </c>
      <c r="I42" s="1">
        <v>5076</v>
      </c>
      <c r="J42" s="1">
        <f>17989-SUM(G42:I42)</f>
        <v>5367</v>
      </c>
      <c r="K42" s="1">
        <v>3915</v>
      </c>
      <c r="L42" s="1">
        <v>4265</v>
      </c>
      <c r="M42" s="1">
        <v>5165</v>
      </c>
      <c r="Y42" s="1">
        <v>16972</v>
      </c>
      <c r="Z42" s="1">
        <f t="shared" si="54"/>
        <v>18705</v>
      </c>
      <c r="AA42" s="1">
        <f t="shared" si="55"/>
        <v>17989</v>
      </c>
      <c r="AB42" s="70">
        <f>AB39*(1-AB58)</f>
        <v>19240.425749999999</v>
      </c>
      <c r="AC42" s="70">
        <f t="shared" ref="AC42:AL42" si="65">AC39*(1-AC58)</f>
        <v>22632.345735999999</v>
      </c>
      <c r="AD42" s="70">
        <f t="shared" si="65"/>
        <v>26430.979219189998</v>
      </c>
      <c r="AE42" s="70">
        <f t="shared" si="65"/>
        <v>31361.970362649172</v>
      </c>
      <c r="AF42" s="70">
        <f t="shared" si="65"/>
        <v>36042.423483437517</v>
      </c>
      <c r="AG42" s="70">
        <f t="shared" si="65"/>
        <v>40452.532018019774</v>
      </c>
      <c r="AH42" s="70">
        <f t="shared" si="65"/>
        <v>43430.221357097682</v>
      </c>
      <c r="AI42" s="70">
        <f t="shared" si="65"/>
        <v>46036.034638523546</v>
      </c>
      <c r="AJ42" s="70">
        <f t="shared" si="65"/>
        <v>47877.47602406449</v>
      </c>
      <c r="AK42" s="70">
        <f t="shared" si="65"/>
        <v>49313.800304786426</v>
      </c>
      <c r="AL42" s="70">
        <f t="shared" si="65"/>
        <v>50300.076310882156</v>
      </c>
    </row>
    <row r="43" spans="2:90">
      <c r="B43" s="62" t="s">
        <v>548</v>
      </c>
      <c r="C43" s="1">
        <v>2328</v>
      </c>
      <c r="D43" s="1">
        <v>2351</v>
      </c>
      <c r="E43" s="1">
        <v>2196</v>
      </c>
      <c r="F43" s="1">
        <f>9716-SUM(C43:E43)</f>
        <v>2841</v>
      </c>
      <c r="G43" s="1">
        <v>2416</v>
      </c>
      <c r="H43" s="1">
        <v>2649</v>
      </c>
      <c r="I43" s="1">
        <v>2728</v>
      </c>
      <c r="J43" s="1">
        <f>10861-SUM(G43:I43)</f>
        <v>3068</v>
      </c>
      <c r="K43" s="1">
        <v>2647</v>
      </c>
      <c r="L43" s="1">
        <v>3000</v>
      </c>
      <c r="M43" s="1">
        <v>2906</v>
      </c>
      <c r="Y43" s="1">
        <v>9224</v>
      </c>
      <c r="Z43" s="1">
        <f t="shared" si="54"/>
        <v>9716</v>
      </c>
      <c r="AA43" s="1">
        <f t="shared" si="55"/>
        <v>10861</v>
      </c>
      <c r="AB43" s="70">
        <f>AB40*(1-AB59)</f>
        <v>11685.810620000002</v>
      </c>
      <c r="AC43" s="70">
        <f t="shared" ref="AC43:AL43" si="66">AC40*(1-AC59)</f>
        <v>12439.75558144</v>
      </c>
      <c r="AD43" s="70">
        <f t="shared" si="66"/>
        <v>13187.055604236803</v>
      </c>
      <c r="AE43" s="70">
        <f t="shared" si="66"/>
        <v>14399.453208712483</v>
      </c>
      <c r="AF43" s="70">
        <f t="shared" si="66"/>
        <v>16401.427187636287</v>
      </c>
      <c r="AG43" s="70">
        <f t="shared" si="66"/>
        <v>18802.621956925432</v>
      </c>
      <c r="AH43" s="70">
        <f t="shared" si="66"/>
        <v>21623.015250464246</v>
      </c>
      <c r="AI43" s="70">
        <f t="shared" si="66"/>
        <v>24650.237385529243</v>
      </c>
      <c r="AJ43" s="70">
        <f t="shared" si="66"/>
        <v>26622.256376371581</v>
      </c>
      <c r="AK43" s="70">
        <f t="shared" si="66"/>
        <v>28485.814322717593</v>
      </c>
      <c r="AL43" s="70">
        <f t="shared" si="66"/>
        <v>29910.105038853471</v>
      </c>
    </row>
    <row r="44" spans="2:90">
      <c r="B44" s="69" t="s">
        <v>64</v>
      </c>
      <c r="C44" s="1">
        <f t="shared" ref="C44:K44" si="67">SUM(C42:C43)</f>
        <v>5903</v>
      </c>
      <c r="D44" s="1">
        <f t="shared" si="67"/>
        <v>6972</v>
      </c>
      <c r="E44" s="1">
        <f t="shared" si="67"/>
        <v>7201</v>
      </c>
      <c r="F44" s="1">
        <f t="shared" si="67"/>
        <v>8345</v>
      </c>
      <c r="G44" s="1">
        <f t="shared" si="67"/>
        <v>6109</v>
      </c>
      <c r="H44" s="1">
        <f t="shared" si="67"/>
        <v>6502</v>
      </c>
      <c r="I44" s="1">
        <f t="shared" si="67"/>
        <v>7804</v>
      </c>
      <c r="J44" s="1">
        <f t="shared" si="67"/>
        <v>8435</v>
      </c>
      <c r="K44" s="1">
        <f t="shared" si="67"/>
        <v>6562</v>
      </c>
      <c r="L44" s="1">
        <f>SUM(L42:L43)</f>
        <v>7265</v>
      </c>
      <c r="M44" s="1">
        <f>SUM(M42:M43)</f>
        <v>8071</v>
      </c>
      <c r="Y44" s="1">
        <f>Y42+Y43</f>
        <v>26196</v>
      </c>
      <c r="Z44" s="1">
        <f t="shared" ref="Z44" si="68">SUM(C44:F44)</f>
        <v>28421</v>
      </c>
      <c r="AA44" s="1">
        <f t="shared" si="55"/>
        <v>28850</v>
      </c>
      <c r="AB44" s="70">
        <f>AB43+AB42</f>
        <v>30926.236369999999</v>
      </c>
      <c r="AC44" s="70">
        <f t="shared" ref="AC44:AL44" si="69">AC43+AC42</f>
        <v>35072.10131744</v>
      </c>
      <c r="AD44" s="70">
        <f t="shared" si="69"/>
        <v>39618.034823426802</v>
      </c>
      <c r="AE44" s="70">
        <f t="shared" si="69"/>
        <v>45761.423571361651</v>
      </c>
      <c r="AF44" s="70">
        <f t="shared" si="69"/>
        <v>52443.8506710738</v>
      </c>
      <c r="AG44" s="70">
        <f t="shared" si="69"/>
        <v>59255.153974945206</v>
      </c>
      <c r="AH44" s="70">
        <f t="shared" si="69"/>
        <v>65053.236607561928</v>
      </c>
      <c r="AI44" s="70">
        <f t="shared" si="69"/>
        <v>70686.272024052785</v>
      </c>
      <c r="AJ44" s="70">
        <f t="shared" si="69"/>
        <v>74499.732400436071</v>
      </c>
      <c r="AK44" s="70">
        <f t="shared" si="69"/>
        <v>77799.614627504023</v>
      </c>
      <c r="AL44" s="70">
        <f t="shared" si="69"/>
        <v>80210.18134973562</v>
      </c>
    </row>
    <row r="45" spans="2:90">
      <c r="B45" s="1" t="s">
        <v>65</v>
      </c>
      <c r="C45" s="1">
        <f t="shared" ref="C45" si="70">C41-SUM(C42:C43)</f>
        <v>919</v>
      </c>
      <c r="D45" s="1">
        <f t="shared" ref="D45" si="71">D41-SUM(D42:D43)</f>
        <v>1147</v>
      </c>
      <c r="E45" s="1">
        <f t="shared" ref="E45" si="72">E41-SUM(E42:E43)</f>
        <v>1051</v>
      </c>
      <c r="F45" s="1">
        <f t="shared" ref="F45" si="73">F41-SUM(F42:F43)</f>
        <v>1701</v>
      </c>
      <c r="G45" s="1">
        <f t="shared" ref="G45:L45" si="74">G41-SUM(G42:G43)</f>
        <v>1150</v>
      </c>
      <c r="H45" s="1">
        <f t="shared" si="74"/>
        <v>1702</v>
      </c>
      <c r="I45" s="1">
        <f t="shared" si="74"/>
        <v>1109</v>
      </c>
      <c r="J45" s="1">
        <f t="shared" si="74"/>
        <v>2124</v>
      </c>
      <c r="K45" s="1">
        <f t="shared" si="74"/>
        <v>1470</v>
      </c>
      <c r="L45" s="1">
        <f t="shared" si="74"/>
        <v>1846</v>
      </c>
      <c r="M45" s="1">
        <f t="shared" ref="M45" si="75">M41-SUM(M42:M43)</f>
        <v>1898</v>
      </c>
      <c r="Y45" s="1">
        <f t="shared" ref="Y45" si="76">Y41-SUM(Y42:Y43)</f>
        <v>3458</v>
      </c>
      <c r="Z45" s="1">
        <f t="shared" si="54"/>
        <v>4818</v>
      </c>
      <c r="AA45" s="1">
        <f t="shared" si="55"/>
        <v>6085</v>
      </c>
      <c r="AB45" s="70">
        <f>AB41-SUM(AB42:AB43)</f>
        <v>7445.7796300000045</v>
      </c>
      <c r="AC45" s="70">
        <f t="shared" ref="AC45:AL45" si="77">AC41-SUM(AC42:AC43)</f>
        <v>8940.2315905599971</v>
      </c>
      <c r="AD45" s="70">
        <f t="shared" si="77"/>
        <v>11403.439795745202</v>
      </c>
      <c r="AE45" s="70">
        <f t="shared" si="77"/>
        <v>13418.389158069345</v>
      </c>
      <c r="AF45" s="70">
        <f t="shared" si="77"/>
        <v>15788.019679039528</v>
      </c>
      <c r="AG45" s="70">
        <f t="shared" si="77"/>
        <v>18463.096658950628</v>
      </c>
      <c r="AH45" s="70">
        <f t="shared" si="77"/>
        <v>20971.654294481741</v>
      </c>
      <c r="AI45" s="70">
        <f t="shared" si="77"/>
        <v>23245.892046458161</v>
      </c>
      <c r="AJ45" s="70">
        <f t="shared" si="77"/>
        <v>24754.812670071784</v>
      </c>
      <c r="AK45" s="70">
        <f t="shared" si="77"/>
        <v>26122.868787269646</v>
      </c>
      <c r="AL45" s="70">
        <f t="shared" si="77"/>
        <v>27147.219082034368</v>
      </c>
    </row>
    <row r="46" spans="2:90">
      <c r="B46" s="1" t="s">
        <v>549</v>
      </c>
      <c r="C46" s="1">
        <v>1186</v>
      </c>
      <c r="D46" s="1">
        <v>1272</v>
      </c>
      <c r="E46" s="1">
        <v>1135</v>
      </c>
      <c r="F46" s="1">
        <f>4845-SUM(C46:E46)</f>
        <v>1252</v>
      </c>
      <c r="G46" s="1">
        <v>1202</v>
      </c>
      <c r="H46" s="1">
        <v>938</v>
      </c>
      <c r="I46" s="1">
        <v>1226</v>
      </c>
      <c r="J46" s="1">
        <f>4632-SUM(G46:I46)</f>
        <v>1266</v>
      </c>
      <c r="K46" s="1">
        <v>1188</v>
      </c>
      <c r="L46" s="1">
        <v>1185</v>
      </c>
      <c r="M46" s="1">
        <v>1221</v>
      </c>
      <c r="Y46" s="1">
        <v>5360</v>
      </c>
      <c r="Z46" s="1">
        <f t="shared" si="54"/>
        <v>4845</v>
      </c>
      <c r="AA46" s="1">
        <f t="shared" ref="AA46:AA56" si="78">SUM(G46:J46)</f>
        <v>4632</v>
      </c>
      <c r="AB46" s="70">
        <f>AB41*AB61</f>
        <v>5087.7108376127098</v>
      </c>
      <c r="AC46" s="70">
        <f t="shared" ref="AC46:AL46" si="79">AC41*AC61</f>
        <v>5835.5553464965215</v>
      </c>
      <c r="AD46" s="70">
        <f t="shared" si="79"/>
        <v>6764.8910959211316</v>
      </c>
      <c r="AE46" s="70">
        <f t="shared" si="79"/>
        <v>7846.597754765261</v>
      </c>
      <c r="AF46" s="70">
        <f t="shared" si="79"/>
        <v>9046.8018738149403</v>
      </c>
      <c r="AG46" s="70">
        <f t="shared" si="79"/>
        <v>10304.592441282539</v>
      </c>
      <c r="AH46" s="70">
        <f t="shared" si="79"/>
        <v>11405.962348884108</v>
      </c>
      <c r="AI46" s="70">
        <f t="shared" si="79"/>
        <v>12454.380534552933</v>
      </c>
      <c r="AJ46" s="70">
        <f t="shared" si="79"/>
        <v>13160.070209434447</v>
      </c>
      <c r="AK46" s="70">
        <f t="shared" si="79"/>
        <v>13778.987925496827</v>
      </c>
      <c r="AL46" s="70">
        <f t="shared" si="79"/>
        <v>14234.42046085469</v>
      </c>
    </row>
    <row r="47" spans="2:90">
      <c r="B47" s="1" t="s">
        <v>550</v>
      </c>
      <c r="C47" s="1">
        <v>202</v>
      </c>
      <c r="D47" s="1">
        <v>216</v>
      </c>
      <c r="E47" s="1">
        <v>223</v>
      </c>
      <c r="F47" s="1">
        <f>896-SUM(C47:E47)</f>
        <v>255</v>
      </c>
      <c r="G47" s="1">
        <v>237</v>
      </c>
      <c r="H47" s="1">
        <v>237</v>
      </c>
      <c r="I47" s="1">
        <v>242</v>
      </c>
      <c r="J47" s="1">
        <f>982-SUM(G47:I47)</f>
        <v>266</v>
      </c>
      <c r="K47" s="1">
        <v>239</v>
      </c>
      <c r="L47" s="1">
        <v>283</v>
      </c>
      <c r="M47" s="1">
        <v>310</v>
      </c>
      <c r="Y47" s="1">
        <v>979</v>
      </c>
      <c r="Z47" s="1">
        <f t="shared" si="54"/>
        <v>896</v>
      </c>
      <c r="AA47" s="1">
        <f t="shared" si="78"/>
        <v>982</v>
      </c>
      <c r="AB47" s="70">
        <f>AB41*AB62</f>
        <v>1078.6122717045944</v>
      </c>
      <c r="AC47" s="70">
        <f t="shared" ref="AC47:AL47" si="80">AC41*AC62</f>
        <v>1237.1578908159725</v>
      </c>
      <c r="AD47" s="70">
        <f t="shared" si="80"/>
        <v>1434.1802798347476</v>
      </c>
      <c r="AE47" s="70">
        <f t="shared" si="80"/>
        <v>1663.5058279748457</v>
      </c>
      <c r="AF47" s="70">
        <f t="shared" si="80"/>
        <v>1917.9532469961725</v>
      </c>
      <c r="AG47" s="70">
        <f t="shared" si="80"/>
        <v>2184.6091919990185</v>
      </c>
      <c r="AH47" s="70">
        <f t="shared" si="80"/>
        <v>2418.1034167971056</v>
      </c>
      <c r="AI47" s="70">
        <f t="shared" si="80"/>
        <v>2640.3716936379487</v>
      </c>
      <c r="AJ47" s="70">
        <f t="shared" si="80"/>
        <v>2789.980342328287</v>
      </c>
      <c r="AK47" s="70">
        <f t="shared" si="80"/>
        <v>2921.1930360185411</v>
      </c>
      <c r="AL47" s="70">
        <f t="shared" si="80"/>
        <v>3017.7463066837877</v>
      </c>
    </row>
    <row r="48" spans="2:90">
      <c r="B48" s="1" t="s">
        <v>551</v>
      </c>
      <c r="C48" s="1">
        <f t="shared" ref="C48" si="81">C45-SUM(C46:C47)</f>
        <v>-469</v>
      </c>
      <c r="D48" s="1">
        <f t="shared" ref="D48" si="82">D45-SUM(D46:D47)</f>
        <v>-341</v>
      </c>
      <c r="E48" s="1">
        <f t="shared" ref="E48" si="83">E45-SUM(E46:E47)</f>
        <v>-307</v>
      </c>
      <c r="F48" s="1">
        <f t="shared" ref="F48" si="84">F45-SUM(F46:F47)</f>
        <v>194</v>
      </c>
      <c r="G48" s="1">
        <f t="shared" ref="G48:K48" si="85">G45-SUM(G46:G47)</f>
        <v>-289</v>
      </c>
      <c r="H48" s="1">
        <f t="shared" si="85"/>
        <v>527</v>
      </c>
      <c r="I48" s="1">
        <f t="shared" si="85"/>
        <v>-359</v>
      </c>
      <c r="J48" s="1">
        <f t="shared" si="85"/>
        <v>592</v>
      </c>
      <c r="K48" s="1">
        <f t="shared" si="85"/>
        <v>43</v>
      </c>
      <c r="L48" s="1">
        <f>L45-SUM(L46:L47)</f>
        <v>378</v>
      </c>
      <c r="M48" s="1">
        <f>M45-SUM(M46:M47)</f>
        <v>367</v>
      </c>
      <c r="Y48" s="1">
        <f t="shared" ref="Y48" si="86">Y45-SUM(Y46:Y47)</f>
        <v>-2881</v>
      </c>
      <c r="Z48" s="1">
        <f t="shared" si="54"/>
        <v>-923</v>
      </c>
      <c r="AA48" s="1">
        <f t="shared" si="78"/>
        <v>471</v>
      </c>
      <c r="AB48" s="70">
        <f>AB45-SUM(AB46:AB47)</f>
        <v>1279.4565206827001</v>
      </c>
      <c r="AC48" s="70">
        <f t="shared" ref="AC48:AL48" si="87">AC45-SUM(AC46:AC47)</f>
        <v>1867.518353247503</v>
      </c>
      <c r="AD48" s="70">
        <f t="shared" si="87"/>
        <v>3204.3684199893232</v>
      </c>
      <c r="AE48" s="70">
        <f t="shared" si="87"/>
        <v>3908.2855753292388</v>
      </c>
      <c r="AF48" s="70">
        <f t="shared" si="87"/>
        <v>4823.2645582284149</v>
      </c>
      <c r="AG48" s="70">
        <f t="shared" si="87"/>
        <v>5973.8950256690696</v>
      </c>
      <c r="AH48" s="70">
        <f t="shared" si="87"/>
        <v>7147.5885288005265</v>
      </c>
      <c r="AI48" s="70">
        <f t="shared" si="87"/>
        <v>8151.1398182672783</v>
      </c>
      <c r="AJ48" s="70">
        <f t="shared" si="87"/>
        <v>8804.7621183090505</v>
      </c>
      <c r="AK48" s="70">
        <f t="shared" si="87"/>
        <v>9422.6878257542776</v>
      </c>
      <c r="AL48" s="70">
        <f t="shared" si="87"/>
        <v>9895.0523144958897</v>
      </c>
    </row>
    <row r="49" spans="2:90">
      <c r="B49" s="1" t="s">
        <v>552</v>
      </c>
      <c r="C49" s="1">
        <v>-21</v>
      </c>
      <c r="D49" s="1">
        <v>-21</v>
      </c>
      <c r="E49" s="1">
        <v>-21</v>
      </c>
      <c r="F49" s="1">
        <f>-98-SUM(C49:E49)</f>
        <v>-35</v>
      </c>
      <c r="G49" s="1">
        <v>-14</v>
      </c>
      <c r="H49" s="1">
        <v>60</v>
      </c>
      <c r="I49" s="1">
        <v>36</v>
      </c>
      <c r="J49" s="1">
        <f>120-SUM(G49:I49)</f>
        <v>38</v>
      </c>
      <c r="K49" s="1">
        <v>56</v>
      </c>
      <c r="L49" s="1">
        <v>42</v>
      </c>
      <c r="M49" s="1">
        <v>44</v>
      </c>
      <c r="Y49" s="1">
        <v>-151</v>
      </c>
      <c r="Z49" s="1">
        <f t="shared" si="54"/>
        <v>-98</v>
      </c>
      <c r="AA49" s="1">
        <f t="shared" si="78"/>
        <v>120</v>
      </c>
      <c r="AB49" s="70">
        <f t="shared" ref="AB49:AL49" si="88">AA67*$AK$69</f>
        <v>943.57500000000005</v>
      </c>
      <c r="AC49" s="70">
        <f t="shared" si="88"/>
        <v>1300.4202085320605</v>
      </c>
      <c r="AD49" s="70">
        <f t="shared" si="88"/>
        <v>1753.6795256436876</v>
      </c>
      <c r="AE49" s="70">
        <f t="shared" si="88"/>
        <v>2385.1462534508469</v>
      </c>
      <c r="AF49" s="70">
        <f t="shared" si="88"/>
        <v>3150.9315412427018</v>
      </c>
      <c r="AG49" s="70">
        <f t="shared" si="88"/>
        <v>4083.4068582680679</v>
      </c>
      <c r="AH49" s="70">
        <f t="shared" si="88"/>
        <v>5220.1995842551169</v>
      </c>
      <c r="AI49" s="70">
        <f t="shared" si="88"/>
        <v>6583.1298747430683</v>
      </c>
      <c r="AJ49" s="70">
        <f t="shared" si="88"/>
        <v>8178.5431687500804</v>
      </c>
      <c r="AK49" s="70">
        <f t="shared" si="88"/>
        <v>9997.1317023309257</v>
      </c>
      <c r="AL49" s="70">
        <f t="shared" si="88"/>
        <v>12057.403138145832</v>
      </c>
    </row>
    <row r="50" spans="2:90">
      <c r="B50" s="1" t="s">
        <v>553</v>
      </c>
      <c r="C50" s="1">
        <v>139</v>
      </c>
      <c r="D50" s="1">
        <v>143</v>
      </c>
      <c r="E50" s="1">
        <v>134</v>
      </c>
      <c r="F50" s="1">
        <f>567-SUM(C50:E50)</f>
        <v>151</v>
      </c>
      <c r="G50" s="1">
        <v>134</v>
      </c>
      <c r="H50" s="1">
        <v>134</v>
      </c>
      <c r="I50" s="1">
        <v>130</v>
      </c>
      <c r="J50" s="1">
        <f>536-SUM(G50:I50)</f>
        <v>138</v>
      </c>
      <c r="K50" s="1">
        <v>115</v>
      </c>
      <c r="L50" s="1">
        <v>110</v>
      </c>
      <c r="M50" s="1">
        <v>115</v>
      </c>
      <c r="Y50" s="1">
        <v>188</v>
      </c>
      <c r="Z50" s="1">
        <f t="shared" si="54"/>
        <v>567</v>
      </c>
      <c r="AA50" s="1">
        <f t="shared" si="78"/>
        <v>536</v>
      </c>
      <c r="AB50" s="70">
        <f>AA50*0.95</f>
        <v>509.2</v>
      </c>
      <c r="AC50" s="70">
        <f>AB50*1.05</f>
        <v>534.66</v>
      </c>
      <c r="AD50" s="70">
        <f>AC50*1.1</f>
        <v>588.12599999999998</v>
      </c>
      <c r="AE50" s="70">
        <f t="shared" ref="AE50:AL50" si="89">AD50*1.1</f>
        <v>646.93860000000006</v>
      </c>
      <c r="AF50" s="70">
        <f t="shared" si="89"/>
        <v>711.63246000000015</v>
      </c>
      <c r="AG50" s="70">
        <f t="shared" si="89"/>
        <v>782.79570600000022</v>
      </c>
      <c r="AH50" s="70">
        <f t="shared" si="89"/>
        <v>861.07527660000028</v>
      </c>
      <c r="AI50" s="70">
        <f t="shared" si="89"/>
        <v>947.18280426000035</v>
      </c>
      <c r="AJ50" s="70">
        <f t="shared" si="89"/>
        <v>1041.9010846860006</v>
      </c>
      <c r="AK50" s="70">
        <f t="shared" si="89"/>
        <v>1146.0911931546007</v>
      </c>
      <c r="AL50" s="70">
        <f t="shared" si="89"/>
        <v>1260.7003124700609</v>
      </c>
    </row>
    <row r="51" spans="2:90">
      <c r="B51" s="1" t="s">
        <v>554</v>
      </c>
      <c r="C51" s="1">
        <v>-64</v>
      </c>
      <c r="D51" s="1">
        <v>192</v>
      </c>
      <c r="E51" s="1">
        <v>178</v>
      </c>
      <c r="F51" s="1">
        <f>324-SUM(C51:E51)</f>
        <v>18</v>
      </c>
      <c r="G51" s="1">
        <v>73</v>
      </c>
      <c r="H51" s="1">
        <v>881</v>
      </c>
      <c r="I51" s="1">
        <v>71</v>
      </c>
      <c r="J51" s="1">
        <f>1372-SUM(G51:I51)</f>
        <v>347</v>
      </c>
      <c r="K51" s="1">
        <v>118</v>
      </c>
      <c r="L51" s="1">
        <v>115</v>
      </c>
      <c r="M51" s="1">
        <v>221</v>
      </c>
      <c r="Y51" s="1">
        <v>370</v>
      </c>
      <c r="Z51" s="1">
        <f t="shared" si="54"/>
        <v>324</v>
      </c>
      <c r="AA51" s="1">
        <f t="shared" si="78"/>
        <v>1372</v>
      </c>
      <c r="AB51" s="70">
        <f>AA51*0.965</f>
        <v>1323.98</v>
      </c>
      <c r="AC51" s="70">
        <f>AB51*1.02</f>
        <v>1350.4596000000001</v>
      </c>
      <c r="AD51" s="70">
        <f>AC51*1.04</f>
        <v>1404.4779840000001</v>
      </c>
      <c r="AE51" s="70">
        <f>AD51*1.06</f>
        <v>1488.7466630400002</v>
      </c>
      <c r="AF51" s="70">
        <f t="shared" ref="AF51:AL51" si="90">AE51*1.06</f>
        <v>1578.0714628224002</v>
      </c>
      <c r="AG51" s="70">
        <f t="shared" si="90"/>
        <v>1672.7557505917443</v>
      </c>
      <c r="AH51" s="70">
        <f t="shared" si="90"/>
        <v>1773.1210956272491</v>
      </c>
      <c r="AI51" s="70">
        <f t="shared" si="90"/>
        <v>1879.5083613648842</v>
      </c>
      <c r="AJ51" s="70">
        <f t="shared" si="90"/>
        <v>1992.2788630467774</v>
      </c>
      <c r="AK51" s="70">
        <f t="shared" si="90"/>
        <v>2111.8155948295839</v>
      </c>
      <c r="AL51" s="70">
        <f t="shared" si="90"/>
        <v>2238.5245305193589</v>
      </c>
    </row>
    <row r="52" spans="2:90">
      <c r="B52" s="1" t="s">
        <v>555</v>
      </c>
      <c r="C52" s="1">
        <f t="shared" ref="C52" si="91">C48+SUM(C49:C51)</f>
        <v>-415</v>
      </c>
      <c r="D52" s="1">
        <f t="shared" ref="D52" si="92">D48+SUM(D49:D51)</f>
        <v>-27</v>
      </c>
      <c r="E52" s="1">
        <f t="shared" ref="E52" si="93">E48+SUM(E49:E51)</f>
        <v>-16</v>
      </c>
      <c r="F52" s="1">
        <f t="shared" ref="F52" si="94">F48+SUM(F49:F51)</f>
        <v>328</v>
      </c>
      <c r="G52" s="1">
        <f t="shared" ref="G52:K52" si="95">G48+SUM(G49:G51)</f>
        <v>-96</v>
      </c>
      <c r="H52" s="1">
        <f t="shared" si="95"/>
        <v>1602</v>
      </c>
      <c r="I52" s="1">
        <f t="shared" si="95"/>
        <v>-122</v>
      </c>
      <c r="J52" s="1">
        <f t="shared" si="95"/>
        <v>1115</v>
      </c>
      <c r="K52" s="1">
        <f t="shared" si="95"/>
        <v>332</v>
      </c>
      <c r="L52" s="1">
        <f>L48+SUM(L49:L51)</f>
        <v>645</v>
      </c>
      <c r="M52" s="1">
        <f>M48+SUM(M49:M51)</f>
        <v>747</v>
      </c>
      <c r="Y52" s="1">
        <f t="shared" ref="Y52" si="96">Y48+SUM(Y49:Y51)</f>
        <v>-2474</v>
      </c>
      <c r="Z52" s="1">
        <f t="shared" si="54"/>
        <v>-130</v>
      </c>
      <c r="AA52" s="1">
        <f t="shared" si="78"/>
        <v>2499</v>
      </c>
      <c r="AB52" s="70">
        <f>AB48+SUM(AB49:AB51)</f>
        <v>4056.2115206827002</v>
      </c>
      <c r="AC52" s="70">
        <f t="shared" ref="AC52:AL52" si="97">AC48+SUM(AC49:AC51)</f>
        <v>5053.0581617795633</v>
      </c>
      <c r="AD52" s="70">
        <f t="shared" si="97"/>
        <v>6950.6519296330107</v>
      </c>
      <c r="AE52" s="70">
        <f t="shared" si="97"/>
        <v>8429.117091820086</v>
      </c>
      <c r="AF52" s="70">
        <f t="shared" si="97"/>
        <v>10263.900022293517</v>
      </c>
      <c r="AG52" s="70">
        <f t="shared" si="97"/>
        <v>12512.853340528882</v>
      </c>
      <c r="AH52" s="70">
        <f t="shared" si="97"/>
        <v>15001.984485282894</v>
      </c>
      <c r="AI52" s="70">
        <f t="shared" si="97"/>
        <v>17560.960858635233</v>
      </c>
      <c r="AJ52" s="70">
        <f t="shared" si="97"/>
        <v>20017.485234791908</v>
      </c>
      <c r="AK52" s="70">
        <f t="shared" si="97"/>
        <v>22677.726316069391</v>
      </c>
      <c r="AL52" s="70">
        <f t="shared" si="97"/>
        <v>25451.68029563114</v>
      </c>
    </row>
    <row r="53" spans="2:90">
      <c r="B53" s="1" t="s">
        <v>556</v>
      </c>
      <c r="C53" s="1">
        <v>-69</v>
      </c>
      <c r="D53" s="1">
        <v>122</v>
      </c>
      <c r="E53" s="1">
        <v>169</v>
      </c>
      <c r="F53" s="1">
        <f>344-SUM(C53:E53)</f>
        <v>122</v>
      </c>
      <c r="G53" s="1">
        <v>10</v>
      </c>
      <c r="H53" s="1">
        <v>322</v>
      </c>
      <c r="I53" s="1">
        <v>-23</v>
      </c>
      <c r="J53" s="1">
        <f>939-SUM(G53:I53)</f>
        <v>630</v>
      </c>
      <c r="K53" s="1">
        <v>68</v>
      </c>
      <c r="L53" s="1">
        <v>153</v>
      </c>
      <c r="M53" s="1">
        <v>293</v>
      </c>
      <c r="Y53" s="1">
        <v>248</v>
      </c>
      <c r="Z53" s="1">
        <f t="shared" si="54"/>
        <v>344</v>
      </c>
      <c r="AA53" s="1">
        <f t="shared" si="78"/>
        <v>939</v>
      </c>
      <c r="AB53" s="70">
        <f>AB52*AB64</f>
        <v>953.20970736043455</v>
      </c>
      <c r="AC53" s="70">
        <f t="shared" ref="AC53:AL53" si="98">AC52*AC64</f>
        <v>1111.6727955915039</v>
      </c>
      <c r="AD53" s="70">
        <f t="shared" si="98"/>
        <v>1459.6369052229322</v>
      </c>
      <c r="AE53" s="70">
        <f t="shared" si="98"/>
        <v>1770.114589282218</v>
      </c>
      <c r="AF53" s="70">
        <f t="shared" si="98"/>
        <v>2155.4190046816384</v>
      </c>
      <c r="AG53" s="70">
        <f t="shared" si="98"/>
        <v>2627.699201511065</v>
      </c>
      <c r="AH53" s="70">
        <f t="shared" si="98"/>
        <v>3150.4167419094074</v>
      </c>
      <c r="AI53" s="70">
        <f t="shared" si="98"/>
        <v>3687.8017803133989</v>
      </c>
      <c r="AJ53" s="70">
        <f t="shared" si="98"/>
        <v>4203.6718993063005</v>
      </c>
      <c r="AK53" s="70">
        <f t="shared" si="98"/>
        <v>4762.3225263745717</v>
      </c>
      <c r="AL53" s="70">
        <f t="shared" si="98"/>
        <v>5344.8528620825391</v>
      </c>
    </row>
    <row r="54" spans="2:90" s="2" customFormat="1" ht="15">
      <c r="B54" s="2" t="s">
        <v>80</v>
      </c>
      <c r="C54" s="2">
        <f>C52-C53+31</f>
        <v>-315</v>
      </c>
      <c r="D54" s="2">
        <f>D52-D53-1</f>
        <v>-150</v>
      </c>
      <c r="E54" s="2">
        <f>E52-E53+15</f>
        <v>-170</v>
      </c>
      <c r="F54" s="2">
        <f>F52-F53-9</f>
        <v>197</v>
      </c>
      <c r="G54" s="2">
        <f>G52-G53-24</f>
        <v>-130</v>
      </c>
      <c r="H54" s="2">
        <f>H52-H53+14</f>
        <v>1294</v>
      </c>
      <c r="I54" s="2">
        <f>I52-I53+3</f>
        <v>-96</v>
      </c>
      <c r="J54" s="2">
        <f t="shared" ref="J54" si="99">J52-J53</f>
        <v>485</v>
      </c>
      <c r="K54" s="2">
        <f>K52-K53-10</f>
        <v>254</v>
      </c>
      <c r="L54" s="2">
        <f>L52-L53+14</f>
        <v>506</v>
      </c>
      <c r="M54" s="2">
        <f>M52-M53-1</f>
        <v>453</v>
      </c>
      <c r="N54" s="34"/>
      <c r="O54" s="34"/>
      <c r="P54" s="34"/>
      <c r="Q54" s="34"/>
      <c r="R54" s="34"/>
      <c r="Y54" s="2">
        <f>Y52-Y53-14</f>
        <v>-2736</v>
      </c>
      <c r="Z54" s="2">
        <f t="shared" si="54"/>
        <v>-438</v>
      </c>
      <c r="AA54" s="2">
        <f t="shared" si="78"/>
        <v>1553</v>
      </c>
      <c r="AB54" s="71">
        <f>AB52-AB53</f>
        <v>3103.0018133222657</v>
      </c>
      <c r="AC54" s="71">
        <f t="shared" ref="AC54:AL54" si="100">AC52-AC53</f>
        <v>3941.3853661880594</v>
      </c>
      <c r="AD54" s="71">
        <f t="shared" si="100"/>
        <v>5491.0150244100787</v>
      </c>
      <c r="AE54" s="71">
        <f t="shared" si="100"/>
        <v>6659.0025025378682</v>
      </c>
      <c r="AF54" s="71">
        <f t="shared" si="100"/>
        <v>8108.481017611879</v>
      </c>
      <c r="AG54" s="71">
        <f t="shared" si="100"/>
        <v>9885.1541390178172</v>
      </c>
      <c r="AH54" s="71">
        <f t="shared" si="100"/>
        <v>11851.567743373485</v>
      </c>
      <c r="AI54" s="71">
        <f t="shared" si="100"/>
        <v>13873.159078321834</v>
      </c>
      <c r="AJ54" s="71">
        <f t="shared" si="100"/>
        <v>15813.813335485607</v>
      </c>
      <c r="AK54" s="71">
        <f t="shared" si="100"/>
        <v>17915.403789694821</v>
      </c>
      <c r="AL54" s="71">
        <f t="shared" si="100"/>
        <v>20106.827433548602</v>
      </c>
      <c r="AM54" s="71">
        <f t="shared" ref="AM54:BR54" si="101">AL54*(1+$AK$70)</f>
        <v>20458.696913635704</v>
      </c>
      <c r="AN54" s="71">
        <f t="shared" si="101"/>
        <v>20816.724109624331</v>
      </c>
      <c r="AO54" s="71">
        <f t="shared" si="101"/>
        <v>21181.016781542759</v>
      </c>
      <c r="AP54" s="71">
        <f t="shared" si="101"/>
        <v>21551.684575219759</v>
      </c>
      <c r="AQ54" s="71">
        <f t="shared" si="101"/>
        <v>21928.839055286106</v>
      </c>
      <c r="AR54" s="71">
        <f t="shared" si="101"/>
        <v>22312.593738753614</v>
      </c>
      <c r="AS54" s="71">
        <f t="shared" si="101"/>
        <v>22703.064129181803</v>
      </c>
      <c r="AT54" s="71">
        <f t="shared" si="101"/>
        <v>23100.367751442485</v>
      </c>
      <c r="AU54" s="71">
        <f t="shared" si="101"/>
        <v>23504.62418709273</v>
      </c>
      <c r="AV54" s="71">
        <f t="shared" si="101"/>
        <v>23915.955110366853</v>
      </c>
      <c r="AW54" s="71">
        <f t="shared" si="101"/>
        <v>24334.484324798275</v>
      </c>
      <c r="AX54" s="71">
        <f t="shared" si="101"/>
        <v>24760.337800482248</v>
      </c>
      <c r="AY54" s="71">
        <f t="shared" si="101"/>
        <v>25193.643711990688</v>
      </c>
      <c r="AZ54" s="71">
        <f t="shared" si="101"/>
        <v>25634.532476950528</v>
      </c>
      <c r="BA54" s="71">
        <f t="shared" si="101"/>
        <v>26083.136795297163</v>
      </c>
      <c r="BB54" s="71">
        <f t="shared" si="101"/>
        <v>26539.591689214867</v>
      </c>
      <c r="BC54" s="71">
        <f t="shared" si="101"/>
        <v>27004.034543776128</v>
      </c>
      <c r="BD54" s="71">
        <f t="shared" si="101"/>
        <v>27476.605148292212</v>
      </c>
      <c r="BE54" s="71">
        <f t="shared" si="101"/>
        <v>27957.445738387327</v>
      </c>
      <c r="BF54" s="71">
        <f t="shared" si="101"/>
        <v>28446.701038809108</v>
      </c>
      <c r="BG54" s="71">
        <f t="shared" si="101"/>
        <v>28944.51830698827</v>
      </c>
      <c r="BH54" s="71">
        <f t="shared" si="101"/>
        <v>29451.047377360566</v>
      </c>
      <c r="BI54" s="71">
        <f t="shared" si="101"/>
        <v>29966.440706464378</v>
      </c>
      <c r="BJ54" s="71">
        <f t="shared" si="101"/>
        <v>30490.853418827508</v>
      </c>
      <c r="BK54" s="71">
        <f t="shared" si="101"/>
        <v>31024.443353656992</v>
      </c>
      <c r="BL54" s="71">
        <f t="shared" si="101"/>
        <v>31567.371112345991</v>
      </c>
      <c r="BM54" s="71">
        <f t="shared" si="101"/>
        <v>32119.800106812047</v>
      </c>
      <c r="BN54" s="71">
        <f t="shared" si="101"/>
        <v>32681.896608681258</v>
      </c>
      <c r="BO54" s="71">
        <f t="shared" si="101"/>
        <v>33253.82979933318</v>
      </c>
      <c r="BP54" s="71">
        <f t="shared" si="101"/>
        <v>33835.771820821516</v>
      </c>
      <c r="BQ54" s="71">
        <f t="shared" si="101"/>
        <v>34427.897827685898</v>
      </c>
      <c r="BR54" s="71">
        <f t="shared" si="101"/>
        <v>35030.386039670404</v>
      </c>
      <c r="BS54" s="71">
        <f t="shared" ref="BS54:CJ54" si="102">BR54*(1+$AK$70)</f>
        <v>35643.417795364636</v>
      </c>
      <c r="BT54" s="71">
        <f t="shared" si="102"/>
        <v>36267.177606783516</v>
      </c>
      <c r="BU54" s="71">
        <f t="shared" si="102"/>
        <v>36901.853214902229</v>
      </c>
      <c r="BV54" s="71">
        <f t="shared" si="102"/>
        <v>37547.63564616302</v>
      </c>
      <c r="BW54" s="71">
        <f t="shared" si="102"/>
        <v>38204.719269970876</v>
      </c>
      <c r="BX54" s="71">
        <f t="shared" si="102"/>
        <v>38873.301857195365</v>
      </c>
      <c r="BY54" s="71">
        <f t="shared" si="102"/>
        <v>39553.584639696288</v>
      </c>
      <c r="BZ54" s="71">
        <f t="shared" si="102"/>
        <v>40245.772370890976</v>
      </c>
      <c r="CA54" s="71">
        <f t="shared" si="102"/>
        <v>40950.07338738157</v>
      </c>
      <c r="CB54" s="71">
        <f t="shared" si="102"/>
        <v>41666.699671660754</v>
      </c>
      <c r="CC54" s="71">
        <f t="shared" si="102"/>
        <v>42395.866915914819</v>
      </c>
      <c r="CD54" s="71">
        <f t="shared" si="102"/>
        <v>43137.794586943332</v>
      </c>
      <c r="CE54" s="71">
        <f t="shared" si="102"/>
        <v>43892.70599221484</v>
      </c>
      <c r="CF54" s="71">
        <f t="shared" si="102"/>
        <v>44660.828347078605</v>
      </c>
      <c r="CG54" s="71">
        <f t="shared" si="102"/>
        <v>45442.392843152484</v>
      </c>
      <c r="CH54" s="71">
        <f t="shared" si="102"/>
        <v>46237.634717907655</v>
      </c>
      <c r="CI54" s="71">
        <f t="shared" si="102"/>
        <v>47046.793325471044</v>
      </c>
      <c r="CJ54" s="71">
        <f t="shared" si="102"/>
        <v>47870.112208666789</v>
      </c>
      <c r="CK54" s="34"/>
      <c r="CL54" s="34"/>
    </row>
    <row r="55" spans="2:90">
      <c r="B55" s="1" t="s">
        <v>84</v>
      </c>
      <c r="C55" s="1">
        <v>274</v>
      </c>
      <c r="D55" s="1">
        <v>274</v>
      </c>
      <c r="E55" s="1">
        <v>274</v>
      </c>
      <c r="F55" s="1">
        <v>274</v>
      </c>
      <c r="G55" s="1">
        <v>274</v>
      </c>
      <c r="H55" s="1">
        <v>274</v>
      </c>
      <c r="I55" s="1">
        <v>275</v>
      </c>
      <c r="J55" s="1">
        <v>275</v>
      </c>
      <c r="K55" s="1">
        <v>275</v>
      </c>
      <c r="L55" s="1">
        <v>272</v>
      </c>
      <c r="M55" s="1">
        <v>272</v>
      </c>
      <c r="Y55" s="1">
        <v>274</v>
      </c>
      <c r="Z55" s="1">
        <v>274</v>
      </c>
      <c r="AA55" s="1">
        <v>275</v>
      </c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</row>
    <row r="56" spans="2:90">
      <c r="B56" s="1" t="s">
        <v>557</v>
      </c>
      <c r="C56" s="39">
        <f t="shared" ref="C56" si="103">C54/C55</f>
        <v>-1.1496350364963503</v>
      </c>
      <c r="D56" s="39">
        <f t="shared" ref="D56" si="104">D54/D55</f>
        <v>-0.54744525547445255</v>
      </c>
      <c r="E56" s="39">
        <f t="shared" ref="E56" si="105">E54/E55</f>
        <v>-0.62043795620437958</v>
      </c>
      <c r="F56" s="39">
        <f t="shared" ref="F56" si="106">F54/F55</f>
        <v>0.71897810218978098</v>
      </c>
      <c r="G56" s="39">
        <f t="shared" ref="G56:K56" si="107">G54/G55</f>
        <v>-0.47445255474452552</v>
      </c>
      <c r="H56" s="39">
        <f t="shared" si="107"/>
        <v>4.7226277372262775</v>
      </c>
      <c r="I56" s="39">
        <f t="shared" si="107"/>
        <v>-0.34909090909090912</v>
      </c>
      <c r="J56" s="39">
        <f t="shared" si="107"/>
        <v>1.7636363636363637</v>
      </c>
      <c r="K56" s="39">
        <f t="shared" si="107"/>
        <v>0.92363636363636359</v>
      </c>
      <c r="L56" s="39">
        <f>L54/L55</f>
        <v>1.8602941176470589</v>
      </c>
      <c r="M56" s="39">
        <f>M54/M55</f>
        <v>1.6654411764705883</v>
      </c>
      <c r="Y56" s="39">
        <f t="shared" ref="Y56" si="108">Y54/Y55</f>
        <v>-9.985401459854014</v>
      </c>
      <c r="Z56" s="39">
        <f t="shared" si="54"/>
        <v>-1.5985401459854014</v>
      </c>
      <c r="AA56" s="39">
        <f t="shared" si="78"/>
        <v>5.6627206370272063</v>
      </c>
    </row>
    <row r="58" spans="2:90">
      <c r="B58" s="62" t="s">
        <v>558</v>
      </c>
      <c r="C58" s="63">
        <f t="shared" ref="C58:F58" si="109">1-C42/C39</f>
        <v>-2.4648896531957565E-2</v>
      </c>
      <c r="D58" s="63">
        <f t="shared" si="109"/>
        <v>-5.3099361896080222E-2</v>
      </c>
      <c r="E58" s="63">
        <f t="shared" si="109"/>
        <v>-2.7931813514068704E-2</v>
      </c>
      <c r="F58" s="63">
        <f t="shared" si="109"/>
        <v>1.4513788098693414E-3</v>
      </c>
      <c r="G58" s="63">
        <f t="shared" ref="G58:K58" si="110">1-G42/G39</f>
        <v>-2.1011888305225268E-2</v>
      </c>
      <c r="H58" s="63">
        <f t="shared" si="110"/>
        <v>8.1306628516928936E-2</v>
      </c>
      <c r="I58" s="63">
        <f t="shared" si="110"/>
        <v>4.0453686200378036E-2</v>
      </c>
      <c r="J58" s="63">
        <f t="shared" si="110"/>
        <v>8.2720902409844421E-2</v>
      </c>
      <c r="K58" s="63">
        <f t="shared" si="110"/>
        <v>6.7190850607576791E-2</v>
      </c>
      <c r="L58" s="63">
        <f>1-L42/L39</f>
        <v>0.12852472415202287</v>
      </c>
      <c r="M58" s="63">
        <f>1-M42/M39</f>
        <v>0.12159863945578231</v>
      </c>
      <c r="Y58" s="63">
        <f t="shared" ref="Y58:AA58" si="111">1-Y42/Y39</f>
        <v>-7.2887034578671184E-2</v>
      </c>
      <c r="Z58" s="63">
        <f t="shared" si="111"/>
        <v>-2.4482418665790373E-2</v>
      </c>
      <c r="AA58" s="63">
        <f t="shared" si="111"/>
        <v>5.0812579147319514E-2</v>
      </c>
      <c r="AB58" s="65">
        <v>0.1075</v>
      </c>
      <c r="AC58" s="65">
        <v>0.12</v>
      </c>
      <c r="AD58" s="65">
        <v>0.14000000000000001</v>
      </c>
      <c r="AE58" s="65">
        <v>0.14499999999999999</v>
      </c>
      <c r="AF58" s="65">
        <v>0.15</v>
      </c>
      <c r="AG58" s="65">
        <v>0.155</v>
      </c>
      <c r="AH58" s="65">
        <v>0.16</v>
      </c>
      <c r="AI58" s="65">
        <v>0.16</v>
      </c>
      <c r="AJ58" s="65">
        <v>0.16</v>
      </c>
      <c r="AK58" s="65">
        <v>0.16</v>
      </c>
      <c r="AL58" s="65">
        <v>0.16</v>
      </c>
    </row>
    <row r="59" spans="2:90">
      <c r="B59" s="62" t="s">
        <v>559</v>
      </c>
      <c r="C59" s="63">
        <f t="shared" ref="C59:F59" si="112">1-C43/C40</f>
        <v>0.30153015301530151</v>
      </c>
      <c r="D59" s="63">
        <f t="shared" si="112"/>
        <v>0.36987402841061379</v>
      </c>
      <c r="E59" s="63">
        <f t="shared" si="112"/>
        <v>0.350872007094295</v>
      </c>
      <c r="F59" s="63">
        <f t="shared" si="112"/>
        <v>0.37340097044552267</v>
      </c>
      <c r="G59" s="63">
        <f t="shared" ref="G59:K59" si="113">1-G43/G40</f>
        <v>0.33662822624931354</v>
      </c>
      <c r="H59" s="63">
        <f t="shared" si="113"/>
        <v>0.33940149625935168</v>
      </c>
      <c r="I59" s="63">
        <f t="shared" si="113"/>
        <v>0.24703284570797679</v>
      </c>
      <c r="J59" s="63">
        <f t="shared" si="113"/>
        <v>0.34834324553950724</v>
      </c>
      <c r="K59" s="63">
        <f t="shared" si="113"/>
        <v>0.30977835723598435</v>
      </c>
      <c r="L59" s="63">
        <f>1-L43/L40</f>
        <v>0.2885937870524069</v>
      </c>
      <c r="M59" s="63">
        <f>1-M43/M40</f>
        <v>0.28931279041330393</v>
      </c>
      <c r="Y59" s="63">
        <f t="shared" ref="Y59:AA59" si="114">1-Y43/Y40</f>
        <v>0.33328514636790751</v>
      </c>
      <c r="Z59" s="63">
        <f t="shared" si="114"/>
        <v>0.35144516387424074</v>
      </c>
      <c r="AA59" s="63">
        <f t="shared" si="114"/>
        <v>0.32046549458799978</v>
      </c>
      <c r="AB59" s="65">
        <v>0.30499999999999999</v>
      </c>
      <c r="AC59" s="65">
        <v>0.32</v>
      </c>
      <c r="AD59" s="65">
        <v>0.35</v>
      </c>
      <c r="AE59" s="65">
        <v>0.36</v>
      </c>
      <c r="AF59" s="65">
        <v>0.36499999999999999</v>
      </c>
      <c r="AG59" s="65">
        <v>0.37</v>
      </c>
      <c r="AH59" s="65">
        <v>0.37</v>
      </c>
      <c r="AI59" s="65">
        <v>0.37</v>
      </c>
      <c r="AJ59" s="65">
        <v>0.37</v>
      </c>
      <c r="AK59" s="65">
        <v>0.37</v>
      </c>
      <c r="AL59" s="65">
        <v>0.37</v>
      </c>
    </row>
    <row r="60" spans="2:90">
      <c r="B60" s="37" t="s">
        <v>66</v>
      </c>
      <c r="C60" s="63">
        <f t="shared" ref="C60:F60" si="115">C45/C41</f>
        <v>0.13471122837877456</v>
      </c>
      <c r="D60" s="63">
        <f t="shared" si="115"/>
        <v>0.14127355585663259</v>
      </c>
      <c r="E60" s="63">
        <f t="shared" si="115"/>
        <v>0.12736306349975762</v>
      </c>
      <c r="F60" s="63">
        <f t="shared" si="115"/>
        <v>0.16932112283495918</v>
      </c>
      <c r="G60" s="63">
        <f t="shared" ref="G60:K60" si="116">G45/G41</f>
        <v>0.15842402534784406</v>
      </c>
      <c r="H60" s="63">
        <f t="shared" si="116"/>
        <v>0.20745977571916138</v>
      </c>
      <c r="I60" s="63">
        <f t="shared" si="116"/>
        <v>0.12442499719510827</v>
      </c>
      <c r="J60" s="63">
        <f t="shared" si="116"/>
        <v>0.20115541244436025</v>
      </c>
      <c r="K60" s="63">
        <f t="shared" si="116"/>
        <v>0.18301792828685259</v>
      </c>
      <c r="L60" s="63">
        <f>L45/L41</f>
        <v>0.20261222697837777</v>
      </c>
      <c r="M60" s="63">
        <f>M45/M41</f>
        <v>0.19039020964991474</v>
      </c>
      <c r="Y60" s="63">
        <f t="shared" ref="Y60:AL60" si="117">Y45/Y41</f>
        <v>0.11661158696971741</v>
      </c>
      <c r="Z60" s="63">
        <f t="shared" si="117"/>
        <v>0.14495020909172959</v>
      </c>
      <c r="AA60" s="63">
        <f t="shared" si="117"/>
        <v>0.17418062115357091</v>
      </c>
      <c r="AB60" s="65">
        <f t="shared" si="117"/>
        <v>0.19404191924656772</v>
      </c>
      <c r="AC60" s="65">
        <f t="shared" si="117"/>
        <v>0.20313014557187803</v>
      </c>
      <c r="AD60" s="65">
        <f t="shared" si="117"/>
        <v>0.22350274822241625</v>
      </c>
      <c r="AE60" s="65">
        <f t="shared" si="117"/>
        <v>0.22673929739213558</v>
      </c>
      <c r="AF60" s="65">
        <f t="shared" si="117"/>
        <v>0.23138776055863028</v>
      </c>
      <c r="AG60" s="65">
        <f t="shared" si="117"/>
        <v>0.23756449107332558</v>
      </c>
      <c r="AH60" s="65">
        <f t="shared" si="117"/>
        <v>0.24378588655650971</v>
      </c>
      <c r="AI60" s="65">
        <f t="shared" si="117"/>
        <v>0.24747531664455683</v>
      </c>
      <c r="AJ60" s="65">
        <f t="shared" si="117"/>
        <v>0.24940734605641088</v>
      </c>
      <c r="AK60" s="65">
        <f t="shared" si="117"/>
        <v>0.2513687888212649</v>
      </c>
      <c r="AL60" s="65">
        <f t="shared" si="117"/>
        <v>0.25286770146122839</v>
      </c>
    </row>
    <row r="61" spans="2:90">
      <c r="B61" s="37" t="s">
        <v>68</v>
      </c>
      <c r="C61" s="63">
        <f t="shared" ref="C61:F61" si="118">C46/C41</f>
        <v>0.17384931105247728</v>
      </c>
      <c r="D61" s="63">
        <f t="shared" si="118"/>
        <v>0.15666954058381574</v>
      </c>
      <c r="E61" s="63">
        <f t="shared" si="118"/>
        <v>0.13754241396025205</v>
      </c>
      <c r="F61" s="63">
        <f t="shared" si="118"/>
        <v>0.12462671710133387</v>
      </c>
      <c r="G61" s="63">
        <f t="shared" ref="G61:K61" si="119">G46/G41</f>
        <v>0.16558754649400745</v>
      </c>
      <c r="H61" s="63">
        <f t="shared" si="119"/>
        <v>0.11433447098976109</v>
      </c>
      <c r="I61" s="63">
        <f t="shared" si="119"/>
        <v>0.13755189049702682</v>
      </c>
      <c r="J61" s="63">
        <f t="shared" si="119"/>
        <v>0.1198977175868927</v>
      </c>
      <c r="K61" s="63">
        <f t="shared" si="119"/>
        <v>0.14790836653386455</v>
      </c>
      <c r="L61" s="63">
        <f>L46/L41</f>
        <v>0.13006256173855779</v>
      </c>
      <c r="M61" s="63">
        <f>M46/M41</f>
        <v>0.12247968702979235</v>
      </c>
      <c r="Y61" s="63">
        <f t="shared" ref="Y61:AA61" si="120">Y46/Y41</f>
        <v>0.18075133202940583</v>
      </c>
      <c r="Z61" s="63">
        <f t="shared" si="120"/>
        <v>0.14576250789734949</v>
      </c>
      <c r="AA61" s="63">
        <f t="shared" si="120"/>
        <v>0.1325890940317733</v>
      </c>
      <c r="AB61" s="65">
        <v>0.1325890940317733</v>
      </c>
      <c r="AC61" s="65">
        <v>0.1325890940317733</v>
      </c>
      <c r="AD61" s="65">
        <v>0.1325890940317733</v>
      </c>
      <c r="AE61" s="65">
        <v>0.1325890940317733</v>
      </c>
      <c r="AF61" s="65">
        <v>0.1325890940317733</v>
      </c>
      <c r="AG61" s="65">
        <v>0.1325890940317733</v>
      </c>
      <c r="AH61" s="65">
        <v>0.1325890940317733</v>
      </c>
      <c r="AI61" s="65">
        <v>0.1325890940317733</v>
      </c>
      <c r="AJ61" s="65">
        <v>0.1325890940317733</v>
      </c>
      <c r="AK61" s="65">
        <v>0.1325890940317733</v>
      </c>
      <c r="AL61" s="65">
        <v>0.1325890940317733</v>
      </c>
    </row>
    <row r="62" spans="2:90">
      <c r="B62" s="37" t="s">
        <v>67</v>
      </c>
      <c r="C62" s="63">
        <f t="shared" ref="C62:F62" si="121">C47/C41</f>
        <v>2.9610085019055994E-2</v>
      </c>
      <c r="D62" s="63">
        <f t="shared" si="121"/>
        <v>2.6604261608572485E-2</v>
      </c>
      <c r="E62" s="63">
        <f t="shared" si="121"/>
        <v>2.7023751817741155E-2</v>
      </c>
      <c r="F62" s="63">
        <f t="shared" si="121"/>
        <v>2.5383237109297234E-2</v>
      </c>
      <c r="G62" s="63">
        <f t="shared" ref="G62:K62" si="122">G47/G41</f>
        <v>3.2649125223860036E-2</v>
      </c>
      <c r="H62" s="63">
        <f t="shared" si="122"/>
        <v>2.8888347147732814E-2</v>
      </c>
      <c r="I62" s="63">
        <f t="shared" si="122"/>
        <v>2.7151351957814429E-2</v>
      </c>
      <c r="J62" s="63">
        <f t="shared" si="122"/>
        <v>2.5191779524576192E-2</v>
      </c>
      <c r="K62" s="63">
        <f t="shared" si="122"/>
        <v>2.9755976095617531E-2</v>
      </c>
      <c r="L62" s="63">
        <f>L47/L41</f>
        <v>3.1061354406761058E-2</v>
      </c>
      <c r="M62" s="63">
        <f>M47/M41</f>
        <v>3.1096398836392817E-2</v>
      </c>
      <c r="Y62" s="63">
        <f t="shared" ref="Y62:AA62" si="123">Y47/Y41</f>
        <v>3.3014095906117216E-2</v>
      </c>
      <c r="Z62" s="63">
        <f t="shared" si="123"/>
        <v>2.6956286290201269E-2</v>
      </c>
      <c r="AA62" s="63">
        <f t="shared" si="123"/>
        <v>2.8109345928152282E-2</v>
      </c>
      <c r="AB62" s="65">
        <v>2.8109345928152282E-2</v>
      </c>
      <c r="AC62" s="65">
        <v>2.8109345928152282E-2</v>
      </c>
      <c r="AD62" s="65">
        <v>2.8109345928152282E-2</v>
      </c>
      <c r="AE62" s="65">
        <v>2.8109345928152282E-2</v>
      </c>
      <c r="AF62" s="65">
        <v>2.8109345928152282E-2</v>
      </c>
      <c r="AG62" s="65">
        <v>2.8109345928152282E-2</v>
      </c>
      <c r="AH62" s="65">
        <v>2.8109345928152282E-2</v>
      </c>
      <c r="AI62" s="65">
        <v>2.8109345928152282E-2</v>
      </c>
      <c r="AJ62" s="65">
        <v>2.8109345928152282E-2</v>
      </c>
      <c r="AK62" s="65">
        <v>2.8109345928152282E-2</v>
      </c>
      <c r="AL62" s="65">
        <v>2.8109345928152282E-2</v>
      </c>
    </row>
    <row r="63" spans="2:90">
      <c r="B63" s="37" t="s">
        <v>69</v>
      </c>
      <c r="C63" s="63">
        <f t="shared" ref="C63:F63" si="124">C48/C41</f>
        <v>-6.8748167692758724E-2</v>
      </c>
      <c r="D63" s="63">
        <f t="shared" si="124"/>
        <v>-4.2000246335755637E-2</v>
      </c>
      <c r="E63" s="63">
        <f t="shared" si="124"/>
        <v>-3.7203102278235582E-2</v>
      </c>
      <c r="F63" s="63">
        <f t="shared" si="124"/>
        <v>1.9311168624328089E-2</v>
      </c>
      <c r="G63" s="63">
        <f t="shared" ref="G63:K63" si="125">G48/G41</f>
        <v>-3.9812646370023422E-2</v>
      </c>
      <c r="H63" s="63">
        <f t="shared" si="125"/>
        <v>6.4236957581667475E-2</v>
      </c>
      <c r="I63" s="63">
        <f t="shared" si="125"/>
        <v>-4.0278245259732975E-2</v>
      </c>
      <c r="J63" s="63">
        <f t="shared" si="125"/>
        <v>5.6065915332891375E-2</v>
      </c>
      <c r="K63" s="63">
        <f t="shared" si="125"/>
        <v>5.3535856573705175E-3</v>
      </c>
      <c r="L63" s="63">
        <f>L48/L41</f>
        <v>4.1488310833058942E-2</v>
      </c>
      <c r="M63" s="63">
        <f>M48/M41</f>
        <v>3.6814123783729565E-2</v>
      </c>
      <c r="Y63" s="63">
        <f t="shared" ref="Y63:AA63" si="126">Y48/Y41</f>
        <v>-9.7153840965805621E-2</v>
      </c>
      <c r="Z63" s="63">
        <f t="shared" si="126"/>
        <v>-2.7768585095821172E-2</v>
      </c>
      <c r="AA63" s="63">
        <f t="shared" si="126"/>
        <v>1.3482181193645342E-2</v>
      </c>
      <c r="AB63" s="65">
        <f>AB48/AB41</f>
        <v>3.3343479286642122E-2</v>
      </c>
      <c r="AC63" s="65">
        <f t="shared" ref="AC63:AL63" si="127">AC48/AC41</f>
        <v>4.2431705611952454E-2</v>
      </c>
      <c r="AD63" s="65">
        <f t="shared" si="127"/>
        <v>6.2804308262490685E-2</v>
      </c>
      <c r="AE63" s="65">
        <f t="shared" si="127"/>
        <v>6.6040857432209998E-2</v>
      </c>
      <c r="AF63" s="65">
        <f t="shared" si="127"/>
        <v>7.0689320598704711E-2</v>
      </c>
      <c r="AG63" s="65">
        <f t="shared" si="127"/>
        <v>7.6866051113400002E-2</v>
      </c>
      <c r="AH63" s="65">
        <f t="shared" si="127"/>
        <v>8.3087446596584097E-2</v>
      </c>
      <c r="AI63" s="65">
        <f t="shared" si="127"/>
        <v>8.6776876684631243E-2</v>
      </c>
      <c r="AJ63" s="65">
        <f t="shared" si="127"/>
        <v>8.870890609648531E-2</v>
      </c>
      <c r="AK63" s="65">
        <f t="shared" si="127"/>
        <v>9.0670348861339317E-2</v>
      </c>
      <c r="AL63" s="65">
        <f t="shared" si="127"/>
        <v>9.2169261501302835E-2</v>
      </c>
    </row>
    <row r="64" spans="2:90">
      <c r="B64" s="37" t="s">
        <v>70</v>
      </c>
      <c r="C64" s="63">
        <f t="shared" ref="C64:F64" si="128">C53/C52</f>
        <v>0.16626506024096385</v>
      </c>
      <c r="D64" s="63">
        <f t="shared" si="128"/>
        <v>-4.5185185185185182</v>
      </c>
      <c r="E64" s="67">
        <f t="shared" si="128"/>
        <v>-10.5625</v>
      </c>
      <c r="F64" s="63">
        <f t="shared" si="128"/>
        <v>0.37195121951219512</v>
      </c>
      <c r="G64" s="63">
        <f t="shared" ref="G64:K64" si="129">G53/G52</f>
        <v>-0.10416666666666667</v>
      </c>
      <c r="H64" s="63">
        <f t="shared" si="129"/>
        <v>0.2009987515605493</v>
      </c>
      <c r="I64" s="63">
        <f t="shared" si="129"/>
        <v>0.18852459016393441</v>
      </c>
      <c r="J64" s="63">
        <f t="shared" si="129"/>
        <v>0.56502242152466364</v>
      </c>
      <c r="K64" s="63">
        <f t="shared" si="129"/>
        <v>0.20481927710843373</v>
      </c>
      <c r="L64" s="63">
        <f>L53/L52</f>
        <v>0.23720930232558141</v>
      </c>
      <c r="M64" s="63">
        <f>M53/M52</f>
        <v>0.39223560910307897</v>
      </c>
      <c r="Y64" s="63">
        <f t="shared" ref="Y64:AA64" si="130">Y53/Y52</f>
        <v>-0.10024252223120453</v>
      </c>
      <c r="Z64" s="63">
        <f t="shared" si="130"/>
        <v>-2.6461538461538461</v>
      </c>
      <c r="AA64" s="63">
        <f t="shared" si="130"/>
        <v>0.37575030012004801</v>
      </c>
      <c r="AB64" s="65">
        <v>0.23499999999999999</v>
      </c>
      <c r="AC64" s="65">
        <v>0.22</v>
      </c>
      <c r="AD64" s="65">
        <v>0.21</v>
      </c>
      <c r="AE64" s="65">
        <v>0.21</v>
      </c>
      <c r="AF64" s="65">
        <v>0.21</v>
      </c>
      <c r="AG64" s="65">
        <v>0.21</v>
      </c>
      <c r="AH64" s="65">
        <v>0.21</v>
      </c>
      <c r="AI64" s="65">
        <v>0.21</v>
      </c>
      <c r="AJ64" s="65">
        <v>0.21</v>
      </c>
      <c r="AK64" s="65">
        <v>0.21</v>
      </c>
      <c r="AL64" s="65">
        <v>0.21</v>
      </c>
    </row>
    <row r="65" spans="2:90">
      <c r="B65" s="37" t="s">
        <v>71</v>
      </c>
      <c r="C65" s="63">
        <f t="shared" ref="C65:F65" si="131">C54/C41</f>
        <v>-4.6174142480211081E-2</v>
      </c>
      <c r="D65" s="63">
        <f t="shared" si="131"/>
        <v>-1.847518167261978E-2</v>
      </c>
      <c r="E65" s="63">
        <f t="shared" si="131"/>
        <v>-2.0601066408143482E-2</v>
      </c>
      <c r="F65" s="63">
        <f t="shared" si="131"/>
        <v>1.9609794943261E-2</v>
      </c>
      <c r="G65" s="63">
        <f t="shared" ref="G65:K65" si="132">G54/G41</f>
        <v>-1.7908802865408458E-2</v>
      </c>
      <c r="H65" s="63">
        <f t="shared" si="132"/>
        <v>0.15772793759141882</v>
      </c>
      <c r="I65" s="63">
        <f t="shared" si="132"/>
        <v>-1.0770784247728038E-2</v>
      </c>
      <c r="J65" s="63">
        <f t="shared" si="132"/>
        <v>4.5932379960223507E-2</v>
      </c>
      <c r="K65" s="63">
        <f t="shared" si="132"/>
        <v>3.1623505976095617E-2</v>
      </c>
      <c r="L65" s="63">
        <f>L54/L41</f>
        <v>5.5537262649544505E-2</v>
      </c>
      <c r="M65" s="63">
        <f>M54/M41</f>
        <v>4.5440866686728858E-2</v>
      </c>
      <c r="Y65" s="63">
        <f t="shared" ref="Y65:AA65" si="133">Y54/Y41</f>
        <v>-9.226411276724894E-2</v>
      </c>
      <c r="Z65" s="63">
        <f t="shared" si="133"/>
        <v>-1.3177291735611781E-2</v>
      </c>
      <c r="AA65" s="63">
        <f t="shared" si="133"/>
        <v>4.4453985973951622E-2</v>
      </c>
      <c r="AB65" s="65">
        <v>4.4453985973951622E-2</v>
      </c>
      <c r="AC65" s="65">
        <v>4.4453985973951622E-2</v>
      </c>
      <c r="AD65" s="65">
        <v>4.4453985973951622E-2</v>
      </c>
      <c r="AE65" s="65">
        <v>4.4453985973951622E-2</v>
      </c>
      <c r="AF65" s="65">
        <v>4.4453985973951622E-2</v>
      </c>
      <c r="AG65" s="65">
        <v>4.4453985973951622E-2</v>
      </c>
      <c r="AH65" s="65">
        <v>4.4453985973951622E-2</v>
      </c>
      <c r="AI65" s="65">
        <v>4.4453985973951622E-2</v>
      </c>
      <c r="AJ65" s="65">
        <v>4.4453985973951622E-2</v>
      </c>
      <c r="AK65" s="65">
        <v>4.4453985973951622E-2</v>
      </c>
      <c r="AL65" s="65">
        <v>4.4453985973951622E-2</v>
      </c>
    </row>
    <row r="67" spans="2:90">
      <c r="B67" s="1" t="s">
        <v>72</v>
      </c>
      <c r="F67" s="1">
        <v>1551</v>
      </c>
      <c r="G67" s="1">
        <v>3255</v>
      </c>
      <c r="H67" s="1">
        <v>5779</v>
      </c>
      <c r="I67" s="1">
        <v>7395</v>
      </c>
      <c r="J67" s="1">
        <v>8205</v>
      </c>
      <c r="K67" s="1">
        <v>8107</v>
      </c>
      <c r="L67" s="1">
        <v>7892</v>
      </c>
      <c r="M67" s="1">
        <v>7945</v>
      </c>
      <c r="Z67" s="1">
        <f>F67</f>
        <v>1551</v>
      </c>
      <c r="AA67" s="1">
        <f>J67</f>
        <v>8205</v>
      </c>
      <c r="AB67" s="70">
        <f>AA67+AB54</f>
        <v>11308.001813322266</v>
      </c>
      <c r="AC67" s="70">
        <f t="shared" ref="AC67:AL67" si="134">AB67+AC54</f>
        <v>15249.387179510326</v>
      </c>
      <c r="AD67" s="70">
        <f t="shared" si="134"/>
        <v>20740.402203920406</v>
      </c>
      <c r="AE67" s="70">
        <f t="shared" si="134"/>
        <v>27399.404706458274</v>
      </c>
      <c r="AF67" s="70">
        <f t="shared" si="134"/>
        <v>35507.885724070155</v>
      </c>
      <c r="AG67" s="70">
        <f t="shared" si="134"/>
        <v>45393.039863087972</v>
      </c>
      <c r="AH67" s="70">
        <f t="shared" si="134"/>
        <v>57244.607606461461</v>
      </c>
      <c r="AI67" s="70">
        <f t="shared" si="134"/>
        <v>71117.766684783302</v>
      </c>
      <c r="AJ67" s="70">
        <f t="shared" si="134"/>
        <v>86931.580020268913</v>
      </c>
      <c r="AK67" s="70">
        <f t="shared" si="134"/>
        <v>104846.98380996374</v>
      </c>
      <c r="AL67" s="70">
        <f t="shared" si="134"/>
        <v>124953.81124351235</v>
      </c>
    </row>
    <row r="68" spans="2:90">
      <c r="B68" s="1" t="s">
        <v>560</v>
      </c>
      <c r="F68" s="1">
        <v>7489</v>
      </c>
      <c r="G68" s="1">
        <f>104+6992</f>
        <v>7096</v>
      </c>
      <c r="H68" s="1">
        <f>6419+12</f>
        <v>6431</v>
      </c>
      <c r="I68" s="1">
        <v>7226</v>
      </c>
      <c r="J68" s="1">
        <v>8177</v>
      </c>
      <c r="K68" s="1">
        <v>7136</v>
      </c>
      <c r="L68" s="1">
        <v>6948</v>
      </c>
      <c r="M68" s="1">
        <v>7374</v>
      </c>
      <c r="Z68" s="1">
        <f t="shared" ref="Z68:Z80" si="135">F68</f>
        <v>7489</v>
      </c>
      <c r="AA68" s="1">
        <f t="shared" ref="AA68:AA80" si="136">J68</f>
        <v>8177</v>
      </c>
    </row>
    <row r="69" spans="2:90">
      <c r="B69" s="1" t="s">
        <v>561</v>
      </c>
      <c r="F69" s="1">
        <v>8253</v>
      </c>
      <c r="G69" s="1">
        <v>8859</v>
      </c>
      <c r="H69" s="1">
        <v>9346</v>
      </c>
      <c r="I69" s="1">
        <v>9377</v>
      </c>
      <c r="J69" s="1">
        <v>8587</v>
      </c>
      <c r="K69" s="1">
        <v>9156</v>
      </c>
      <c r="L69" s="1">
        <v>9825</v>
      </c>
      <c r="M69" s="1">
        <v>10032</v>
      </c>
      <c r="Z69" s="1">
        <f t="shared" si="135"/>
        <v>8253</v>
      </c>
      <c r="AA69" s="1">
        <f t="shared" si="136"/>
        <v>8587</v>
      </c>
      <c r="AC69" s="45" t="s">
        <v>117</v>
      </c>
      <c r="AD69" s="46"/>
      <c r="AE69" s="46"/>
      <c r="AF69" s="45" t="s">
        <v>118</v>
      </c>
      <c r="AG69" s="46"/>
      <c r="AH69" s="47" t="s">
        <v>119</v>
      </c>
      <c r="AI69" s="46"/>
      <c r="AJ69" s="48" t="s">
        <v>120</v>
      </c>
      <c r="AK69" s="49">
        <v>0.115</v>
      </c>
      <c r="AL69" s="46"/>
    </row>
    <row r="70" spans="2:90">
      <c r="B70" s="1" t="s">
        <v>562</v>
      </c>
      <c r="F70" s="1">
        <v>8339</v>
      </c>
      <c r="G70" s="1">
        <v>8579</v>
      </c>
      <c r="H70" s="1">
        <v>8702</v>
      </c>
      <c r="I70" s="1">
        <v>8592</v>
      </c>
      <c r="J70" s="1">
        <v>8621</v>
      </c>
      <c r="K70" s="1">
        <v>9040</v>
      </c>
      <c r="L70" s="1">
        <v>9489</v>
      </c>
      <c r="M70" s="1">
        <v>9485</v>
      </c>
      <c r="Z70" s="1">
        <f t="shared" si="135"/>
        <v>8339</v>
      </c>
      <c r="AA70" s="1">
        <f t="shared" si="136"/>
        <v>8621</v>
      </c>
      <c r="AC70" s="46">
        <v>2025</v>
      </c>
      <c r="AD70" s="46"/>
      <c r="AE70" s="46">
        <v>2023</v>
      </c>
      <c r="AF70" s="46">
        <v>2024</v>
      </c>
      <c r="AG70" s="46"/>
      <c r="AH70" s="47" t="s">
        <v>121</v>
      </c>
      <c r="AI70" s="46"/>
      <c r="AJ70" s="48" t="s">
        <v>122</v>
      </c>
      <c r="AK70" s="49">
        <v>1.7500000000000002E-2</v>
      </c>
      <c r="AL70" s="46"/>
    </row>
    <row r="71" spans="2:90" ht="14.25" customHeight="1">
      <c r="B71" s="1" t="s">
        <v>563</v>
      </c>
      <c r="F71" s="1">
        <v>352</v>
      </c>
      <c r="G71" s="1">
        <v>462</v>
      </c>
      <c r="H71" s="1">
        <v>463</v>
      </c>
      <c r="I71" s="1">
        <v>550</v>
      </c>
      <c r="J71" s="1">
        <v>564</v>
      </c>
      <c r="K71" s="1">
        <v>497</v>
      </c>
      <c r="L71" s="1">
        <v>555</v>
      </c>
      <c r="M71" s="1">
        <v>934</v>
      </c>
      <c r="Z71" s="1">
        <f t="shared" si="135"/>
        <v>352</v>
      </c>
      <c r="AA71" s="1">
        <f t="shared" si="136"/>
        <v>564</v>
      </c>
      <c r="AC71" s="50">
        <f>AVERAGE(AB48)*(1-AB64)</f>
        <v>978.78423832226565</v>
      </c>
      <c r="AD71" s="46"/>
      <c r="AE71" s="51">
        <f>SUM(Z67:Z72)-Z82+Z73+Z75+Z74</f>
        <v>30235</v>
      </c>
      <c r="AF71" s="51">
        <f>SUM(AA67:AA72)-AA82+AA73+AA75+AA74</f>
        <v>35778</v>
      </c>
      <c r="AG71" s="46"/>
      <c r="AH71" s="51">
        <f>AVERAGE(AE71:AF71)</f>
        <v>33006.5</v>
      </c>
      <c r="AI71" s="46"/>
      <c r="AJ71" s="48" t="s">
        <v>123</v>
      </c>
      <c r="AK71" s="49">
        <v>4.1099999999999998E-2</v>
      </c>
      <c r="AL71" s="46"/>
    </row>
    <row r="72" spans="2:90" ht="14.25" customHeight="1">
      <c r="B72" s="1" t="s">
        <v>580</v>
      </c>
      <c r="F72" s="1">
        <v>1444</v>
      </c>
      <c r="G72" s="1">
        <v>993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508</v>
      </c>
      <c r="Z72" s="1">
        <f t="shared" si="135"/>
        <v>1444</v>
      </c>
      <c r="AA72" s="1">
        <f t="shared" si="136"/>
        <v>0</v>
      </c>
      <c r="AC72" s="52">
        <f>AC71/AH71</f>
        <v>2.9654287437997535E-2</v>
      </c>
      <c r="AD72" s="46"/>
      <c r="AE72" s="51"/>
      <c r="AF72" s="51"/>
      <c r="AG72" s="46"/>
      <c r="AH72" s="51"/>
      <c r="AI72" s="46"/>
      <c r="AJ72" s="48" t="s">
        <v>124</v>
      </c>
      <c r="AK72" s="49">
        <f>6.95%-AK71</f>
        <v>2.8400000000000009E-2</v>
      </c>
      <c r="AL72" s="46"/>
    </row>
    <row r="73" spans="2:90" ht="14.25" customHeight="1">
      <c r="B73" s="1" t="s">
        <v>564</v>
      </c>
      <c r="F73" s="1">
        <v>5228</v>
      </c>
      <c r="G73" s="1">
        <v>5224</v>
      </c>
      <c r="H73" s="1">
        <v>5168</v>
      </c>
      <c r="I73" s="1">
        <v>5148</v>
      </c>
      <c r="J73" s="1">
        <v>5150</v>
      </c>
      <c r="K73" s="1">
        <v>5225</v>
      </c>
      <c r="L73" s="1">
        <v>5419</v>
      </c>
      <c r="M73" s="1">
        <v>5555</v>
      </c>
      <c r="Z73" s="1">
        <f t="shared" si="135"/>
        <v>5228</v>
      </c>
      <c r="AA73" s="1">
        <f t="shared" si="136"/>
        <v>5150</v>
      </c>
      <c r="AD73" s="46"/>
      <c r="AE73" s="46"/>
      <c r="AF73" s="46"/>
      <c r="AG73" s="46"/>
      <c r="AH73" s="46"/>
      <c r="AI73" s="46"/>
      <c r="AJ73" s="48" t="s">
        <v>125</v>
      </c>
      <c r="AK73" s="46">
        <f>'Notes | Quant Analysis'!K204</f>
        <v>1.59</v>
      </c>
      <c r="AL73" s="46"/>
    </row>
    <row r="74" spans="2:90" ht="14.25" customHeight="1">
      <c r="B74" s="1" t="s">
        <v>565</v>
      </c>
      <c r="F74" s="1">
        <v>4437</v>
      </c>
      <c r="G74" s="1">
        <v>4403</v>
      </c>
      <c r="H74" s="1">
        <v>4354</v>
      </c>
      <c r="I74" s="1">
        <v>4444</v>
      </c>
      <c r="J74" s="1">
        <v>4263</v>
      </c>
      <c r="K74" s="1">
        <v>4368</v>
      </c>
      <c r="L74" s="1">
        <v>4528</v>
      </c>
      <c r="M74" s="1">
        <v>4327</v>
      </c>
      <c r="Z74" s="1">
        <f t="shared" si="135"/>
        <v>4437</v>
      </c>
      <c r="AA74" s="1">
        <f t="shared" si="136"/>
        <v>4263</v>
      </c>
      <c r="AC74" s="46"/>
      <c r="AD74" s="46"/>
      <c r="AE74" s="46"/>
      <c r="AF74" s="46"/>
      <c r="AG74" s="46"/>
      <c r="AH74" s="46"/>
      <c r="AI74" s="46"/>
      <c r="AJ74" s="48" t="s">
        <v>126</v>
      </c>
      <c r="AK74" s="49">
        <f>+AK71+(AK72*AK73)</f>
        <v>8.6256000000000013E-2</v>
      </c>
      <c r="AL74" s="53"/>
    </row>
    <row r="75" spans="2:90" ht="14.25" customHeight="1">
      <c r="B75" s="1" t="s">
        <v>566</v>
      </c>
      <c r="F75" s="1">
        <v>1042</v>
      </c>
      <c r="G75" s="1">
        <v>991</v>
      </c>
      <c r="H75" s="1">
        <v>925</v>
      </c>
      <c r="I75" s="1">
        <v>869</v>
      </c>
      <c r="J75" s="1">
        <v>813</v>
      </c>
      <c r="K75" s="1">
        <v>773</v>
      </c>
      <c r="L75" s="1">
        <v>739</v>
      </c>
      <c r="M75" s="1">
        <v>747</v>
      </c>
      <c r="Z75" s="1">
        <f t="shared" si="135"/>
        <v>1042</v>
      </c>
      <c r="AA75" s="1">
        <f t="shared" si="136"/>
        <v>813</v>
      </c>
      <c r="AC75" s="46"/>
      <c r="AD75" s="46"/>
      <c r="AE75" s="46"/>
      <c r="AF75" s="46"/>
      <c r="AG75" s="46"/>
      <c r="AH75" s="46"/>
      <c r="AI75" s="46"/>
    </row>
    <row r="76" spans="2:90" ht="14.25" customHeight="1">
      <c r="B76" s="1" t="s">
        <v>567</v>
      </c>
      <c r="F76" s="1">
        <v>621</v>
      </c>
      <c r="G76" s="1">
        <v>633</v>
      </c>
      <c r="H76" s="1">
        <v>614</v>
      </c>
      <c r="I76" s="1">
        <v>618</v>
      </c>
      <c r="J76" s="1">
        <v>555</v>
      </c>
      <c r="K76" s="1">
        <v>505</v>
      </c>
      <c r="L76" s="1">
        <v>496</v>
      </c>
      <c r="M76" s="1">
        <v>486</v>
      </c>
      <c r="Z76" s="1">
        <f t="shared" si="135"/>
        <v>621</v>
      </c>
      <c r="AA76" s="1">
        <f t="shared" si="136"/>
        <v>555</v>
      </c>
      <c r="AC76" s="53"/>
      <c r="AD76" s="53"/>
      <c r="AE76" s="53"/>
      <c r="AF76" s="53"/>
      <c r="AG76" s="53"/>
      <c r="AH76" s="53"/>
      <c r="AI76" s="53"/>
      <c r="AJ76" s="48" t="s">
        <v>127</v>
      </c>
      <c r="AK76" s="50">
        <f>NPV(AK74,AB54:CJ54)</f>
        <v>179081.73830516095</v>
      </c>
      <c r="AL76" s="46"/>
    </row>
    <row r="77" spans="2:90" ht="14.25" customHeight="1">
      <c r="B77" s="1" t="s">
        <v>568</v>
      </c>
      <c r="F77" s="1">
        <v>3555</v>
      </c>
      <c r="G77" s="1">
        <v>3647</v>
      </c>
      <c r="H77" s="1">
        <v>2405</v>
      </c>
      <c r="I77" s="1">
        <v>2376</v>
      </c>
      <c r="J77" s="1">
        <v>2149</v>
      </c>
      <c r="K77" s="1">
        <v>2137</v>
      </c>
      <c r="L77" s="1">
        <v>2170</v>
      </c>
      <c r="M77" s="1">
        <v>1916</v>
      </c>
      <c r="Z77" s="1">
        <f t="shared" si="135"/>
        <v>3555</v>
      </c>
      <c r="AA77" s="1">
        <f t="shared" si="136"/>
        <v>2149</v>
      </c>
      <c r="AC77" s="46"/>
      <c r="AD77" s="46"/>
      <c r="AE77" s="46"/>
      <c r="AF77" s="46"/>
      <c r="AG77" s="46"/>
      <c r="AH77" s="46"/>
      <c r="AI77" s="46"/>
      <c r="AJ77" s="48" t="s">
        <v>84</v>
      </c>
      <c r="AK77" s="51">
        <f>Main!C4</f>
        <v>271.32</v>
      </c>
      <c r="AL77" s="54" t="s">
        <v>128</v>
      </c>
    </row>
    <row r="78" spans="2:90" ht="14.25" customHeight="1">
      <c r="B78" s="1" t="s">
        <v>569</v>
      </c>
      <c r="F78" s="1">
        <v>1582</v>
      </c>
      <c r="G78" s="1">
        <v>1428</v>
      </c>
      <c r="H78" s="1">
        <v>1383</v>
      </c>
      <c r="I78" s="1">
        <v>1499</v>
      </c>
      <c r="J78" s="1">
        <v>1639</v>
      </c>
      <c r="K78" s="1">
        <v>1639</v>
      </c>
      <c r="L78" s="1">
        <v>1733</v>
      </c>
      <c r="M78" s="1">
        <v>1684</v>
      </c>
      <c r="Z78" s="1">
        <f t="shared" si="135"/>
        <v>1582</v>
      </c>
      <c r="AA78" s="1">
        <f t="shared" si="136"/>
        <v>1639</v>
      </c>
      <c r="AC78" s="46"/>
      <c r="AD78" s="46"/>
      <c r="AE78" s="46"/>
      <c r="AF78" s="46"/>
      <c r="AG78" s="46"/>
      <c r="AH78" s="46"/>
      <c r="AI78" s="46"/>
      <c r="AJ78" s="48" t="s">
        <v>129</v>
      </c>
      <c r="AK78" s="55">
        <f>AK76/AK77</f>
        <v>660.03884087115193</v>
      </c>
      <c r="AL78" s="45"/>
    </row>
    <row r="79" spans="2:90" ht="14.25" customHeight="1">
      <c r="B79" s="1" t="s">
        <v>570</v>
      </c>
      <c r="F79" s="1">
        <v>2228</v>
      </c>
      <c r="G79" s="1">
        <v>2302</v>
      </c>
      <c r="H79" s="1">
        <v>2480</v>
      </c>
      <c r="I79" s="1">
        <v>2759</v>
      </c>
      <c r="J79" s="1">
        <v>2762</v>
      </c>
      <c r="K79" s="1">
        <v>2976</v>
      </c>
      <c r="L79" s="1">
        <v>3284</v>
      </c>
      <c r="M79" s="1">
        <v>3406</v>
      </c>
      <c r="Z79" s="1">
        <f t="shared" si="135"/>
        <v>2228</v>
      </c>
      <c r="AA79" s="1">
        <f t="shared" si="136"/>
        <v>2762</v>
      </c>
      <c r="AC79" s="46"/>
      <c r="AD79" s="46"/>
      <c r="AE79" s="46"/>
      <c r="AF79" s="46"/>
      <c r="AG79" s="46"/>
      <c r="AH79" s="46"/>
      <c r="AI79" s="46"/>
      <c r="AJ79" s="48" t="s">
        <v>130</v>
      </c>
      <c r="AK79" s="55">
        <f>Main!C3</f>
        <v>663.16</v>
      </c>
      <c r="AL79" s="68"/>
    </row>
    <row r="80" spans="2:90" s="2" customFormat="1" ht="14.25" customHeight="1">
      <c r="B80" s="2" t="s">
        <v>571</v>
      </c>
      <c r="F80" s="2">
        <f t="shared" ref="F80:K80" si="137">SUM(F67:F79)</f>
        <v>46121</v>
      </c>
      <c r="G80" s="2">
        <f t="shared" si="137"/>
        <v>47872</v>
      </c>
      <c r="H80" s="2">
        <f t="shared" si="137"/>
        <v>48050</v>
      </c>
      <c r="I80" s="2">
        <f t="shared" si="137"/>
        <v>50853</v>
      </c>
      <c r="J80" s="2">
        <f t="shared" si="137"/>
        <v>51485</v>
      </c>
      <c r="K80" s="2">
        <f t="shared" si="137"/>
        <v>51559</v>
      </c>
      <c r="L80" s="2">
        <f>SUM(L67:L79)</f>
        <v>53078</v>
      </c>
      <c r="M80" s="2">
        <f>SUM(M67:M79)</f>
        <v>54399</v>
      </c>
      <c r="N80" s="34"/>
      <c r="O80" s="34"/>
      <c r="P80" s="34"/>
      <c r="Q80" s="34"/>
      <c r="R80" s="34"/>
      <c r="Z80" s="2">
        <f t="shared" si="135"/>
        <v>46121</v>
      </c>
      <c r="AA80" s="2">
        <f t="shared" si="136"/>
        <v>51485</v>
      </c>
      <c r="AB80" s="34"/>
      <c r="AC80" s="53"/>
      <c r="AD80" s="53"/>
      <c r="AE80" s="53"/>
      <c r="AF80" s="53"/>
      <c r="AG80" s="53"/>
      <c r="AH80" s="53"/>
      <c r="AI80" s="53"/>
      <c r="AJ80" s="48" t="s">
        <v>131</v>
      </c>
      <c r="AK80" s="49">
        <f>AK78/AK79-1</f>
        <v>-4.7064948562157705E-3</v>
      </c>
      <c r="AL80" s="56" t="str">
        <f>IF(AK80&gt;0,"Upside","Downside")</f>
        <v>Downside</v>
      </c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</row>
    <row r="81" spans="2:90" ht="14.25" customHeight="1">
      <c r="AC81" s="53"/>
      <c r="AD81" s="53"/>
      <c r="AE81" s="53"/>
      <c r="AF81" s="53"/>
      <c r="AG81" s="53"/>
      <c r="AH81" s="53"/>
      <c r="AI81" s="53"/>
      <c r="AJ81" s="75" t="str" cm="1">
        <f t="array" ref="AJ81">_xlfn.IFS(AK80&gt;=25%,"Strong Buy",AK80&gt;=10.00001%,"Buy",AND(AK80&lt;=10%,AK80&gt;=-4.9999%),"Hold",AND(AK80&lt;=-5%,AK80&gt;=-14.999999%),"Sell",AK80&lt;=-15%,"Strong Sell")</f>
        <v>Hold</v>
      </c>
      <c r="AK81" s="75"/>
    </row>
    <row r="82" spans="2:90" ht="14.25" customHeight="1">
      <c r="B82" s="1" t="s">
        <v>572</v>
      </c>
      <c r="F82" s="1">
        <v>7900</v>
      </c>
      <c r="G82" s="1">
        <v>7509</v>
      </c>
      <c r="H82" s="1">
        <v>7841</v>
      </c>
      <c r="I82" s="1">
        <v>8942</v>
      </c>
      <c r="J82" s="1">
        <v>8602</v>
      </c>
      <c r="K82" s="1">
        <v>8421</v>
      </c>
      <c r="L82" s="1">
        <v>9035</v>
      </c>
      <c r="M82" s="1">
        <v>9543</v>
      </c>
      <c r="Z82" s="1">
        <f t="shared" ref="Z82:Z91" si="138">F82</f>
        <v>7900</v>
      </c>
      <c r="AA82" s="1">
        <f t="shared" ref="AA82:AA91" si="139">J82</f>
        <v>8602</v>
      </c>
    </row>
    <row r="83" spans="2:90" ht="14.25" customHeight="1">
      <c r="B83" s="1" t="s">
        <v>573</v>
      </c>
      <c r="F83" s="1">
        <f>532+15074</f>
        <v>15606</v>
      </c>
      <c r="G83" s="1">
        <f>217+15919</f>
        <v>16136</v>
      </c>
      <c r="H83" s="1">
        <f>44+16536</f>
        <v>16580</v>
      </c>
      <c r="I83" s="1">
        <f>58+16908</f>
        <v>16966</v>
      </c>
      <c r="J83" s="1">
        <v>17587</v>
      </c>
      <c r="K83" s="1">
        <v>18708</v>
      </c>
      <c r="L83" s="1">
        <v>19603</v>
      </c>
      <c r="M83" s="1">
        <v>20151</v>
      </c>
      <c r="Z83" s="1">
        <f t="shared" si="138"/>
        <v>15606</v>
      </c>
      <c r="AA83" s="1">
        <f t="shared" si="139"/>
        <v>17587</v>
      </c>
    </row>
    <row r="84" spans="2:90" ht="14.25" customHeight="1">
      <c r="B84" s="1" t="s">
        <v>574</v>
      </c>
      <c r="F84" s="1">
        <v>4352</v>
      </c>
      <c r="G84" s="1">
        <v>4399</v>
      </c>
      <c r="H84" s="1">
        <v>4644</v>
      </c>
      <c r="I84" s="1">
        <v>5324</v>
      </c>
      <c r="J84" s="1">
        <v>5496</v>
      </c>
      <c r="K84" s="1">
        <v>5547</v>
      </c>
      <c r="L84" s="1">
        <v>5123</v>
      </c>
      <c r="M84" s="1">
        <v>5499</v>
      </c>
      <c r="Z84" s="1">
        <f t="shared" si="138"/>
        <v>4352</v>
      </c>
      <c r="AA84" s="1">
        <f t="shared" si="139"/>
        <v>5496</v>
      </c>
    </row>
    <row r="85" spans="2:90" ht="14.25" customHeight="1">
      <c r="B85" s="1" t="s">
        <v>581</v>
      </c>
      <c r="F85" s="1">
        <v>1448</v>
      </c>
      <c r="G85" s="1">
        <v>1472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80</v>
      </c>
      <c r="Z85" s="1">
        <f t="shared" si="138"/>
        <v>1448</v>
      </c>
      <c r="AA85" s="1">
        <f t="shared" si="139"/>
        <v>0</v>
      </c>
    </row>
    <row r="86" spans="2:90" ht="14.25" customHeight="1">
      <c r="B86" s="1" t="s">
        <v>569</v>
      </c>
      <c r="F86" s="1">
        <v>382</v>
      </c>
      <c r="G86" s="1">
        <v>423</v>
      </c>
      <c r="H86" s="1">
        <v>674</v>
      </c>
      <c r="I86" s="1">
        <v>823</v>
      </c>
      <c r="J86" s="1">
        <v>827</v>
      </c>
      <c r="K86" s="1">
        <v>782</v>
      </c>
      <c r="L86" s="1">
        <v>818</v>
      </c>
      <c r="M86" s="1">
        <v>820</v>
      </c>
      <c r="Z86" s="1">
        <f t="shared" si="138"/>
        <v>382</v>
      </c>
      <c r="AA86" s="1">
        <f t="shared" si="139"/>
        <v>827</v>
      </c>
    </row>
    <row r="87" spans="2:90" ht="14.25" customHeight="1">
      <c r="B87" s="1" t="s">
        <v>575</v>
      </c>
      <c r="F87" s="1">
        <v>3273</v>
      </c>
      <c r="G87" s="1">
        <v>3266</v>
      </c>
      <c r="H87" s="1">
        <v>3224</v>
      </c>
      <c r="I87" s="1">
        <v>3233</v>
      </c>
      <c r="J87" s="1">
        <v>3264</v>
      </c>
      <c r="K87" s="1">
        <v>3252</v>
      </c>
      <c r="L87" s="1">
        <v>3243</v>
      </c>
      <c r="M87" s="1">
        <v>3195</v>
      </c>
      <c r="Z87" s="1">
        <f t="shared" si="138"/>
        <v>3273</v>
      </c>
      <c r="AA87" s="1">
        <f t="shared" si="139"/>
        <v>3264</v>
      </c>
    </row>
    <row r="88" spans="2:90" ht="14.25" customHeight="1">
      <c r="B88" s="1" t="s">
        <v>576</v>
      </c>
      <c r="F88" s="1">
        <v>4780</v>
      </c>
      <c r="G88" s="1">
        <v>4687</v>
      </c>
      <c r="H88" s="1">
        <v>5040</v>
      </c>
      <c r="I88" s="1">
        <v>5048</v>
      </c>
      <c r="J88" s="1">
        <v>5116</v>
      </c>
      <c r="K88" s="1">
        <v>5177</v>
      </c>
      <c r="L88" s="1">
        <v>5309</v>
      </c>
      <c r="M88" s="1">
        <v>5382</v>
      </c>
      <c r="Z88" s="1">
        <f t="shared" si="138"/>
        <v>4780</v>
      </c>
      <c r="AA88" s="1">
        <f t="shared" si="139"/>
        <v>5116</v>
      </c>
    </row>
    <row r="89" spans="2:90" s="2" customFormat="1" ht="14.25" customHeight="1">
      <c r="B89" s="2" t="s">
        <v>577</v>
      </c>
      <c r="F89" s="2">
        <f t="shared" ref="F89:K89" si="140">SUM(F82:F88)</f>
        <v>37741</v>
      </c>
      <c r="G89" s="2">
        <f t="shared" si="140"/>
        <v>37892</v>
      </c>
      <c r="H89" s="2">
        <f t="shared" si="140"/>
        <v>38003</v>
      </c>
      <c r="I89" s="2">
        <f t="shared" si="140"/>
        <v>40336</v>
      </c>
      <c r="J89" s="2">
        <f t="shared" si="140"/>
        <v>40892</v>
      </c>
      <c r="K89" s="2">
        <f t="shared" si="140"/>
        <v>41887</v>
      </c>
      <c r="L89" s="2">
        <f>SUM(L82:L88)</f>
        <v>43131</v>
      </c>
      <c r="M89" s="2">
        <f>SUM(M82:M88)</f>
        <v>44670</v>
      </c>
      <c r="N89" s="34"/>
      <c r="O89" s="34"/>
      <c r="P89" s="34"/>
      <c r="Q89" s="34"/>
      <c r="R89" s="34"/>
      <c r="Z89" s="2">
        <f t="shared" si="138"/>
        <v>37741</v>
      </c>
      <c r="AA89" s="2">
        <f t="shared" si="139"/>
        <v>40892</v>
      </c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</row>
    <row r="90" spans="2:90" ht="14.25" customHeight="1">
      <c r="B90" s="1" t="s">
        <v>578</v>
      </c>
      <c r="F90" s="1">
        <v>8380</v>
      </c>
      <c r="G90" s="1">
        <v>9980</v>
      </c>
      <c r="H90" s="1">
        <v>10049</v>
      </c>
      <c r="I90" s="1">
        <v>10517</v>
      </c>
      <c r="J90" s="1">
        <v>10593</v>
      </c>
      <c r="K90" s="1">
        <v>9672</v>
      </c>
      <c r="L90" s="1">
        <v>9947</v>
      </c>
      <c r="M90" s="1">
        <v>9729</v>
      </c>
      <c r="Z90" s="1">
        <f t="shared" si="138"/>
        <v>8380</v>
      </c>
      <c r="AA90" s="1">
        <f t="shared" si="139"/>
        <v>10593</v>
      </c>
    </row>
    <row r="91" spans="2:90" s="2" customFormat="1" ht="14.25" customHeight="1">
      <c r="B91" s="2" t="s">
        <v>579</v>
      </c>
      <c r="F91" s="2">
        <f t="shared" ref="F91:K91" si="141">F89+F90</f>
        <v>46121</v>
      </c>
      <c r="G91" s="2">
        <f t="shared" si="141"/>
        <v>47872</v>
      </c>
      <c r="H91" s="2">
        <f t="shared" si="141"/>
        <v>48052</v>
      </c>
      <c r="I91" s="2">
        <f t="shared" si="141"/>
        <v>50853</v>
      </c>
      <c r="J91" s="2">
        <f t="shared" si="141"/>
        <v>51485</v>
      </c>
      <c r="K91" s="2">
        <f t="shared" si="141"/>
        <v>51559</v>
      </c>
      <c r="L91" s="2">
        <f>L89+L90</f>
        <v>53078</v>
      </c>
      <c r="M91" s="2">
        <f>M89+M90</f>
        <v>54399</v>
      </c>
      <c r="N91" s="34"/>
      <c r="O91" s="34"/>
      <c r="P91" s="34"/>
      <c r="Q91" s="34"/>
      <c r="R91" s="34"/>
      <c r="Z91" s="2">
        <f t="shared" si="138"/>
        <v>46121</v>
      </c>
      <c r="AA91" s="2">
        <f t="shared" si="139"/>
        <v>51485</v>
      </c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</row>
    <row r="92" spans="2:90" ht="14.25" customHeight="1"/>
    <row r="93" spans="2:90" ht="14.25" customHeight="1">
      <c r="B93" s="1" t="s">
        <v>73</v>
      </c>
      <c r="F93" s="39">
        <f t="shared" ref="F93:K93" si="142">SUM(F67:F72)/SUM(F82:F85)</f>
        <v>0.9359175595441207</v>
      </c>
      <c r="G93" s="39">
        <f t="shared" si="142"/>
        <v>0.99078465916790892</v>
      </c>
      <c r="H93" s="39">
        <f t="shared" si="142"/>
        <v>1.0569757440220195</v>
      </c>
      <c r="I93" s="39">
        <f t="shared" si="142"/>
        <v>1.0610911885245902</v>
      </c>
      <c r="J93" s="39">
        <f t="shared" si="142"/>
        <v>1.0779233075587817</v>
      </c>
      <c r="K93" s="39">
        <f t="shared" si="142"/>
        <v>1.038560411311054</v>
      </c>
      <c r="L93" s="39">
        <f>SUM(L67:L72)/SUM(L82:L85)</f>
        <v>1.0280797369746157</v>
      </c>
      <c r="M93" s="39">
        <f>SUM(M67:M72)/SUM(M82:M85)</f>
        <v>1.0284920477418988</v>
      </c>
      <c r="Z93" s="39">
        <f t="shared" ref="Z93:AA93" si="143">SUM(Z67:Z72)/SUM(Z82:Z85)</f>
        <v>0.9359175595441207</v>
      </c>
      <c r="AA93" s="39">
        <f t="shared" si="143"/>
        <v>1.0779233075587817</v>
      </c>
    </row>
    <row r="94" spans="2:90" ht="14.25" customHeight="1">
      <c r="B94" s="1" t="s">
        <v>74</v>
      </c>
      <c r="F94" s="39">
        <f t="shared" ref="F94:K94" si="144">(SUM(F67:F72)-F69)/SUM(F82:F85)</f>
        <v>0.65430287313178193</v>
      </c>
      <c r="G94" s="39">
        <f t="shared" si="144"/>
        <v>0.69064236346388397</v>
      </c>
      <c r="H94" s="39">
        <f t="shared" si="144"/>
        <v>0.73542060897987271</v>
      </c>
      <c r="I94" s="39">
        <f t="shared" si="144"/>
        <v>0.76085425204918034</v>
      </c>
      <c r="J94" s="39">
        <f t="shared" si="144"/>
        <v>0.80691178791226137</v>
      </c>
      <c r="K94" s="39">
        <f t="shared" si="144"/>
        <v>0.75835475578406175</v>
      </c>
      <c r="L94" s="39">
        <f>(SUM(L67:L72)-L69)/SUM(L82:L85)</f>
        <v>0.73706347560795005</v>
      </c>
      <c r="M94" s="39">
        <f>(SUM(M67:M72)-M69)/SUM(M82:M85)</f>
        <v>0.74408187565560058</v>
      </c>
      <c r="Z94" s="39">
        <f t="shared" ref="Z94:AA94" si="145">(SUM(Z67:Z72)-Z69)/SUM(Z82:Z85)</f>
        <v>0.65430287313178193</v>
      </c>
      <c r="AA94" s="39">
        <f t="shared" si="145"/>
        <v>0.80691178791226137</v>
      </c>
    </row>
    <row r="95" spans="2:90" ht="14.25" customHeight="1">
      <c r="B95" s="1" t="s">
        <v>75</v>
      </c>
      <c r="F95" s="39">
        <f t="shared" ref="F95:K95" si="146">F67/SUM(F82:F85)</f>
        <v>5.2924315839759775E-2</v>
      </c>
      <c r="G95" s="39">
        <f t="shared" si="146"/>
        <v>0.11027917061932511</v>
      </c>
      <c r="H95" s="39">
        <f t="shared" si="146"/>
        <v>0.19883020815413727</v>
      </c>
      <c r="I95" s="39">
        <f t="shared" si="146"/>
        <v>0.23677638319672131</v>
      </c>
      <c r="J95" s="39">
        <f t="shared" si="146"/>
        <v>0.25895534164431117</v>
      </c>
      <c r="K95" s="39">
        <f t="shared" si="146"/>
        <v>0.24810258293548781</v>
      </c>
      <c r="L95" s="39">
        <f>L67/SUM(L82:L85)</f>
        <v>0.23376084831610439</v>
      </c>
      <c r="M95" s="39">
        <f>M67/SUM(M82:M85)</f>
        <v>0.22524310379043461</v>
      </c>
      <c r="Z95" s="39">
        <f t="shared" ref="Z95:AA95" si="147">Z67/SUM(Z82:Z85)</f>
        <v>5.2924315839759775E-2</v>
      </c>
      <c r="AA95" s="39">
        <f t="shared" si="147"/>
        <v>0.25895534164431117</v>
      </c>
    </row>
    <row r="96" spans="2:90" ht="14.25" customHeight="1">
      <c r="B96" s="1" t="s">
        <v>76</v>
      </c>
      <c r="F96" s="39">
        <f t="shared" ref="F96:K96" si="148">F41/F91</f>
        <v>0.21781834739055961</v>
      </c>
      <c r="G96" s="39">
        <f t="shared" si="148"/>
        <v>0.15163352272727273</v>
      </c>
      <c r="H96" s="39">
        <f t="shared" si="148"/>
        <v>0.17073170731707318</v>
      </c>
      <c r="I96" s="39">
        <f t="shared" si="148"/>
        <v>0.17526989558138162</v>
      </c>
      <c r="J96" s="39">
        <f t="shared" si="148"/>
        <v>0.2050888608332524</v>
      </c>
      <c r="K96" s="39">
        <f t="shared" si="148"/>
        <v>0.15578269555266783</v>
      </c>
      <c r="L96" s="39">
        <f>L41/L91</f>
        <v>0.17165303892384792</v>
      </c>
      <c r="M96" s="39">
        <f>M41/M91</f>
        <v>0.18325704516627145</v>
      </c>
      <c r="Z96" s="39">
        <f t="shared" ref="Z96:AA96" si="149">Z41/Z91</f>
        <v>0.72069122525530671</v>
      </c>
      <c r="AA96" s="39">
        <f t="shared" si="149"/>
        <v>0.67854714965523943</v>
      </c>
    </row>
    <row r="97" spans="2:90" ht="14.25" customHeight="1">
      <c r="B97" s="1" t="s">
        <v>77</v>
      </c>
      <c r="F97" s="39">
        <f t="shared" ref="F97:K97" si="150">F69/AVERAGE(SUM(C44:F44))</f>
        <v>0.29038387108124275</v>
      </c>
      <c r="G97" s="39">
        <f t="shared" si="150"/>
        <v>0.30946309428162222</v>
      </c>
      <c r="H97" s="39">
        <f t="shared" si="150"/>
        <v>0.33192456582732538</v>
      </c>
      <c r="I97" s="39">
        <f t="shared" si="150"/>
        <v>0.32604311543810849</v>
      </c>
      <c r="J97" s="39">
        <f t="shared" si="150"/>
        <v>0.29764298093587521</v>
      </c>
      <c r="K97" s="39">
        <f t="shared" si="150"/>
        <v>0.31245947513906425</v>
      </c>
      <c r="L97" s="39">
        <f>L69/AVERAGE(SUM(I44:L44))</f>
        <v>0.32678108162043507</v>
      </c>
      <c r="M97" s="39">
        <f>M69/AVERAGE(SUM(J44:M44))</f>
        <v>0.3307289091088913</v>
      </c>
      <c r="Z97" s="39">
        <f t="shared" ref="Z97:AA97" si="151">Z69/AVERAGE(SUM(W42:Z43))</f>
        <v>0.15110679824962925</v>
      </c>
      <c r="AA97" s="39">
        <f t="shared" si="151"/>
        <v>0.10287898211269124</v>
      </c>
    </row>
    <row r="98" spans="2:90" ht="14.25" customHeight="1">
      <c r="B98" s="1" t="s">
        <v>78</v>
      </c>
      <c r="F98" s="63">
        <f t="shared" ref="F98:K98" si="152">F54/F91</f>
        <v>4.2713731272088634E-3</v>
      </c>
      <c r="G98" s="63">
        <f t="shared" si="152"/>
        <v>-2.7155748663101604E-3</v>
      </c>
      <c r="H98" s="63">
        <f t="shared" si="152"/>
        <v>2.6929160076583702E-2</v>
      </c>
      <c r="I98" s="63">
        <f t="shared" si="152"/>
        <v>-1.8877942304288832E-3</v>
      </c>
      <c r="J98" s="63">
        <f t="shared" si="152"/>
        <v>9.4202194814023508E-3</v>
      </c>
      <c r="K98" s="63">
        <f t="shared" si="152"/>
        <v>4.9263950037820746E-3</v>
      </c>
      <c r="L98" s="63">
        <f>L54/L91</f>
        <v>9.5331399073062279E-3</v>
      </c>
      <c r="M98" s="63">
        <f>M54/M91</f>
        <v>8.32735895880439E-3</v>
      </c>
      <c r="Z98" s="63">
        <f t="shared" ref="Z98:AA98" si="153">Z54/Z91</f>
        <v>-9.4967585264846815E-3</v>
      </c>
      <c r="AA98" s="63">
        <f t="shared" si="153"/>
        <v>3.0164125473438864E-2</v>
      </c>
    </row>
    <row r="99" spans="2:90" ht="14.25" customHeight="1">
      <c r="B99" s="1" t="s">
        <v>79</v>
      </c>
      <c r="F99" s="63">
        <f t="shared" ref="F99:K99" si="154">F54/F90</f>
        <v>2.3508353221957042E-2</v>
      </c>
      <c r="G99" s="63">
        <f t="shared" si="154"/>
        <v>-1.3026052104208416E-2</v>
      </c>
      <c r="H99" s="63">
        <f t="shared" si="154"/>
        <v>0.12876903174445217</v>
      </c>
      <c r="I99" s="63">
        <f t="shared" si="154"/>
        <v>-9.1280783493391648E-3</v>
      </c>
      <c r="J99" s="63">
        <f t="shared" si="154"/>
        <v>4.5784952327008403E-2</v>
      </c>
      <c r="K99" s="63">
        <f t="shared" si="154"/>
        <v>2.6261373035566585E-2</v>
      </c>
      <c r="L99" s="63">
        <f>L54/L90</f>
        <v>5.086960892731477E-2</v>
      </c>
      <c r="M99" s="63">
        <f>M54/M90</f>
        <v>4.6561825470243602E-2</v>
      </c>
      <c r="Z99" s="63">
        <f t="shared" ref="Z99:AA99" si="155">Z54/Z90</f>
        <v>-5.2267303102625298E-2</v>
      </c>
      <c r="AA99" s="63">
        <f t="shared" si="155"/>
        <v>0.14660624940998773</v>
      </c>
    </row>
    <row r="100" spans="2:90" ht="14.25" customHeight="1"/>
    <row r="101" spans="2:90" ht="14.25" customHeight="1">
      <c r="B101" s="1" t="s">
        <v>80</v>
      </c>
      <c r="C101" s="1">
        <f t="shared" ref="C101:K101" si="156">C54</f>
        <v>-315</v>
      </c>
      <c r="D101" s="1">
        <f t="shared" si="156"/>
        <v>-150</v>
      </c>
      <c r="E101" s="1">
        <f t="shared" si="156"/>
        <v>-170</v>
      </c>
      <c r="F101" s="1">
        <f t="shared" si="156"/>
        <v>197</v>
      </c>
      <c r="G101" s="1">
        <f t="shared" si="156"/>
        <v>-130</v>
      </c>
      <c r="H101" s="1">
        <f t="shared" si="156"/>
        <v>1294</v>
      </c>
      <c r="I101" s="1">
        <f t="shared" si="156"/>
        <v>-96</v>
      </c>
      <c r="J101" s="1">
        <f t="shared" si="156"/>
        <v>485</v>
      </c>
      <c r="K101" s="1">
        <f t="shared" si="156"/>
        <v>254</v>
      </c>
      <c r="L101" s="1">
        <f>L54</f>
        <v>506</v>
      </c>
      <c r="M101" s="1">
        <f>M54</f>
        <v>453</v>
      </c>
      <c r="Z101" s="1">
        <f t="shared" ref="Z101:Z104" si="157">SUM(C101:F101)</f>
        <v>-438</v>
      </c>
      <c r="AA101" s="1">
        <f t="shared" ref="AA101:AA104" si="158">SUM(G101:J101)</f>
        <v>1553</v>
      </c>
    </row>
    <row r="102" spans="2:90" s="2" customFormat="1" ht="14.25" customHeight="1">
      <c r="B102" s="2" t="s">
        <v>81</v>
      </c>
      <c r="C102" s="2">
        <v>-690</v>
      </c>
      <c r="D102" s="2">
        <v>-288</v>
      </c>
      <c r="E102" s="2">
        <v>232</v>
      </c>
      <c r="F102" s="2">
        <v>1934</v>
      </c>
      <c r="G102" s="2">
        <v>-444</v>
      </c>
      <c r="H102" s="2">
        <v>982</v>
      </c>
      <c r="I102" s="2">
        <v>1123</v>
      </c>
      <c r="J102" s="2">
        <v>922</v>
      </c>
      <c r="K102" s="2">
        <v>1160</v>
      </c>
      <c r="L102" s="2">
        <v>367</v>
      </c>
      <c r="M102" s="2">
        <f>2508-SUM(K102:L102)</f>
        <v>981</v>
      </c>
      <c r="N102" s="34"/>
      <c r="O102" s="34"/>
      <c r="P102" s="34"/>
      <c r="Q102" s="34"/>
      <c r="R102" s="34"/>
      <c r="Z102" s="2">
        <f t="shared" si="157"/>
        <v>1188</v>
      </c>
      <c r="AA102" s="2">
        <f t="shared" si="158"/>
        <v>2583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</row>
    <row r="103" spans="2:90" ht="14.25" customHeight="1">
      <c r="B103" s="1" t="s">
        <v>82</v>
      </c>
      <c r="C103" s="1">
        <v>-124</v>
      </c>
      <c r="D103" s="1">
        <v>-159</v>
      </c>
      <c r="E103" s="1">
        <v>-181</v>
      </c>
      <c r="F103" s="1">
        <v>-280</v>
      </c>
      <c r="G103" s="1">
        <v>-217</v>
      </c>
      <c r="H103" s="1">
        <v>-157</v>
      </c>
      <c r="I103" s="1">
        <v>-159</v>
      </c>
      <c r="J103" s="1">
        <v>-350</v>
      </c>
      <c r="K103" s="1">
        <v>-186</v>
      </c>
      <c r="L103" s="1">
        <v>-173</v>
      </c>
      <c r="M103" s="1">
        <v>-247</v>
      </c>
      <c r="Z103" s="1">
        <f t="shared" si="157"/>
        <v>-744</v>
      </c>
      <c r="AA103" s="1">
        <f t="shared" si="158"/>
        <v>-883</v>
      </c>
    </row>
    <row r="104" spans="2:90" s="2" customFormat="1" ht="14.25" customHeight="1">
      <c r="B104" s="2" t="s">
        <v>83</v>
      </c>
      <c r="C104" s="2">
        <f>C102+C103</f>
        <v>-814</v>
      </c>
      <c r="D104" s="2">
        <f t="shared" ref="D104:L104" si="159">D102+D103</f>
        <v>-447</v>
      </c>
      <c r="E104" s="2">
        <f t="shared" si="159"/>
        <v>51</v>
      </c>
      <c r="F104" s="2">
        <f t="shared" si="159"/>
        <v>1654</v>
      </c>
      <c r="G104" s="2">
        <f t="shared" si="159"/>
        <v>-661</v>
      </c>
      <c r="H104" s="2">
        <f t="shared" si="159"/>
        <v>825</v>
      </c>
      <c r="I104" s="2">
        <f t="shared" si="159"/>
        <v>964</v>
      </c>
      <c r="J104" s="2">
        <f t="shared" si="159"/>
        <v>572</v>
      </c>
      <c r="K104" s="2">
        <f t="shared" si="159"/>
        <v>974</v>
      </c>
      <c r="L104" s="2">
        <f t="shared" si="159"/>
        <v>194</v>
      </c>
      <c r="M104" s="2">
        <f t="shared" ref="M104" si="160">M102+M103</f>
        <v>734</v>
      </c>
      <c r="N104" s="34"/>
      <c r="O104" s="34"/>
      <c r="P104" s="34"/>
      <c r="Q104" s="34"/>
      <c r="R104" s="34"/>
      <c r="Z104" s="2">
        <f t="shared" si="157"/>
        <v>444</v>
      </c>
      <c r="AA104" s="2">
        <f t="shared" si="158"/>
        <v>1700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</row>
    <row r="105" spans="2:90" ht="14.25" customHeight="1">
      <c r="B105" s="1" t="s">
        <v>84</v>
      </c>
      <c r="C105" s="1">
        <f t="shared" ref="C105:K105" si="161">C55</f>
        <v>274</v>
      </c>
      <c r="D105" s="1">
        <f t="shared" si="161"/>
        <v>274</v>
      </c>
      <c r="E105" s="1">
        <f t="shared" si="161"/>
        <v>274</v>
      </c>
      <c r="F105" s="1">
        <f t="shared" si="161"/>
        <v>274</v>
      </c>
      <c r="G105" s="1">
        <f t="shared" si="161"/>
        <v>274</v>
      </c>
      <c r="H105" s="1">
        <f t="shared" si="161"/>
        <v>274</v>
      </c>
      <c r="I105" s="1">
        <f t="shared" si="161"/>
        <v>275</v>
      </c>
      <c r="J105" s="1">
        <f t="shared" si="161"/>
        <v>275</v>
      </c>
      <c r="K105" s="1">
        <f t="shared" si="161"/>
        <v>275</v>
      </c>
      <c r="L105" s="1">
        <f>L55</f>
        <v>272</v>
      </c>
      <c r="M105" s="1">
        <f>M55</f>
        <v>272</v>
      </c>
      <c r="Z105" s="1">
        <f>Z55</f>
        <v>274</v>
      </c>
      <c r="AA105" s="1">
        <f>AA55</f>
        <v>275</v>
      </c>
    </row>
    <row r="106" spans="2:90" ht="14.25" customHeight="1">
      <c r="B106" s="1" t="s">
        <v>85</v>
      </c>
      <c r="C106" s="39">
        <f>C104/C105</f>
        <v>-2.9708029197080292</v>
      </c>
      <c r="D106" s="39">
        <f t="shared" ref="D106:L106" si="162">D104/D105</f>
        <v>-1.6313868613138687</v>
      </c>
      <c r="E106" s="39">
        <f t="shared" si="162"/>
        <v>0.18613138686131386</v>
      </c>
      <c r="F106" s="39">
        <f t="shared" si="162"/>
        <v>6.0364963503649633</v>
      </c>
      <c r="G106" s="39">
        <f t="shared" si="162"/>
        <v>-2.4124087591240877</v>
      </c>
      <c r="H106" s="39">
        <f t="shared" si="162"/>
        <v>3.0109489051094891</v>
      </c>
      <c r="I106" s="39">
        <f t="shared" si="162"/>
        <v>3.5054545454545454</v>
      </c>
      <c r="J106" s="39">
        <f t="shared" si="162"/>
        <v>2.08</v>
      </c>
      <c r="K106" s="39">
        <f t="shared" si="162"/>
        <v>3.541818181818182</v>
      </c>
      <c r="L106" s="39">
        <f t="shared" si="162"/>
        <v>0.71323529411764708</v>
      </c>
      <c r="M106" s="39">
        <f t="shared" ref="M106" si="163">M104/M105</f>
        <v>2.6985294117647061</v>
      </c>
      <c r="Z106" s="39">
        <f>Z104/Z105</f>
        <v>1.6204379562043796</v>
      </c>
      <c r="AA106" s="39">
        <f>AA104/AA105</f>
        <v>6.1818181818181817</v>
      </c>
    </row>
    <row r="107" spans="2:90" ht="14.25" customHeight="1"/>
    <row r="108" spans="2:90" ht="14.25" customHeight="1"/>
    <row r="109" spans="2:90" ht="14.25" customHeight="1"/>
    <row r="110" spans="2:90" ht="14.25" customHeight="1"/>
    <row r="111" spans="2:90" ht="14.25" customHeight="1"/>
    <row r="112" spans="2:90" ht="14.25" customHeight="1"/>
    <row r="113" ht="14.25" customHeight="1"/>
    <row r="114" ht="14.25" customHeight="1"/>
    <row r="115" ht="14.25" customHeight="1"/>
  </sheetData>
  <mergeCells count="1">
    <mergeCell ref="AJ81:AK81"/>
  </mergeCells>
  <conditionalFormatting sqref="AJ8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Sell",AJ81)))</formula>
    </cfRule>
    <cfRule type="containsText" dxfId="3" priority="3" operator="containsText" text="Sell">
      <formula>NOT(ISERROR(SEARCH("Sell",AJ81)))</formula>
    </cfRule>
    <cfRule type="containsText" dxfId="2" priority="4" operator="containsText" text="Hold">
      <formula>NOT(ISERROR(SEARCH("Hold",AJ81)))</formula>
    </cfRule>
    <cfRule type="beginsWith" dxfId="1" priority="5" operator="beginsWith" text="Buy">
      <formula>LEFT(AJ81,LEN("Buy"))="Buy"</formula>
    </cfRule>
    <cfRule type="beginsWith" dxfId="0" priority="6" operator="beginsWith" text="Strong">
      <formula>LEFT(AJ81,LEN("Strong"))="Strong"</formula>
    </cfRule>
  </conditionalFormatting>
  <pageMargins left="0.7" right="0.7" top="0.75" bottom="0.75" header="0.3" footer="0.3"/>
  <ignoredErrors>
    <ignoredError sqref="AC10:AL10 AA11:AB11 AB12 AA13:AB13 AA12 K8:L10 G8:J10 G30:M33 C35:M37 Y35:AA37 Z30:AA33" evalError="1"/>
    <ignoredError sqref="AA4:AA5 Y6 F93:M99 Z102:AA106" formulaRange="1"/>
    <ignoredError sqref="C19:J19 C23:J23 I20 I21 I22 C27:J27 I24 I25 I26 I28 E28:F28 Z44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A1555"/>
  <sheetViews>
    <sheetView topLeftCell="H156" zoomScale="70" zoomScaleNormal="70" workbookViewId="0">
      <selection activeCell="Z158" sqref="Z158"/>
    </sheetView>
  </sheetViews>
  <sheetFormatPr defaultColWidth="9.140625" defaultRowHeight="14.25"/>
  <cols>
    <col min="1" max="7" width="0" style="1" hidden="1" customWidth="1"/>
    <col min="8" max="8" width="3.140625" style="1" customWidth="1"/>
    <col min="9" max="28" width="9.140625" style="1"/>
    <col min="29" max="29" width="2.85546875" style="1" customWidth="1"/>
    <col min="30" max="16384" width="9.140625" style="1"/>
  </cols>
  <sheetData>
    <row r="1" spans="8:79">
      <c r="CA1" s="1">
        <v>0</v>
      </c>
    </row>
    <row r="2" spans="8:79" ht="15">
      <c r="H2" s="2" t="s">
        <v>107</v>
      </c>
      <c r="AD2" s="2" t="s">
        <v>587</v>
      </c>
    </row>
    <row r="30" spans="9:10">
      <c r="I30" s="1" t="s">
        <v>15</v>
      </c>
      <c r="J30" s="1" t="s">
        <v>16</v>
      </c>
    </row>
    <row r="31" spans="9:10">
      <c r="J31" s="1" t="s">
        <v>17</v>
      </c>
    </row>
    <row r="32" spans="9:10">
      <c r="J32" s="1" t="s">
        <v>18</v>
      </c>
    </row>
    <row r="33" spans="8:30" ht="15">
      <c r="AD33" s="2" t="s">
        <v>588</v>
      </c>
    </row>
    <row r="34" spans="8:30" ht="15">
      <c r="H34" s="2" t="s">
        <v>111</v>
      </c>
      <c r="AD34" s="2" t="s">
        <v>86</v>
      </c>
    </row>
    <row r="63" spans="9:10">
      <c r="I63" s="1" t="s">
        <v>15</v>
      </c>
      <c r="J63" s="1" t="s">
        <v>16</v>
      </c>
    </row>
    <row r="64" spans="9:10">
      <c r="J64" s="1" t="s">
        <v>17</v>
      </c>
    </row>
    <row r="65" spans="8:30">
      <c r="J65" s="1" t="s">
        <v>18</v>
      </c>
    </row>
    <row r="67" spans="8:30" ht="15">
      <c r="H67" s="2" t="s">
        <v>586</v>
      </c>
      <c r="AD67" s="2" t="s">
        <v>87</v>
      </c>
    </row>
    <row r="99" spans="8:30">
      <c r="I99" s="1" t="s">
        <v>15</v>
      </c>
      <c r="J99" s="1" t="s">
        <v>16</v>
      </c>
    </row>
    <row r="100" spans="8:30">
      <c r="J100" s="1" t="s">
        <v>17</v>
      </c>
    </row>
    <row r="101" spans="8:30">
      <c r="J101" s="1" t="s">
        <v>18</v>
      </c>
    </row>
    <row r="103" spans="8:30" ht="15">
      <c r="H103" s="2" t="s">
        <v>110</v>
      </c>
      <c r="AD103" s="2" t="s">
        <v>88</v>
      </c>
    </row>
    <row r="132" spans="8:30">
      <c r="I132" s="1" t="s">
        <v>15</v>
      </c>
      <c r="J132" s="1" t="s">
        <v>16</v>
      </c>
    </row>
    <row r="133" spans="8:30">
      <c r="J133" s="1" t="s">
        <v>17</v>
      </c>
    </row>
    <row r="134" spans="8:30">
      <c r="J134" s="1" t="s">
        <v>18</v>
      </c>
    </row>
    <row r="136" spans="8:30" ht="15">
      <c r="H136" s="2" t="s">
        <v>109</v>
      </c>
      <c r="AD136" s="2" t="s">
        <v>89</v>
      </c>
    </row>
    <row r="152" ht="15" customHeight="1"/>
    <row r="165" spans="9:10">
      <c r="I165" s="1" t="s">
        <v>15</v>
      </c>
      <c r="J165" s="1" t="s">
        <v>16</v>
      </c>
    </row>
    <row r="166" spans="9:10">
      <c r="J166" s="1" t="s">
        <v>17</v>
      </c>
    </row>
    <row r="167" spans="9:10">
      <c r="J167" s="1" t="s">
        <v>18</v>
      </c>
    </row>
    <row r="183" spans="1:7">
      <c r="A183" s="1" t="s">
        <v>540</v>
      </c>
    </row>
    <row r="184" spans="1:7">
      <c r="A184" s="24" t="s">
        <v>19</v>
      </c>
      <c r="B184" s="24" t="s">
        <v>20</v>
      </c>
      <c r="C184" s="24" t="s">
        <v>21</v>
      </c>
      <c r="D184" s="24" t="s">
        <v>22</v>
      </c>
      <c r="E184" s="24" t="s">
        <v>23</v>
      </c>
      <c r="F184" s="24" t="s">
        <v>24</v>
      </c>
      <c r="G184" s="24" t="s">
        <v>25</v>
      </c>
    </row>
    <row r="185" spans="1:7">
      <c r="A185" s="58">
        <v>644.37</v>
      </c>
      <c r="B185" s="58">
        <v>648.5</v>
      </c>
      <c r="C185" s="58">
        <v>620.11</v>
      </c>
      <c r="D185" s="58">
        <v>620.11</v>
      </c>
      <c r="E185" s="58">
        <v>2508408</v>
      </c>
      <c r="F185" s="58" t="s">
        <v>167</v>
      </c>
      <c r="G185" s="25">
        <f t="shared" ref="G185:G248" si="0">A185/D185-1</f>
        <v>3.9122091241876378E-2</v>
      </c>
    </row>
    <row r="186" spans="1:7">
      <c r="A186" s="58">
        <v>624.16999999999996</v>
      </c>
      <c r="B186" s="58">
        <v>625.66</v>
      </c>
      <c r="C186" s="58">
        <v>596.50639999999999</v>
      </c>
      <c r="D186" s="58">
        <v>611.69000000000005</v>
      </c>
      <c r="E186" s="58">
        <v>4107343</v>
      </c>
      <c r="F186" s="58" t="s">
        <v>168</v>
      </c>
      <c r="G186" s="25">
        <f t="shared" si="0"/>
        <v>2.0402491458091365E-2</v>
      </c>
    </row>
    <row r="187" spans="1:7">
      <c r="A187" s="58">
        <v>611</v>
      </c>
      <c r="B187" s="58">
        <v>627.1</v>
      </c>
      <c r="C187" s="58">
        <v>611</v>
      </c>
      <c r="D187" s="58">
        <v>622.96</v>
      </c>
      <c r="E187" s="58">
        <v>2230146</v>
      </c>
      <c r="F187" s="58" t="s">
        <v>169</v>
      </c>
      <c r="G187" s="25">
        <f t="shared" si="0"/>
        <v>-1.9198664440734592E-2</v>
      </c>
    </row>
    <row r="188" spans="1:7">
      <c r="A188" s="58">
        <v>614.79</v>
      </c>
      <c r="B188" s="58">
        <v>619.11379999999997</v>
      </c>
      <c r="C188" s="58">
        <v>601.12</v>
      </c>
      <c r="D188" s="58">
        <v>616.4</v>
      </c>
      <c r="E188" s="58">
        <v>2058377</v>
      </c>
      <c r="F188" s="58" t="s">
        <v>170</v>
      </c>
      <c r="G188" s="25">
        <f t="shared" si="0"/>
        <v>-2.6119402985075313E-3</v>
      </c>
    </row>
    <row r="189" spans="1:7">
      <c r="A189" s="58">
        <v>617.91</v>
      </c>
      <c r="B189" s="58">
        <v>633.52</v>
      </c>
      <c r="C189" s="58">
        <v>608.73</v>
      </c>
      <c r="D189" s="58">
        <v>629.5</v>
      </c>
      <c r="E189" s="58">
        <v>3100923</v>
      </c>
      <c r="F189" s="58" t="s">
        <v>171</v>
      </c>
      <c r="G189" s="25">
        <f t="shared" si="0"/>
        <v>-1.841143764892772E-2</v>
      </c>
    </row>
    <row r="190" spans="1:7">
      <c r="A190" s="58">
        <v>628.67999999999995</v>
      </c>
      <c r="B190" s="58">
        <v>639.89</v>
      </c>
      <c r="C190" s="58">
        <v>624.1</v>
      </c>
      <c r="D190" s="58">
        <v>630.15</v>
      </c>
      <c r="E190" s="58">
        <v>1848495</v>
      </c>
      <c r="F190" s="58" t="s">
        <v>172</v>
      </c>
      <c r="G190" s="25">
        <f t="shared" si="0"/>
        <v>-2.3327779100215107E-3</v>
      </c>
    </row>
    <row r="191" spans="1:7">
      <c r="A191" s="58">
        <v>625.54999999999995</v>
      </c>
      <c r="B191" s="58">
        <v>646.87990000000002</v>
      </c>
      <c r="C191" s="58">
        <v>624.15</v>
      </c>
      <c r="D191" s="58">
        <v>632.12</v>
      </c>
      <c r="E191" s="58">
        <v>2638148</v>
      </c>
      <c r="F191" s="58" t="s">
        <v>173</v>
      </c>
      <c r="G191" s="25">
        <f t="shared" si="0"/>
        <v>-1.0393596152629359E-2</v>
      </c>
    </row>
    <row r="192" spans="1:7">
      <c r="A192" s="58">
        <v>634.15</v>
      </c>
      <c r="B192" s="58">
        <v>653.5</v>
      </c>
      <c r="C192" s="58">
        <v>620.1</v>
      </c>
      <c r="D192" s="58">
        <v>648.75</v>
      </c>
      <c r="E192" s="58">
        <v>4094688</v>
      </c>
      <c r="F192" s="58" t="s">
        <v>174</v>
      </c>
      <c r="G192" s="25">
        <f t="shared" si="0"/>
        <v>-2.250481695568407E-2</v>
      </c>
    </row>
    <row r="193" spans="1:17">
      <c r="A193" s="58">
        <v>643.55999999999995</v>
      </c>
      <c r="B193" s="58">
        <v>645.19000000000005</v>
      </c>
      <c r="C193" s="58">
        <v>623</v>
      </c>
      <c r="D193" s="58">
        <v>625</v>
      </c>
      <c r="E193" s="58">
        <v>3870613</v>
      </c>
      <c r="F193" s="58" t="s">
        <v>175</v>
      </c>
      <c r="G193" s="25">
        <f t="shared" si="0"/>
        <v>2.9695999999999945E-2</v>
      </c>
    </row>
    <row r="194" spans="1:17">
      <c r="A194" s="58">
        <v>605.70000000000005</v>
      </c>
      <c r="B194" s="58">
        <v>607.69000000000005</v>
      </c>
      <c r="C194" s="58">
        <v>594.77</v>
      </c>
      <c r="D194" s="58">
        <v>606.35</v>
      </c>
      <c r="E194" s="58">
        <v>1836744</v>
      </c>
      <c r="F194" s="58" t="s">
        <v>176</v>
      </c>
      <c r="G194" s="25">
        <f t="shared" si="0"/>
        <v>-1.0719881256699981E-3</v>
      </c>
    </row>
    <row r="195" spans="1:17">
      <c r="A195" s="58">
        <v>600.23</v>
      </c>
      <c r="B195" s="58">
        <v>606</v>
      </c>
      <c r="C195" s="58">
        <v>584.94010000000003</v>
      </c>
      <c r="D195" s="58">
        <v>594.41</v>
      </c>
      <c r="E195" s="58">
        <v>2466555</v>
      </c>
      <c r="F195" s="58" t="s">
        <v>177</v>
      </c>
      <c r="G195" s="25">
        <f t="shared" si="0"/>
        <v>9.7912215474169617E-3</v>
      </c>
    </row>
    <row r="196" spans="1:17">
      <c r="A196" s="58">
        <v>582.08000000000004</v>
      </c>
      <c r="B196" s="58">
        <v>604.5</v>
      </c>
      <c r="C196" s="58">
        <v>565.5</v>
      </c>
      <c r="D196" s="58">
        <v>599.96</v>
      </c>
      <c r="E196" s="58">
        <v>3469054</v>
      </c>
      <c r="F196" s="58" t="s">
        <v>178</v>
      </c>
      <c r="G196" s="25">
        <f t="shared" si="0"/>
        <v>-2.9801986799119939E-2</v>
      </c>
    </row>
    <row r="197" spans="1:17">
      <c r="A197" s="58">
        <v>598.80999999999995</v>
      </c>
      <c r="B197" s="58">
        <v>600.37</v>
      </c>
      <c r="C197" s="58">
        <v>580.05999999999995</v>
      </c>
      <c r="D197" s="58">
        <v>580.80999999999995</v>
      </c>
      <c r="E197" s="58">
        <v>3188683</v>
      </c>
      <c r="F197" s="58" t="s">
        <v>179</v>
      </c>
      <c r="G197" s="25">
        <f t="shared" si="0"/>
        <v>3.0991201942115243E-2</v>
      </c>
    </row>
    <row r="198" spans="1:17">
      <c r="A198" s="58">
        <v>577.04</v>
      </c>
      <c r="B198" s="58">
        <v>586.28499999999997</v>
      </c>
      <c r="C198" s="58">
        <v>565.42999999999995</v>
      </c>
      <c r="D198" s="58">
        <v>586.28499999999997</v>
      </c>
      <c r="E198" s="58">
        <v>3651265</v>
      </c>
      <c r="F198" s="58" t="s">
        <v>180</v>
      </c>
      <c r="G198" s="25">
        <f t="shared" si="0"/>
        <v>-1.576878139471416E-2</v>
      </c>
      <c r="I198" s="26"/>
      <c r="J198" s="26" t="s">
        <v>26</v>
      </c>
      <c r="K198" s="27">
        <f>MIN(G185:G557)</f>
        <v>-8.3109619686800973E-2</v>
      </c>
    </row>
    <row r="199" spans="1:17">
      <c r="A199" s="58">
        <v>579.67999999999995</v>
      </c>
      <c r="B199" s="58">
        <v>594</v>
      </c>
      <c r="C199" s="58">
        <v>567.86</v>
      </c>
      <c r="D199" s="58">
        <v>590.54999999999995</v>
      </c>
      <c r="E199" s="58">
        <v>5256922</v>
      </c>
      <c r="F199" s="58" t="s">
        <v>181</v>
      </c>
      <c r="G199" s="25">
        <f t="shared" si="0"/>
        <v>-1.8406570146473622E-2</v>
      </c>
      <c r="I199" s="26"/>
      <c r="J199" s="26" t="s">
        <v>27</v>
      </c>
      <c r="K199" s="27">
        <f>MAX(G185:G557)</f>
        <v>0.15394936619469668</v>
      </c>
    </row>
    <row r="200" spans="1:17">
      <c r="A200" s="58">
        <v>612.97</v>
      </c>
      <c r="B200" s="58">
        <v>634.99990000000003</v>
      </c>
      <c r="C200" s="58">
        <v>609.34</v>
      </c>
      <c r="D200" s="58">
        <v>631.86</v>
      </c>
      <c r="E200" s="58">
        <v>2263512</v>
      </c>
      <c r="F200" s="58" t="s">
        <v>182</v>
      </c>
      <c r="G200" s="25">
        <f t="shared" si="0"/>
        <v>-2.9895863007628254E-2</v>
      </c>
      <c r="I200" s="26"/>
      <c r="J200" s="26" t="s">
        <v>28</v>
      </c>
      <c r="K200" s="27">
        <f>AVERAGE(G185:G557)</f>
        <v>3.2771263464247821E-3</v>
      </c>
    </row>
    <row r="201" spans="1:17">
      <c r="A201" s="58">
        <v>633.69000000000005</v>
      </c>
      <c r="B201" s="58">
        <v>646.95000000000005</v>
      </c>
      <c r="C201" s="58">
        <v>626.78</v>
      </c>
      <c r="D201" s="58">
        <v>626.78</v>
      </c>
      <c r="E201" s="58">
        <v>2252413</v>
      </c>
      <c r="F201" s="58" t="s">
        <v>183</v>
      </c>
      <c r="G201" s="25">
        <f t="shared" si="0"/>
        <v>1.1024601933693035E-2</v>
      </c>
      <c r="I201" s="26"/>
      <c r="J201" s="26" t="s">
        <v>29</v>
      </c>
      <c r="K201" s="27">
        <f>MEDIAN(G185:G557)</f>
        <v>2.156133828996154E-3</v>
      </c>
    </row>
    <row r="202" spans="1:17" ht="15">
      <c r="A202" s="58">
        <v>622.39</v>
      </c>
      <c r="B202" s="58">
        <v>629.9348</v>
      </c>
      <c r="C202" s="58">
        <v>618</v>
      </c>
      <c r="D202" s="58">
        <v>625.22</v>
      </c>
      <c r="E202" s="58">
        <v>1844683</v>
      </c>
      <c r="F202" s="58" t="s">
        <v>184</v>
      </c>
      <c r="G202" s="25">
        <f t="shared" si="0"/>
        <v>-4.526406704839947E-3</v>
      </c>
      <c r="I202" s="26"/>
      <c r="J202" s="26" t="s">
        <v>30</v>
      </c>
      <c r="K202" s="27">
        <f>_xlfn.STDEV.P(G185:G557)</f>
        <v>2.8966480571445834E-2</v>
      </c>
      <c r="M202" s="2"/>
    </row>
    <row r="203" spans="1:17" ht="15">
      <c r="A203" s="58">
        <v>625.91</v>
      </c>
      <c r="B203" s="58">
        <v>628.58000000000004</v>
      </c>
      <c r="C203" s="58">
        <v>603.04240000000004</v>
      </c>
      <c r="D203" s="58">
        <v>603.85</v>
      </c>
      <c r="E203" s="58">
        <v>2680954</v>
      </c>
      <c r="F203" s="58" t="s">
        <v>185</v>
      </c>
      <c r="G203" s="25">
        <f t="shared" si="0"/>
        <v>3.6532251386933723E-2</v>
      </c>
      <c r="I203" s="26"/>
      <c r="J203" s="28" t="s">
        <v>31</v>
      </c>
      <c r="K203" s="27">
        <f>3*K202</f>
        <v>8.68994417143375E-2</v>
      </c>
      <c r="L203" s="26"/>
      <c r="M203" s="2" t="s">
        <v>99</v>
      </c>
    </row>
    <row r="204" spans="1:17" ht="15">
      <c r="A204" s="58">
        <v>602.30999999999995</v>
      </c>
      <c r="B204" s="58">
        <v>614.471</v>
      </c>
      <c r="C204" s="58">
        <v>597.03359999999998</v>
      </c>
      <c r="D204" s="58">
        <v>608.83000000000004</v>
      </c>
      <c r="E204" s="58">
        <v>2129951</v>
      </c>
      <c r="F204" s="58" t="s">
        <v>186</v>
      </c>
      <c r="G204" s="25">
        <f t="shared" si="0"/>
        <v>-1.0709064927812539E-2</v>
      </c>
      <c r="I204" s="26"/>
      <c r="J204" s="28" t="s">
        <v>32</v>
      </c>
      <c r="K204" s="26">
        <v>1.59</v>
      </c>
      <c r="L204" s="26"/>
      <c r="M204" s="2" t="s">
        <v>33</v>
      </c>
    </row>
    <row r="205" spans="1:17">
      <c r="A205" s="58">
        <v>607.07000000000005</v>
      </c>
      <c r="B205" s="58">
        <v>623.98</v>
      </c>
      <c r="C205" s="58">
        <v>602.5</v>
      </c>
      <c r="D205" s="58">
        <v>607.97</v>
      </c>
      <c r="E205" s="58">
        <v>2714909</v>
      </c>
      <c r="F205" s="58" t="s">
        <v>187</v>
      </c>
      <c r="G205" s="25">
        <f t="shared" si="0"/>
        <v>-1.4803362007993481E-3</v>
      </c>
    </row>
    <row r="206" spans="1:17">
      <c r="A206" s="58">
        <v>606</v>
      </c>
      <c r="B206" s="58">
        <v>620</v>
      </c>
      <c r="C206" s="58">
        <v>605.30999999999995</v>
      </c>
      <c r="D206" s="58">
        <v>607.02</v>
      </c>
      <c r="E206" s="58">
        <v>2566592</v>
      </c>
      <c r="F206" s="58" t="s">
        <v>188</v>
      </c>
      <c r="G206" s="25">
        <f t="shared" si="0"/>
        <v>-1.6803400217455522E-3</v>
      </c>
      <c r="I206" s="29" t="s">
        <v>34</v>
      </c>
      <c r="J206" s="30">
        <v>373</v>
      </c>
    </row>
    <row r="207" spans="1:17" ht="15" thickBot="1">
      <c r="A207" s="58">
        <v>604.59</v>
      </c>
      <c r="B207" s="58">
        <v>607.77</v>
      </c>
      <c r="C207" s="58">
        <v>581.23</v>
      </c>
      <c r="D207" s="58">
        <v>592.61</v>
      </c>
      <c r="E207" s="58">
        <v>3563144</v>
      </c>
      <c r="F207" s="58" t="s">
        <v>189</v>
      </c>
      <c r="G207" s="25">
        <f t="shared" si="0"/>
        <v>2.0215656165100127E-2</v>
      </c>
      <c r="I207" s="1" t="s">
        <v>35</v>
      </c>
      <c r="L207" s="1" t="s">
        <v>36</v>
      </c>
      <c r="P207" s="1" t="s">
        <v>37</v>
      </c>
    </row>
    <row r="208" spans="1:17" ht="15" customHeight="1">
      <c r="A208" s="58">
        <v>603.13</v>
      </c>
      <c r="B208" s="58">
        <v>620.98</v>
      </c>
      <c r="C208" s="58">
        <v>595.19000000000005</v>
      </c>
      <c r="D208" s="58">
        <v>620.54999999999995</v>
      </c>
      <c r="E208" s="58">
        <v>3089393</v>
      </c>
      <c r="F208" s="58" t="s">
        <v>190</v>
      </c>
      <c r="G208" s="25">
        <f t="shared" si="0"/>
        <v>-2.8071871726694009E-2</v>
      </c>
      <c r="I208" s="61" t="s">
        <v>38</v>
      </c>
      <c r="J208" s="61" t="s">
        <v>39</v>
      </c>
      <c r="L208" s="31" t="s">
        <v>40</v>
      </c>
      <c r="M208" s="32" t="s">
        <v>41</v>
      </c>
      <c r="P208" s="31" t="s">
        <v>42</v>
      </c>
      <c r="Q208" s="32" t="s">
        <v>43</v>
      </c>
    </row>
    <row r="209" spans="1:17" ht="15">
      <c r="A209" s="58">
        <v>625.02</v>
      </c>
      <c r="B209" s="58">
        <v>628.54520000000002</v>
      </c>
      <c r="C209" s="58">
        <v>614.23</v>
      </c>
      <c r="D209" s="58">
        <v>621.38</v>
      </c>
      <c r="E209" s="58">
        <v>1860413</v>
      </c>
      <c r="F209" s="58" t="s">
        <v>191</v>
      </c>
      <c r="G209" s="25">
        <f t="shared" si="0"/>
        <v>5.8579291254947652E-3</v>
      </c>
      <c r="I209" s="59">
        <v>-9.1000000000000067E-2</v>
      </c>
      <c r="J209">
        <v>0</v>
      </c>
      <c r="L209" s="57">
        <f>L210-0.001</f>
        <v>-9.2000000000000068E-2</v>
      </c>
      <c r="M209" s="1">
        <f t="shared" ref="M209:M240" si="1">_xlfn.NORM.DIST(L209,$K$200,$K$202,FALSE)</f>
        <v>6.1617671304536083E-2</v>
      </c>
      <c r="O209" s="1" t="s">
        <v>90</v>
      </c>
      <c r="P209" s="57">
        <f>K200</f>
        <v>3.2771263464247821E-3</v>
      </c>
      <c r="Q209" s="1">
        <v>0</v>
      </c>
    </row>
    <row r="210" spans="1:17" ht="15">
      <c r="A210" s="58">
        <v>621.91</v>
      </c>
      <c r="B210" s="58">
        <v>624.03</v>
      </c>
      <c r="C210" s="58">
        <v>607.86</v>
      </c>
      <c r="D210" s="58">
        <v>624.03</v>
      </c>
      <c r="E210" s="58">
        <v>2488202</v>
      </c>
      <c r="F210" s="58" t="s">
        <v>192</v>
      </c>
      <c r="G210" s="25">
        <f t="shared" si="0"/>
        <v>-3.3972725670240456E-3</v>
      </c>
      <c r="I210" s="59">
        <v>-9.0000000000000066E-2</v>
      </c>
      <c r="J210">
        <v>0</v>
      </c>
      <c r="L210" s="57">
        <f t="shared" ref="L210:L212" si="2">L211-0.001</f>
        <v>-9.1000000000000067E-2</v>
      </c>
      <c r="M210" s="1">
        <f t="shared" si="1"/>
        <v>6.8986126651079865E-2</v>
      </c>
      <c r="P210" s="57">
        <f>K200</f>
        <v>3.2771263464247821E-3</v>
      </c>
      <c r="Q210" s="1">
        <v>13.75</v>
      </c>
    </row>
    <row r="211" spans="1:17" ht="15">
      <c r="A211" s="58">
        <v>625.27</v>
      </c>
      <c r="B211" s="58">
        <v>640.2799</v>
      </c>
      <c r="C211" s="58">
        <v>620.28</v>
      </c>
      <c r="D211" s="58">
        <v>627</v>
      </c>
      <c r="E211" s="58">
        <v>2534442</v>
      </c>
      <c r="F211" s="58" t="s">
        <v>193</v>
      </c>
      <c r="G211" s="25">
        <f t="shared" si="0"/>
        <v>-2.7591706539075167E-3</v>
      </c>
      <c r="I211" s="59">
        <v>-8.9000000000000065E-2</v>
      </c>
      <c r="J211">
        <v>0</v>
      </c>
      <c r="L211" s="57">
        <f t="shared" si="2"/>
        <v>-9.0000000000000066E-2</v>
      </c>
      <c r="M211" s="1">
        <f t="shared" si="1"/>
        <v>7.7143731703207041E-2</v>
      </c>
      <c r="O211" s="38" t="s">
        <v>91</v>
      </c>
      <c r="P211" s="57">
        <f>($K$202*-3)+$K$200</f>
        <v>-8.3622315367912717E-2</v>
      </c>
      <c r="Q211" s="1">
        <v>0</v>
      </c>
    </row>
    <row r="212" spans="1:17" ht="15">
      <c r="A212" s="58">
        <v>634.30999999999995</v>
      </c>
      <c r="B212" s="58">
        <v>666.15</v>
      </c>
      <c r="C212" s="58">
        <v>614.23</v>
      </c>
      <c r="D212" s="58">
        <v>662.32</v>
      </c>
      <c r="E212" s="58">
        <v>3936413</v>
      </c>
      <c r="F212" s="58" t="s">
        <v>194</v>
      </c>
      <c r="G212" s="25">
        <f t="shared" si="0"/>
        <v>-4.2290735596086648E-2</v>
      </c>
      <c r="I212" s="59">
        <v>-8.8000000000000064E-2</v>
      </c>
      <c r="J212">
        <v>0</v>
      </c>
      <c r="L212" s="57">
        <f t="shared" si="2"/>
        <v>-8.9000000000000065E-2</v>
      </c>
      <c r="M212" s="1">
        <f t="shared" si="1"/>
        <v>8.6163221265048967E-2</v>
      </c>
      <c r="O212" s="39"/>
      <c r="P212" s="57">
        <f>($K$202*-3)+$K$200</f>
        <v>-8.3622315367912717E-2</v>
      </c>
      <c r="Q212" s="1">
        <v>1</v>
      </c>
    </row>
    <row r="213" spans="1:17" ht="15">
      <c r="A213" s="58">
        <v>657.44</v>
      </c>
      <c r="B213" s="58">
        <v>662.83510000000001</v>
      </c>
      <c r="C213" s="58">
        <v>651</v>
      </c>
      <c r="D213" s="58">
        <v>652.74</v>
      </c>
      <c r="E213" s="58">
        <v>1804875</v>
      </c>
      <c r="F213" s="58" t="s">
        <v>195</v>
      </c>
      <c r="G213" s="25">
        <f t="shared" si="0"/>
        <v>7.2004167049668499E-3</v>
      </c>
      <c r="I213" s="59">
        <v>-8.7000000000000063E-2</v>
      </c>
      <c r="J213">
        <v>0</v>
      </c>
      <c r="L213" s="57">
        <f t="shared" ref="L213:L221" si="3">L214-0.001</f>
        <v>-8.8000000000000064E-2</v>
      </c>
      <c r="M213" s="1">
        <f t="shared" si="1"/>
        <v>9.6122622763781196E-2</v>
      </c>
      <c r="O213" s="38" t="s">
        <v>92</v>
      </c>
      <c r="P213" s="57">
        <f>($K$202*-2)+$K$200</f>
        <v>-5.4655834796466886E-2</v>
      </c>
      <c r="Q213" s="1">
        <v>0</v>
      </c>
    </row>
    <row r="214" spans="1:17" ht="15">
      <c r="A214" s="58">
        <v>650.76</v>
      </c>
      <c r="B214" s="58">
        <v>653.41999999999996</v>
      </c>
      <c r="C214" s="58">
        <v>637.37</v>
      </c>
      <c r="D214" s="58">
        <v>641</v>
      </c>
      <c r="E214" s="58">
        <v>1687604</v>
      </c>
      <c r="F214" s="58" t="s">
        <v>196</v>
      </c>
      <c r="G214" s="25">
        <f t="shared" si="0"/>
        <v>1.5226209048361916E-2</v>
      </c>
      <c r="I214" s="59">
        <v>-8.6000000000000063E-2</v>
      </c>
      <c r="J214">
        <v>0</v>
      </c>
      <c r="L214" s="57">
        <f t="shared" si="3"/>
        <v>-8.7000000000000063E-2</v>
      </c>
      <c r="M214" s="1">
        <f t="shared" si="1"/>
        <v>0.10710548183142093</v>
      </c>
      <c r="O214" s="39"/>
      <c r="P214" s="57">
        <f>($K$202*-2)+$K$200</f>
        <v>-5.4655834796466886E-2</v>
      </c>
      <c r="Q214" s="1">
        <v>4</v>
      </c>
    </row>
    <row r="215" spans="1:17" ht="15">
      <c r="A215" s="58">
        <v>649.09</v>
      </c>
      <c r="B215" s="58">
        <v>656.25</v>
      </c>
      <c r="C215" s="58">
        <v>639.17010000000005</v>
      </c>
      <c r="D215" s="58">
        <v>655.23</v>
      </c>
      <c r="E215" s="58">
        <v>1888714</v>
      </c>
      <c r="F215" s="58" t="s">
        <v>197</v>
      </c>
      <c r="G215" s="25">
        <f t="shared" si="0"/>
        <v>-9.3707553072966965E-3</v>
      </c>
      <c r="I215" s="59">
        <v>-8.5000000000000062E-2</v>
      </c>
      <c r="J215">
        <v>0</v>
      </c>
      <c r="L215" s="57">
        <f t="shared" si="3"/>
        <v>-8.6000000000000063E-2</v>
      </c>
      <c r="M215" s="1">
        <f t="shared" si="1"/>
        <v>0.11920107937651553</v>
      </c>
      <c r="O215" s="40" t="s">
        <v>93</v>
      </c>
      <c r="P215" s="57">
        <f>($K$202*-1)+$K$200</f>
        <v>-2.5689354225021051E-2</v>
      </c>
      <c r="Q215" s="1">
        <v>0</v>
      </c>
    </row>
    <row r="216" spans="1:17" ht="15">
      <c r="A216" s="58">
        <v>645.86</v>
      </c>
      <c r="B216" s="58">
        <v>669.3827</v>
      </c>
      <c r="C216" s="58">
        <v>638.52</v>
      </c>
      <c r="D216" s="58">
        <v>665.77</v>
      </c>
      <c r="E216" s="58">
        <v>2239865</v>
      </c>
      <c r="F216" s="58" t="s">
        <v>198</v>
      </c>
      <c r="G216" s="25">
        <f t="shared" si="0"/>
        <v>-2.9905222524295172E-2</v>
      </c>
      <c r="I216" s="59">
        <v>-8.4000000000000061E-2</v>
      </c>
      <c r="J216">
        <v>0</v>
      </c>
      <c r="L216" s="57">
        <f t="shared" si="3"/>
        <v>-8.5000000000000062E-2</v>
      </c>
      <c r="M216" s="1">
        <f t="shared" si="1"/>
        <v>0.13250463752451974</v>
      </c>
      <c r="P216" s="57">
        <f>($K$202*-1)+$K$200</f>
        <v>-2.5689354225021051E-2</v>
      </c>
      <c r="Q216" s="1">
        <v>8.5</v>
      </c>
    </row>
    <row r="217" spans="1:17" ht="15">
      <c r="A217" s="58">
        <v>664.55</v>
      </c>
      <c r="B217" s="58">
        <v>666.29</v>
      </c>
      <c r="C217" s="58">
        <v>644</v>
      </c>
      <c r="D217" s="58">
        <v>646.63</v>
      </c>
      <c r="E217" s="58">
        <v>1894867</v>
      </c>
      <c r="F217" s="58" t="s">
        <v>199</v>
      </c>
      <c r="G217" s="25">
        <f t="shared" si="0"/>
        <v>2.7712911556840858E-2</v>
      </c>
      <c r="I217" s="59">
        <v>-8.300000000000006E-2</v>
      </c>
      <c r="J217">
        <v>1</v>
      </c>
      <c r="L217" s="57">
        <f t="shared" si="3"/>
        <v>-8.4000000000000061E-2</v>
      </c>
      <c r="M217" s="1">
        <f t="shared" si="1"/>
        <v>0.14711751160259043</v>
      </c>
      <c r="O217" s="1" t="s">
        <v>94</v>
      </c>
      <c r="P217" s="57">
        <f>($K$202*1)+$K$200</f>
        <v>3.2243606917870614E-2</v>
      </c>
      <c r="Q217" s="1">
        <v>0</v>
      </c>
    </row>
    <row r="218" spans="1:17" ht="15" customHeight="1">
      <c r="A218" s="58">
        <v>649.72</v>
      </c>
      <c r="B218" s="58">
        <v>665.11</v>
      </c>
      <c r="C218" s="58">
        <v>643.96</v>
      </c>
      <c r="D218" s="58">
        <v>661.24</v>
      </c>
      <c r="E218" s="58">
        <v>2180246</v>
      </c>
      <c r="F218" s="58" t="s">
        <v>200</v>
      </c>
      <c r="G218" s="25">
        <f t="shared" si="0"/>
        <v>-1.7421813562397914E-2</v>
      </c>
      <c r="I218" s="59">
        <v>-8.2000000000000059E-2</v>
      </c>
      <c r="J218">
        <v>0</v>
      </c>
      <c r="L218" s="57">
        <f t="shared" si="3"/>
        <v>-8.300000000000006E-2</v>
      </c>
      <c r="M218" s="1">
        <f t="shared" si="1"/>
        <v>0.16314736514668465</v>
      </c>
      <c r="P218" s="57">
        <f>($K$202*1)+$K$200</f>
        <v>3.2243606917870614E-2</v>
      </c>
      <c r="Q218" s="1">
        <v>8.5</v>
      </c>
    </row>
    <row r="219" spans="1:17" ht="15">
      <c r="A219" s="58">
        <v>662.77</v>
      </c>
      <c r="B219" s="58">
        <v>674.97</v>
      </c>
      <c r="C219" s="58">
        <v>653.95000000000005</v>
      </c>
      <c r="D219" s="58">
        <v>659.36</v>
      </c>
      <c r="E219" s="58">
        <v>2155916</v>
      </c>
      <c r="F219" s="58" t="s">
        <v>201</v>
      </c>
      <c r="G219" s="25">
        <f t="shared" si="0"/>
        <v>5.1716816306721647E-3</v>
      </c>
      <c r="I219" s="59">
        <v>-8.1000000000000058E-2</v>
      </c>
      <c r="J219">
        <v>0</v>
      </c>
      <c r="L219" s="57">
        <f t="shared" si="3"/>
        <v>-8.2000000000000059E-2</v>
      </c>
      <c r="M219" s="1">
        <f t="shared" si="1"/>
        <v>0.18070832471901777</v>
      </c>
      <c r="O219" s="41" t="s">
        <v>95</v>
      </c>
      <c r="P219" s="57">
        <f>($K$202*2)+$K$200</f>
        <v>6.1210087489316452E-2</v>
      </c>
      <c r="Q219" s="1">
        <v>0</v>
      </c>
    </row>
    <row r="220" spans="1:17" ht="15">
      <c r="A220" s="58">
        <v>656.5</v>
      </c>
      <c r="B220" s="58">
        <v>664.26</v>
      </c>
      <c r="C220" s="58">
        <v>632.46</v>
      </c>
      <c r="D220" s="58">
        <v>638.17999999999995</v>
      </c>
      <c r="E220" s="58">
        <v>3077392</v>
      </c>
      <c r="F220" s="58" t="s">
        <v>202</v>
      </c>
      <c r="G220" s="25">
        <f t="shared" si="0"/>
        <v>2.8706634491836303E-2</v>
      </c>
      <c r="I220" s="59">
        <v>-8.0000000000000057E-2</v>
      </c>
      <c r="J220">
        <v>0</v>
      </c>
      <c r="L220" s="57">
        <f t="shared" si="3"/>
        <v>-8.1000000000000058E-2</v>
      </c>
      <c r="M220" s="1">
        <f t="shared" si="1"/>
        <v>0.1999211111452065</v>
      </c>
      <c r="P220" s="57">
        <f>($K$202*2)+$K$200</f>
        <v>6.1210087489316452E-2</v>
      </c>
      <c r="Q220" s="1">
        <v>4</v>
      </c>
    </row>
    <row r="221" spans="1:17" ht="15">
      <c r="A221" s="58">
        <v>660.29</v>
      </c>
      <c r="B221" s="58">
        <v>677.28989999999999</v>
      </c>
      <c r="C221" s="58">
        <v>656.07</v>
      </c>
      <c r="D221" s="58">
        <v>660</v>
      </c>
      <c r="E221" s="58">
        <v>3343017</v>
      </c>
      <c r="F221" s="58" t="s">
        <v>203</v>
      </c>
      <c r="G221" s="25">
        <f t="shared" si="0"/>
        <v>4.3939393939385063E-4</v>
      </c>
      <c r="I221" s="59">
        <v>-7.9000000000000056E-2</v>
      </c>
      <c r="J221">
        <v>1</v>
      </c>
      <c r="L221" s="57">
        <f t="shared" si="3"/>
        <v>-8.0000000000000057E-2</v>
      </c>
      <c r="M221" s="1">
        <f t="shared" si="1"/>
        <v>0.22091314361600509</v>
      </c>
      <c r="O221" s="41" t="s">
        <v>96</v>
      </c>
      <c r="P221" s="57">
        <f>($K$202*3)+$K$200</f>
        <v>9.0176568060762283E-2</v>
      </c>
      <c r="Q221" s="1">
        <v>0</v>
      </c>
    </row>
    <row r="222" spans="1:17" ht="15">
      <c r="A222" s="58">
        <v>655</v>
      </c>
      <c r="B222" s="58">
        <v>656.17</v>
      </c>
      <c r="C222" s="58">
        <v>635.16999999999996</v>
      </c>
      <c r="D222" s="58">
        <v>639.95000000000005</v>
      </c>
      <c r="E222" s="58">
        <v>2699556</v>
      </c>
      <c r="F222" s="58" t="s">
        <v>204</v>
      </c>
      <c r="G222" s="25">
        <f t="shared" si="0"/>
        <v>2.3517462301742231E-2</v>
      </c>
      <c r="I222" s="59">
        <v>-7.8000000000000055E-2</v>
      </c>
      <c r="J222">
        <v>0</v>
      </c>
      <c r="L222" s="57">
        <f t="shared" ref="L222:L245" si="4">L223-0.001</f>
        <v>-7.9000000000000056E-2</v>
      </c>
      <c r="M222" s="1">
        <f t="shared" si="1"/>
        <v>0.2438186129518804</v>
      </c>
      <c r="O222" s="41"/>
      <c r="P222" s="57">
        <f>($K$202*3)+$K$200</f>
        <v>9.0176568060762283E-2</v>
      </c>
      <c r="Q222" s="1">
        <v>1</v>
      </c>
    </row>
    <row r="223" spans="1:17" ht="15">
      <c r="A223" s="58">
        <v>632.66999999999996</v>
      </c>
      <c r="B223" s="58">
        <v>655.65</v>
      </c>
      <c r="C223" s="58">
        <v>629.99</v>
      </c>
      <c r="D223" s="58">
        <v>646.99</v>
      </c>
      <c r="E223" s="58">
        <v>2745930</v>
      </c>
      <c r="F223" s="58" t="s">
        <v>205</v>
      </c>
      <c r="G223" s="25">
        <f t="shared" si="0"/>
        <v>-2.213326326527465E-2</v>
      </c>
      <c r="I223" s="59">
        <v>-7.7000000000000055E-2</v>
      </c>
      <c r="J223">
        <v>0</v>
      </c>
      <c r="L223" s="57">
        <f t="shared" si="4"/>
        <v>-7.8000000000000055E-2</v>
      </c>
      <c r="M223" s="1">
        <f t="shared" si="1"/>
        <v>0.26877852020333309</v>
      </c>
    </row>
    <row r="224" spans="1:17" ht="15">
      <c r="A224" s="58">
        <v>647.66</v>
      </c>
      <c r="B224" s="58">
        <v>648.51779999999997</v>
      </c>
      <c r="C224" s="58">
        <v>631.16</v>
      </c>
      <c r="D224" s="58">
        <v>638.26</v>
      </c>
      <c r="E224" s="58">
        <v>2885894</v>
      </c>
      <c r="F224" s="58" t="s">
        <v>206</v>
      </c>
      <c r="G224" s="25">
        <f t="shared" si="0"/>
        <v>1.4727540500736325E-2</v>
      </c>
      <c r="I224" s="59">
        <v>-7.6000000000000054E-2</v>
      </c>
      <c r="J224">
        <v>0</v>
      </c>
      <c r="L224" s="57">
        <f t="shared" si="4"/>
        <v>-7.7000000000000055E-2</v>
      </c>
      <c r="M224" s="1">
        <f t="shared" si="1"/>
        <v>0.29594067665954826</v>
      </c>
    </row>
    <row r="225" spans="1:13" ht="15">
      <c r="A225" s="58">
        <v>644.59</v>
      </c>
      <c r="B225" s="58">
        <v>651.22</v>
      </c>
      <c r="C225" s="58">
        <v>626</v>
      </c>
      <c r="D225" s="58">
        <v>630</v>
      </c>
      <c r="E225" s="58">
        <v>3588432</v>
      </c>
      <c r="F225" s="58" t="s">
        <v>207</v>
      </c>
      <c r="G225" s="25">
        <f t="shared" si="0"/>
        <v>2.3158730158730156E-2</v>
      </c>
      <c r="I225" s="59">
        <v>-7.5000000000000053E-2</v>
      </c>
      <c r="J225">
        <v>0</v>
      </c>
      <c r="L225" s="57">
        <f t="shared" si="4"/>
        <v>-7.6000000000000054E-2</v>
      </c>
      <c r="M225" s="1">
        <f t="shared" si="1"/>
        <v>0.32545966126641712</v>
      </c>
    </row>
    <row r="226" spans="1:13" ht="15">
      <c r="A226" s="58">
        <v>623.97</v>
      </c>
      <c r="B226" s="58">
        <v>633.07000000000005</v>
      </c>
      <c r="C226" s="58">
        <v>615.29999999999995</v>
      </c>
      <c r="D226" s="58">
        <v>632.27</v>
      </c>
      <c r="E226" s="58">
        <v>3918587</v>
      </c>
      <c r="F226" s="58" t="s">
        <v>208</v>
      </c>
      <c r="G226" s="25">
        <f t="shared" si="0"/>
        <v>-1.3127303209071961E-2</v>
      </c>
      <c r="I226" s="59">
        <v>-7.4000000000000052E-2</v>
      </c>
      <c r="J226">
        <v>0</v>
      </c>
      <c r="L226" s="57">
        <f t="shared" si="4"/>
        <v>-7.5000000000000053E-2</v>
      </c>
      <c r="M226" s="1">
        <f t="shared" si="1"/>
        <v>0.357496731416034</v>
      </c>
    </row>
    <row r="227" spans="1:13" ht="15">
      <c r="A227" s="58">
        <v>629.03</v>
      </c>
      <c r="B227" s="58">
        <v>633.72</v>
      </c>
      <c r="C227" s="58">
        <v>585</v>
      </c>
      <c r="D227" s="58">
        <v>595.75</v>
      </c>
      <c r="E227" s="58">
        <v>7081275</v>
      </c>
      <c r="F227" s="58" t="s">
        <v>209</v>
      </c>
      <c r="G227" s="25">
        <f t="shared" si="0"/>
        <v>5.5862358371800314E-2</v>
      </c>
      <c r="I227" s="59">
        <v>-7.3000000000000051E-2</v>
      </c>
      <c r="J227">
        <v>1</v>
      </c>
      <c r="L227" s="57">
        <f t="shared" si="4"/>
        <v>-7.4000000000000052E-2</v>
      </c>
      <c r="M227" s="1">
        <f t="shared" si="1"/>
        <v>0.39221968306719862</v>
      </c>
    </row>
    <row r="228" spans="1:13" ht="15">
      <c r="A228" s="58">
        <v>548.99</v>
      </c>
      <c r="B228" s="58">
        <v>558.51</v>
      </c>
      <c r="C228" s="58">
        <v>537.15499999999997</v>
      </c>
      <c r="D228" s="58">
        <v>558.51</v>
      </c>
      <c r="E228" s="58">
        <v>3920008</v>
      </c>
      <c r="F228" s="58" t="s">
        <v>210</v>
      </c>
      <c r="G228" s="25">
        <f t="shared" si="0"/>
        <v>-1.7045352813736536E-2</v>
      </c>
      <c r="I228" s="59">
        <v>-7.200000000000005E-2</v>
      </c>
      <c r="J228">
        <v>0</v>
      </c>
      <c r="L228" s="57">
        <f t="shared" si="4"/>
        <v>-7.3000000000000051E-2</v>
      </c>
      <c r="M228" s="1">
        <f t="shared" si="1"/>
        <v>0.42980265619401842</v>
      </c>
    </row>
    <row r="229" spans="1:13" ht="15">
      <c r="A229" s="58">
        <v>565.91</v>
      </c>
      <c r="B229" s="58">
        <v>577.625</v>
      </c>
      <c r="C229" s="58">
        <v>564.66</v>
      </c>
      <c r="D229" s="58">
        <v>576.14</v>
      </c>
      <c r="E229" s="58">
        <v>2140812</v>
      </c>
      <c r="F229" s="58" t="s">
        <v>211</v>
      </c>
      <c r="G229" s="25">
        <f t="shared" si="0"/>
        <v>-1.7756100947686315E-2</v>
      </c>
      <c r="I229" s="59">
        <v>-7.1000000000000049E-2</v>
      </c>
      <c r="J229">
        <v>0</v>
      </c>
      <c r="L229" s="57">
        <f t="shared" si="4"/>
        <v>-7.200000000000005E-2</v>
      </c>
      <c r="M229" s="1">
        <f t="shared" si="1"/>
        <v>0.47042588164095156</v>
      </c>
    </row>
    <row r="230" spans="1:13" ht="15">
      <c r="A230" s="58">
        <v>574.6</v>
      </c>
      <c r="B230" s="58">
        <v>579.02499999999998</v>
      </c>
      <c r="C230" s="58">
        <v>567.00009999999997</v>
      </c>
      <c r="D230" s="58">
        <v>570.61</v>
      </c>
      <c r="E230" s="58">
        <v>2037428</v>
      </c>
      <c r="F230" s="58" t="s">
        <v>212</v>
      </c>
      <c r="G230" s="25">
        <f t="shared" si="0"/>
        <v>6.992516780287783E-3</v>
      </c>
      <c r="I230" s="59">
        <v>-7.0000000000000048E-2</v>
      </c>
      <c r="J230">
        <v>0</v>
      </c>
      <c r="L230" s="57">
        <f t="shared" si="4"/>
        <v>-7.1000000000000049E-2</v>
      </c>
      <c r="M230" s="1">
        <f t="shared" si="1"/>
        <v>0.51427536559103171</v>
      </c>
    </row>
    <row r="231" spans="1:13" ht="15">
      <c r="A231" s="58">
        <v>570.16999999999996</v>
      </c>
      <c r="B231" s="58">
        <v>581.26499999999999</v>
      </c>
      <c r="C231" s="58">
        <v>566.22</v>
      </c>
      <c r="D231" s="58">
        <v>568.65</v>
      </c>
      <c r="E231" s="58">
        <v>2555861</v>
      </c>
      <c r="F231" s="58" t="s">
        <v>213</v>
      </c>
      <c r="G231" s="25">
        <f t="shared" si="0"/>
        <v>2.6729974501011888E-3</v>
      </c>
      <c r="I231" s="59">
        <v>-6.9000000000000047E-2</v>
      </c>
      <c r="J231">
        <v>1</v>
      </c>
      <c r="L231" s="57">
        <f t="shared" si="4"/>
        <v>-7.0000000000000048E-2</v>
      </c>
      <c r="M231" s="1">
        <f t="shared" si="1"/>
        <v>0.56154250803269223</v>
      </c>
    </row>
    <row r="232" spans="1:13" ht="15">
      <c r="A232" s="58">
        <v>561.16999999999996</v>
      </c>
      <c r="B232" s="58">
        <v>566.51990000000001</v>
      </c>
      <c r="C232" s="58">
        <v>552.00009999999997</v>
      </c>
      <c r="D232" s="58">
        <v>559.62</v>
      </c>
      <c r="E232" s="58">
        <v>1948691</v>
      </c>
      <c r="F232" s="58" t="s">
        <v>214</v>
      </c>
      <c r="G232" s="25">
        <f t="shared" si="0"/>
        <v>2.7697366069832086E-3</v>
      </c>
      <c r="I232" s="59">
        <v>-6.8000000000000047E-2</v>
      </c>
      <c r="J232">
        <v>0</v>
      </c>
      <c r="L232" s="57">
        <f t="shared" si="4"/>
        <v>-6.9000000000000047E-2</v>
      </c>
      <c r="M232" s="1">
        <f t="shared" si="1"/>
        <v>0.61242365184241709</v>
      </c>
    </row>
    <row r="233" spans="1:13" ht="15">
      <c r="A233" s="58">
        <v>559.61</v>
      </c>
      <c r="B233" s="58">
        <v>560.63</v>
      </c>
      <c r="C233" s="58">
        <v>545.49</v>
      </c>
      <c r="D233" s="58">
        <v>556.80999999999995</v>
      </c>
      <c r="E233" s="58">
        <v>2527032</v>
      </c>
      <c r="F233" s="58" t="s">
        <v>215</v>
      </c>
      <c r="G233" s="25">
        <f t="shared" si="0"/>
        <v>5.0286453188701508E-3</v>
      </c>
      <c r="I233" s="59">
        <v>-6.7000000000000046E-2</v>
      </c>
      <c r="J233">
        <v>0</v>
      </c>
      <c r="L233" s="57">
        <f t="shared" si="4"/>
        <v>-6.8000000000000047E-2</v>
      </c>
      <c r="M233" s="1">
        <f t="shared" si="1"/>
        <v>0.66711955938785805</v>
      </c>
    </row>
    <row r="234" spans="1:13" ht="15">
      <c r="A234" s="58">
        <v>555.04</v>
      </c>
      <c r="B234" s="58">
        <v>555.85500000000002</v>
      </c>
      <c r="C234" s="58">
        <v>540</v>
      </c>
      <c r="D234" s="58">
        <v>541.45000000000005</v>
      </c>
      <c r="E234" s="58">
        <v>2246488</v>
      </c>
      <c r="F234" s="58" t="s">
        <v>216</v>
      </c>
      <c r="G234" s="25">
        <f t="shared" si="0"/>
        <v>2.5099270477421554E-2</v>
      </c>
      <c r="I234" s="59">
        <v>-6.6000000000000045E-2</v>
      </c>
      <c r="J234">
        <v>0</v>
      </c>
      <c r="L234" s="57">
        <f t="shared" si="4"/>
        <v>-6.7000000000000046E-2</v>
      </c>
      <c r="M234" s="1">
        <f t="shared" si="1"/>
        <v>0.72583481390102655</v>
      </c>
    </row>
    <row r="235" spans="1:13" ht="15">
      <c r="A235" s="58">
        <v>539.16</v>
      </c>
      <c r="B235" s="58">
        <v>546.65</v>
      </c>
      <c r="C235" s="58">
        <v>534.66999999999996</v>
      </c>
      <c r="D235" s="58">
        <v>538</v>
      </c>
      <c r="E235" s="58">
        <v>2276817</v>
      </c>
      <c r="F235" s="58" t="s">
        <v>217</v>
      </c>
      <c r="G235" s="25">
        <f t="shared" si="0"/>
        <v>2.156133828996154E-3</v>
      </c>
      <c r="I235" s="59">
        <v>-6.5000000000000044E-2</v>
      </c>
      <c r="J235">
        <v>1</v>
      </c>
      <c r="L235" s="57">
        <f t="shared" si="4"/>
        <v>-6.6000000000000045E-2</v>
      </c>
      <c r="M235" s="1">
        <f t="shared" si="1"/>
        <v>0.78877714327521653</v>
      </c>
    </row>
    <row r="236" spans="1:13" ht="15">
      <c r="A236" s="58">
        <v>539.36</v>
      </c>
      <c r="B236" s="58">
        <v>542.37</v>
      </c>
      <c r="C236" s="58">
        <v>520</v>
      </c>
      <c r="D236" s="58">
        <v>539.04</v>
      </c>
      <c r="E236" s="58">
        <v>2504270</v>
      </c>
      <c r="F236" s="58" t="s">
        <v>218</v>
      </c>
      <c r="G236" s="25">
        <f t="shared" si="0"/>
        <v>5.936479667558725E-4</v>
      </c>
      <c r="I236" s="59">
        <v>-6.4000000000000043E-2</v>
      </c>
      <c r="J236">
        <v>0</v>
      </c>
      <c r="L236" s="57">
        <f t="shared" si="4"/>
        <v>-6.5000000000000044E-2</v>
      </c>
      <c r="M236" s="1">
        <f t="shared" si="1"/>
        <v>0.85615666440323424</v>
      </c>
    </row>
    <row r="237" spans="1:13" ht="15">
      <c r="A237" s="58">
        <v>535.77</v>
      </c>
      <c r="B237" s="58">
        <v>545.63</v>
      </c>
      <c r="C237" s="58">
        <v>530</v>
      </c>
      <c r="D237" s="58">
        <v>535.55999999999995</v>
      </c>
      <c r="E237" s="58">
        <v>2200907</v>
      </c>
      <c r="F237" s="58" t="s">
        <v>219</v>
      </c>
      <c r="G237" s="25">
        <f t="shared" si="0"/>
        <v>3.9211292852359136E-4</v>
      </c>
      <c r="I237" s="59">
        <v>-6.3000000000000042E-2</v>
      </c>
      <c r="J237">
        <v>0</v>
      </c>
      <c r="L237" s="57">
        <f t="shared" si="4"/>
        <v>-6.4000000000000043E-2</v>
      </c>
      <c r="M237" s="1">
        <f t="shared" si="1"/>
        <v>0.92818504669856561</v>
      </c>
    </row>
    <row r="238" spans="1:13" ht="15">
      <c r="A238" s="58">
        <v>530</v>
      </c>
      <c r="B238" s="58">
        <v>537.22</v>
      </c>
      <c r="C238" s="58">
        <v>511.50009999999997</v>
      </c>
      <c r="D238" s="58">
        <v>535</v>
      </c>
      <c r="E238" s="58">
        <v>3107622</v>
      </c>
      <c r="F238" s="58" t="s">
        <v>220</v>
      </c>
      <c r="G238" s="25">
        <f t="shared" si="0"/>
        <v>-9.3457943925233655E-3</v>
      </c>
      <c r="I238" s="59">
        <v>-6.2000000000000048E-2</v>
      </c>
      <c r="J238">
        <v>0</v>
      </c>
      <c r="L238" s="57">
        <f t="shared" si="4"/>
        <v>-6.3000000000000042E-2</v>
      </c>
      <c r="M238" s="1">
        <f t="shared" si="1"/>
        <v>1.0050745940247316</v>
      </c>
    </row>
    <row r="239" spans="1:13" ht="15">
      <c r="A239" s="58">
        <v>530.28</v>
      </c>
      <c r="B239" s="58">
        <v>531.19000000000005</v>
      </c>
      <c r="C239" s="58">
        <v>514.08000000000004</v>
      </c>
      <c r="D239" s="58">
        <v>520</v>
      </c>
      <c r="E239" s="58">
        <v>2261071</v>
      </c>
      <c r="F239" s="58" t="s">
        <v>221</v>
      </c>
      <c r="G239" s="25">
        <f t="shared" si="0"/>
        <v>1.9769230769230761E-2</v>
      </c>
      <c r="I239" s="59">
        <v>-6.1000000000000047E-2</v>
      </c>
      <c r="J239">
        <v>0</v>
      </c>
      <c r="L239" s="57">
        <f t="shared" si="4"/>
        <v>-6.2000000000000048E-2</v>
      </c>
      <c r="M239" s="1">
        <f t="shared" si="1"/>
        <v>1.0870372448999366</v>
      </c>
    </row>
    <row r="240" spans="1:13" ht="15">
      <c r="A240" s="58">
        <v>517.04</v>
      </c>
      <c r="B240" s="58">
        <v>519.71</v>
      </c>
      <c r="C240" s="58">
        <v>506.02</v>
      </c>
      <c r="D240" s="58">
        <v>511.74</v>
      </c>
      <c r="E240" s="58">
        <v>1809056</v>
      </c>
      <c r="F240" s="58" t="s">
        <v>222</v>
      </c>
      <c r="G240" s="25">
        <f t="shared" si="0"/>
        <v>1.0356821823582107E-2</v>
      </c>
      <c r="I240" s="59">
        <v>-6.0000000000000046E-2</v>
      </c>
      <c r="J240">
        <v>0</v>
      </c>
      <c r="L240" s="57">
        <f t="shared" si="4"/>
        <v>-6.1000000000000047E-2</v>
      </c>
      <c r="M240" s="1">
        <f t="shared" si="1"/>
        <v>1.1742834915421416</v>
      </c>
    </row>
    <row r="241" spans="1:13" ht="15">
      <c r="A241" s="58">
        <v>505.07</v>
      </c>
      <c r="B241" s="58">
        <v>511.52</v>
      </c>
      <c r="C241" s="58">
        <v>497.3</v>
      </c>
      <c r="D241" s="58">
        <v>502.58</v>
      </c>
      <c r="E241" s="58">
        <v>3386978</v>
      </c>
      <c r="F241" s="58" t="s">
        <v>223</v>
      </c>
      <c r="G241" s="25">
        <f t="shared" si="0"/>
        <v>4.9544351148076426E-3</v>
      </c>
      <c r="I241" s="59">
        <v>-5.9000000000000045E-2</v>
      </c>
      <c r="J241">
        <v>1</v>
      </c>
      <c r="L241" s="57">
        <f t="shared" si="4"/>
        <v>-6.0000000000000046E-2</v>
      </c>
      <c r="M241" s="1">
        <f t="shared" ref="M241:M272" si="5">_xlfn.NORM.DIST(L241,$K$200,$K$202,FALSE)</f>
        <v>1.2670212190706713</v>
      </c>
    </row>
    <row r="242" spans="1:13" ht="15">
      <c r="A242" s="58">
        <v>506</v>
      </c>
      <c r="B242" s="58">
        <v>528</v>
      </c>
      <c r="C242" s="58">
        <v>482.20010000000002</v>
      </c>
      <c r="D242" s="58">
        <v>525.16</v>
      </c>
      <c r="E242" s="58">
        <v>6515303</v>
      </c>
      <c r="F242" s="58" t="s">
        <v>224</v>
      </c>
      <c r="G242" s="25">
        <f t="shared" si="0"/>
        <v>-3.648411912559979E-2</v>
      </c>
      <c r="I242" s="59">
        <v>-5.8000000000000045E-2</v>
      </c>
      <c r="J242">
        <v>0</v>
      </c>
      <c r="L242" s="57">
        <f t="shared" si="4"/>
        <v>-5.9000000000000045E-2</v>
      </c>
      <c r="M242" s="1">
        <f t="shared" si="5"/>
        <v>1.3654544669807143</v>
      </c>
    </row>
    <row r="243" spans="1:13" ht="15">
      <c r="A243" s="58">
        <v>529.15</v>
      </c>
      <c r="B243" s="58">
        <v>531.37</v>
      </c>
      <c r="C243" s="58">
        <v>516.5942</v>
      </c>
      <c r="D243" s="58">
        <v>524.27</v>
      </c>
      <c r="E243" s="58">
        <v>2026655</v>
      </c>
      <c r="F243" s="58" t="s">
        <v>225</v>
      </c>
      <c r="G243" s="25">
        <f t="shared" si="0"/>
        <v>9.308180899155083E-3</v>
      </c>
      <c r="I243" s="59">
        <v>-5.7000000000000044E-2</v>
      </c>
      <c r="J243">
        <v>0</v>
      </c>
      <c r="L243" s="57">
        <f t="shared" si="4"/>
        <v>-5.8000000000000045E-2</v>
      </c>
      <c r="M243" s="1">
        <f t="shared" si="5"/>
        <v>1.4697821158514481</v>
      </c>
    </row>
    <row r="244" spans="1:13" ht="15">
      <c r="A244" s="58">
        <v>519.66</v>
      </c>
      <c r="B244" s="58">
        <v>532.58989999999994</v>
      </c>
      <c r="C244" s="58">
        <v>503.00009999999997</v>
      </c>
      <c r="D244" s="58">
        <v>507</v>
      </c>
      <c r="E244" s="58">
        <v>9150273</v>
      </c>
      <c r="F244" s="58" t="s">
        <v>226</v>
      </c>
      <c r="G244" s="25">
        <f t="shared" si="0"/>
        <v>2.4970414201183289E-2</v>
      </c>
      <c r="I244" s="59">
        <v>-5.6000000000000043E-2</v>
      </c>
      <c r="J244">
        <v>0</v>
      </c>
      <c r="L244" s="57">
        <f t="shared" si="4"/>
        <v>-5.7000000000000044E-2</v>
      </c>
      <c r="M244" s="1">
        <f t="shared" si="5"/>
        <v>1.5801965031313616</v>
      </c>
    </row>
    <row r="245" spans="1:13" ht="15">
      <c r="A245" s="58">
        <v>506.81</v>
      </c>
      <c r="B245" s="58">
        <v>508.91</v>
      </c>
      <c r="C245" s="58">
        <v>498.81</v>
      </c>
      <c r="D245" s="58">
        <v>505</v>
      </c>
      <c r="E245" s="58">
        <v>2205693</v>
      </c>
      <c r="F245" s="58" t="s">
        <v>227</v>
      </c>
      <c r="G245" s="25">
        <f t="shared" si="0"/>
        <v>3.5841584158415873E-3</v>
      </c>
      <c r="I245" s="59">
        <v>-5.5000000000000042E-2</v>
      </c>
      <c r="J245">
        <v>2</v>
      </c>
      <c r="L245" s="57">
        <f t="shared" si="4"/>
        <v>-5.6000000000000043E-2</v>
      </c>
      <c r="M245" s="1">
        <f t="shared" si="5"/>
        <v>1.6968819727588755</v>
      </c>
    </row>
    <row r="246" spans="1:13" ht="15">
      <c r="A246" s="58">
        <v>502.67</v>
      </c>
      <c r="B246" s="58">
        <v>522.97</v>
      </c>
      <c r="C246" s="58">
        <v>502.25</v>
      </c>
      <c r="D246" s="58">
        <v>516</v>
      </c>
      <c r="E246" s="58">
        <v>2476001</v>
      </c>
      <c r="F246" s="58" t="s">
        <v>228</v>
      </c>
      <c r="G246" s="25">
        <f t="shared" si="0"/>
        <v>-2.5833333333333264E-2</v>
      </c>
      <c r="I246" s="59">
        <v>-5.4000000000000041E-2</v>
      </c>
      <c r="J246">
        <v>1</v>
      </c>
      <c r="L246" s="57">
        <f t="shared" ref="L246:L269" si="6">L247-0.001</f>
        <v>-5.5000000000000042E-2</v>
      </c>
      <c r="M246" s="1">
        <f t="shared" si="5"/>
        <v>1.8200133643147915</v>
      </c>
    </row>
    <row r="247" spans="1:13" ht="15">
      <c r="A247" s="58">
        <v>510.84</v>
      </c>
      <c r="B247" s="58">
        <v>512.82000000000005</v>
      </c>
      <c r="C247" s="58">
        <v>496.73</v>
      </c>
      <c r="D247" s="58">
        <v>505.96</v>
      </c>
      <c r="E247" s="58">
        <v>2692555</v>
      </c>
      <c r="F247" s="58" t="s">
        <v>229</v>
      </c>
      <c r="G247" s="25">
        <f t="shared" si="0"/>
        <v>9.6450312277649441E-3</v>
      </c>
      <c r="I247" s="59">
        <v>-5.300000000000004E-2</v>
      </c>
      <c r="J247">
        <v>0</v>
      </c>
      <c r="L247" s="57">
        <f t="shared" si="6"/>
        <v>-5.4000000000000041E-2</v>
      </c>
      <c r="M247" s="1">
        <f t="shared" si="5"/>
        <v>1.9497544483569276</v>
      </c>
    </row>
    <row r="248" spans="1:13" ht="15">
      <c r="A248" s="58">
        <v>499.88</v>
      </c>
      <c r="B248" s="58">
        <v>500.04</v>
      </c>
      <c r="C248" s="58">
        <v>479.03969999999998</v>
      </c>
      <c r="D248" s="58">
        <v>486.66</v>
      </c>
      <c r="E248" s="58">
        <v>3075664</v>
      </c>
      <c r="F248" s="58" t="s">
        <v>230</v>
      </c>
      <c r="G248" s="25">
        <f t="shared" si="0"/>
        <v>2.7164755681584607E-2</v>
      </c>
      <c r="I248" s="59">
        <v>-5.2000000000000039E-2</v>
      </c>
      <c r="J248">
        <v>1</v>
      </c>
      <c r="L248" s="57">
        <f t="shared" si="6"/>
        <v>-5.300000000000004E-2</v>
      </c>
      <c r="M248" s="1">
        <f t="shared" si="5"/>
        <v>2.086256315547101</v>
      </c>
    </row>
    <row r="249" spans="1:13" ht="15">
      <c r="A249" s="58">
        <v>486.96</v>
      </c>
      <c r="B249" s="58">
        <v>496.01</v>
      </c>
      <c r="C249" s="58">
        <v>480.55</v>
      </c>
      <c r="D249" s="58">
        <v>493.53</v>
      </c>
      <c r="E249" s="58">
        <v>4000037</v>
      </c>
      <c r="F249" s="58" t="s">
        <v>231</v>
      </c>
      <c r="G249" s="25">
        <f t="shared" ref="G249:G312" si="7">A249/D249-1</f>
        <v>-1.3312260652847852E-2</v>
      </c>
      <c r="I249" s="59">
        <v>-5.1000000000000038E-2</v>
      </c>
      <c r="J249">
        <v>0</v>
      </c>
      <c r="L249" s="57">
        <f t="shared" si="6"/>
        <v>-5.2000000000000039E-2</v>
      </c>
      <c r="M249" s="1">
        <f t="shared" si="5"/>
        <v>2.2296557281361262</v>
      </c>
    </row>
    <row r="250" spans="1:13" ht="15">
      <c r="A250" s="58">
        <v>490.19</v>
      </c>
      <c r="B250" s="58">
        <v>491.13</v>
      </c>
      <c r="C250" s="58">
        <v>482.01</v>
      </c>
      <c r="D250" s="58">
        <v>486.79</v>
      </c>
      <c r="E250" s="58">
        <v>2240159</v>
      </c>
      <c r="F250" s="58" t="s">
        <v>232</v>
      </c>
      <c r="G250" s="25">
        <f t="shared" si="7"/>
        <v>6.9845313174057289E-3</v>
      </c>
      <c r="I250" s="59">
        <v>-5.0000000000000037E-2</v>
      </c>
      <c r="J250">
        <v>1</v>
      </c>
      <c r="L250" s="57">
        <f t="shared" si="6"/>
        <v>-5.1000000000000038E-2</v>
      </c>
      <c r="M250" s="1">
        <f t="shared" si="5"/>
        <v>2.3800734433128432</v>
      </c>
    </row>
    <row r="251" spans="1:13" ht="15">
      <c r="A251" s="58">
        <v>488.66</v>
      </c>
      <c r="B251" s="58">
        <v>494.02</v>
      </c>
      <c r="C251" s="58">
        <v>481.6</v>
      </c>
      <c r="D251" s="58">
        <v>486.77</v>
      </c>
      <c r="E251" s="58">
        <v>2160392</v>
      </c>
      <c r="F251" s="58" t="s">
        <v>233</v>
      </c>
      <c r="G251" s="25">
        <f t="shared" si="7"/>
        <v>3.8827372270271443E-3</v>
      </c>
      <c r="I251" s="59">
        <v>-4.9000000000000037E-2</v>
      </c>
      <c r="J251">
        <v>0</v>
      </c>
      <c r="L251" s="57">
        <f t="shared" si="6"/>
        <v>-5.0000000000000037E-2</v>
      </c>
      <c r="M251" s="1">
        <f t="shared" si="5"/>
        <v>2.5376125188368337</v>
      </c>
    </row>
    <row r="252" spans="1:13" ht="15">
      <c r="A252" s="58">
        <v>487.88</v>
      </c>
      <c r="B252" s="58">
        <v>492.53</v>
      </c>
      <c r="C252" s="58">
        <v>480</v>
      </c>
      <c r="D252" s="58">
        <v>480</v>
      </c>
      <c r="E252" s="58">
        <v>2134809</v>
      </c>
      <c r="F252" s="58" t="s">
        <v>234</v>
      </c>
      <c r="G252" s="25">
        <f t="shared" si="7"/>
        <v>1.6416666666666746E-2</v>
      </c>
      <c r="I252" s="59">
        <v>-4.8000000000000036E-2</v>
      </c>
      <c r="J252">
        <v>0</v>
      </c>
      <c r="L252" s="57">
        <f t="shared" si="6"/>
        <v>-4.9000000000000037E-2</v>
      </c>
      <c r="M252" s="1">
        <f t="shared" si="5"/>
        <v>2.7023566122494564</v>
      </c>
    </row>
    <row r="253" spans="1:13" ht="15">
      <c r="A253" s="58">
        <v>478.45</v>
      </c>
      <c r="B253" s="58">
        <v>484.62810000000002</v>
      </c>
      <c r="C253" s="58">
        <v>474.21</v>
      </c>
      <c r="D253" s="58">
        <v>477.68</v>
      </c>
      <c r="E253" s="58">
        <v>2415348</v>
      </c>
      <c r="F253" s="58" t="s">
        <v>235</v>
      </c>
      <c r="G253" s="25">
        <f t="shared" si="7"/>
        <v>1.6119577960140852E-3</v>
      </c>
      <c r="I253" s="59">
        <v>-4.7000000000000035E-2</v>
      </c>
      <c r="J253">
        <v>1</v>
      </c>
      <c r="L253" s="57">
        <f t="shared" si="6"/>
        <v>-4.8000000000000036E-2</v>
      </c>
      <c r="M253" s="1">
        <f t="shared" si="5"/>
        <v>2.8743682857817219</v>
      </c>
    </row>
    <row r="254" spans="1:13" ht="15">
      <c r="A254" s="58">
        <v>487.67</v>
      </c>
      <c r="B254" s="58">
        <v>489.71</v>
      </c>
      <c r="C254" s="58">
        <v>478.1</v>
      </c>
      <c r="D254" s="58">
        <v>478.81</v>
      </c>
      <c r="E254" s="58">
        <v>2431914</v>
      </c>
      <c r="F254" s="58" t="s">
        <v>236</v>
      </c>
      <c r="G254" s="25">
        <f t="shared" si="7"/>
        <v>1.8504208349867435E-2</v>
      </c>
      <c r="I254" s="59">
        <v>-4.6000000000000034E-2</v>
      </c>
      <c r="J254">
        <v>0</v>
      </c>
      <c r="L254" s="57">
        <f t="shared" si="6"/>
        <v>-4.7000000000000035E-2</v>
      </c>
      <c r="M254" s="1">
        <f t="shared" si="5"/>
        <v>3.0536873298377292</v>
      </c>
    </row>
    <row r="255" spans="1:13" ht="15">
      <c r="A255" s="58">
        <v>483.47</v>
      </c>
      <c r="B255" s="58">
        <v>484.33</v>
      </c>
      <c r="C255" s="58">
        <v>464</v>
      </c>
      <c r="D255" s="58">
        <v>469.52</v>
      </c>
      <c r="E255" s="58">
        <v>3100433</v>
      </c>
      <c r="F255" s="58" t="s">
        <v>237</v>
      </c>
      <c r="G255" s="25">
        <f t="shared" si="7"/>
        <v>2.9711194411313757E-2</v>
      </c>
      <c r="I255" s="59">
        <v>-4.5000000000000033E-2</v>
      </c>
      <c r="J255">
        <v>0</v>
      </c>
      <c r="L255" s="57">
        <f t="shared" si="6"/>
        <v>-4.6000000000000034E-2</v>
      </c>
      <c r="M255" s="1">
        <f t="shared" si="5"/>
        <v>3.2403291186163687</v>
      </c>
    </row>
    <row r="256" spans="1:13" ht="15">
      <c r="A256" s="58">
        <v>465.31</v>
      </c>
      <c r="B256" s="58">
        <v>482.69</v>
      </c>
      <c r="C256" s="58">
        <v>458.64600000000002</v>
      </c>
      <c r="D256" s="58">
        <v>482.36</v>
      </c>
      <c r="E256" s="58">
        <v>3845367</v>
      </c>
      <c r="F256" s="58" t="s">
        <v>238</v>
      </c>
      <c r="G256" s="25">
        <f t="shared" si="7"/>
        <v>-3.534704370179953E-2</v>
      </c>
      <c r="I256" s="59">
        <v>-4.4000000000000032E-2</v>
      </c>
      <c r="J256">
        <v>0</v>
      </c>
      <c r="L256" s="57">
        <f t="shared" si="6"/>
        <v>-4.5000000000000033E-2</v>
      </c>
      <c r="M256" s="1">
        <f t="shared" si="5"/>
        <v>3.4342830120289372</v>
      </c>
    </row>
    <row r="257" spans="1:13" ht="15">
      <c r="A257" s="58">
        <v>480</v>
      </c>
      <c r="B257" s="58">
        <v>492.31</v>
      </c>
      <c r="C257" s="58">
        <v>479.8</v>
      </c>
      <c r="D257" s="58">
        <v>492</v>
      </c>
      <c r="E257" s="58">
        <v>2339427</v>
      </c>
      <c r="F257" s="58" t="s">
        <v>239</v>
      </c>
      <c r="G257" s="25">
        <f t="shared" si="7"/>
        <v>-2.4390243902439046E-2</v>
      </c>
      <c r="I257" s="59">
        <v>-4.3000000000000031E-2</v>
      </c>
      <c r="J257">
        <v>2</v>
      </c>
      <c r="L257" s="57">
        <f t="shared" si="6"/>
        <v>-4.4000000000000032E-2</v>
      </c>
      <c r="M257" s="1">
        <f t="shared" si="5"/>
        <v>3.6355108185643012</v>
      </c>
    </row>
    <row r="258" spans="1:13" ht="15">
      <c r="A258" s="58">
        <v>485</v>
      </c>
      <c r="B258" s="58">
        <v>488.94990000000001</v>
      </c>
      <c r="C258" s="58">
        <v>478</v>
      </c>
      <c r="D258" s="58">
        <v>486.78</v>
      </c>
      <c r="E258" s="58">
        <v>2095332</v>
      </c>
      <c r="F258" s="58" t="s">
        <v>240</v>
      </c>
      <c r="G258" s="25">
        <f t="shared" si="7"/>
        <v>-3.656682690332369E-3</v>
      </c>
      <c r="I258" s="59">
        <v>-4.200000000000003E-2</v>
      </c>
      <c r="J258">
        <v>1</v>
      </c>
      <c r="L258" s="57">
        <f t="shared" si="6"/>
        <v>-4.3000000000000031E-2</v>
      </c>
      <c r="M258" s="1">
        <f t="shared" si="5"/>
        <v>3.8439453341340659</v>
      </c>
    </row>
    <row r="259" spans="1:13" ht="15">
      <c r="A259" s="58">
        <v>484.31</v>
      </c>
      <c r="B259" s="58">
        <v>493.87</v>
      </c>
      <c r="C259" s="58">
        <v>479.53820000000002</v>
      </c>
      <c r="D259" s="58">
        <v>491.07</v>
      </c>
      <c r="E259" s="58">
        <v>2436611</v>
      </c>
      <c r="F259" s="58" t="s">
        <v>241</v>
      </c>
      <c r="G259" s="25">
        <f t="shared" si="7"/>
        <v>-1.3765858227951178E-2</v>
      </c>
      <c r="I259" s="59">
        <v>-4.1000000000000029E-2</v>
      </c>
      <c r="J259">
        <v>1</v>
      </c>
      <c r="L259" s="57">
        <f t="shared" si="6"/>
        <v>-4.200000000000003E-2</v>
      </c>
      <c r="M259" s="1">
        <f t="shared" si="5"/>
        <v>4.0594889721870278</v>
      </c>
    </row>
    <row r="260" spans="1:13" ht="15">
      <c r="A260" s="58">
        <v>488.13</v>
      </c>
      <c r="B260" s="58">
        <v>499.43</v>
      </c>
      <c r="C260" s="58">
        <v>486.51</v>
      </c>
      <c r="D260" s="58">
        <v>493.73</v>
      </c>
      <c r="E260" s="58">
        <v>2190320</v>
      </c>
      <c r="F260" s="58" t="s">
        <v>242</v>
      </c>
      <c r="G260" s="25">
        <f t="shared" si="7"/>
        <v>-1.1342231584064222E-2</v>
      </c>
      <c r="I260" s="59">
        <v>-4.0000000000000029E-2</v>
      </c>
      <c r="J260">
        <v>0</v>
      </c>
      <c r="L260" s="57">
        <f t="shared" si="6"/>
        <v>-4.1000000000000029E-2</v>
      </c>
      <c r="M260" s="1">
        <f t="shared" si="5"/>
        <v>4.2820125005044067</v>
      </c>
    </row>
    <row r="261" spans="1:13" ht="15">
      <c r="A261" s="58">
        <v>492.97</v>
      </c>
      <c r="B261" s="58">
        <v>500.72</v>
      </c>
      <c r="C261" s="58">
        <v>485</v>
      </c>
      <c r="D261" s="58">
        <v>494</v>
      </c>
      <c r="E261" s="58">
        <v>3470674</v>
      </c>
      <c r="F261" s="58" t="s">
        <v>243</v>
      </c>
      <c r="G261" s="25">
        <f t="shared" si="7"/>
        <v>-2.0850202429149034E-3</v>
      </c>
      <c r="I261" s="59">
        <v>-3.9000000000000028E-2</v>
      </c>
      <c r="J261">
        <v>1</v>
      </c>
      <c r="L261" s="57">
        <f t="shared" si="6"/>
        <v>-4.0000000000000029E-2</v>
      </c>
      <c r="M261" s="1">
        <f t="shared" si="5"/>
        <v>4.5113539000659104</v>
      </c>
    </row>
    <row r="262" spans="1:13" ht="15">
      <c r="A262" s="58">
        <v>485.16</v>
      </c>
      <c r="B262" s="58">
        <v>486.28</v>
      </c>
      <c r="C262" s="58">
        <v>472.49</v>
      </c>
      <c r="D262" s="58">
        <v>475</v>
      </c>
      <c r="E262" s="58">
        <v>2507619</v>
      </c>
      <c r="F262" s="58" t="s">
        <v>244</v>
      </c>
      <c r="G262" s="25">
        <f t="shared" si="7"/>
        <v>2.1389473684210625E-2</v>
      </c>
      <c r="I262" s="59">
        <v>-3.8000000000000027E-2</v>
      </c>
      <c r="J262">
        <v>2</v>
      </c>
      <c r="L262" s="57">
        <f t="shared" si="6"/>
        <v>-3.9000000000000028E-2</v>
      </c>
      <c r="M262" s="1">
        <f t="shared" si="5"/>
        <v>4.7473173612032005</v>
      </c>
    </row>
    <row r="263" spans="1:13" ht="15">
      <c r="A263" s="58">
        <v>472.98</v>
      </c>
      <c r="B263" s="58">
        <v>473.79</v>
      </c>
      <c r="C263" s="58">
        <v>463.34010000000001</v>
      </c>
      <c r="D263" s="58">
        <v>470</v>
      </c>
      <c r="E263" s="58">
        <v>5081409</v>
      </c>
      <c r="F263" s="58" t="s">
        <v>245</v>
      </c>
      <c r="G263" s="25">
        <f t="shared" si="7"/>
        <v>6.3404255319148284E-3</v>
      </c>
      <c r="I263" s="59">
        <v>-3.7000000000000026E-2</v>
      </c>
      <c r="J263">
        <v>2</v>
      </c>
      <c r="L263" s="57">
        <f t="shared" si="6"/>
        <v>-3.8000000000000027E-2</v>
      </c>
      <c r="M263" s="1">
        <f t="shared" si="5"/>
        <v>4.9896724319254551</v>
      </c>
    </row>
    <row r="264" spans="1:13" ht="15">
      <c r="A264" s="58">
        <v>471.17</v>
      </c>
      <c r="B264" s="58">
        <v>489.13</v>
      </c>
      <c r="C264" s="58">
        <v>462</v>
      </c>
      <c r="D264" s="58">
        <v>487.25</v>
      </c>
      <c r="E264" s="58">
        <v>4299359</v>
      </c>
      <c r="F264" s="58" t="s">
        <v>246</v>
      </c>
      <c r="G264" s="25">
        <f t="shared" si="7"/>
        <v>-3.3001539250897882E-2</v>
      </c>
      <c r="I264" s="59">
        <v>-3.6000000000000025E-2</v>
      </c>
      <c r="J264">
        <v>2</v>
      </c>
      <c r="L264" s="57">
        <f t="shared" si="6"/>
        <v>-3.7000000000000026E-2</v>
      </c>
      <c r="M264" s="1">
        <f t="shared" si="5"/>
        <v>5.2381533328059842</v>
      </c>
    </row>
    <row r="265" spans="1:13" ht="15">
      <c r="A265" s="58">
        <v>485.01</v>
      </c>
      <c r="B265" s="58">
        <v>487.4</v>
      </c>
      <c r="C265" s="58">
        <v>467.5</v>
      </c>
      <c r="D265" s="58">
        <v>468.54</v>
      </c>
      <c r="E265" s="58">
        <v>3272377</v>
      </c>
      <c r="F265" s="58" t="s">
        <v>247</v>
      </c>
      <c r="G265" s="25">
        <f t="shared" si="7"/>
        <v>3.5151747983096282E-2</v>
      </c>
      <c r="I265" s="59">
        <v>-3.5000000000000024E-2</v>
      </c>
      <c r="J265">
        <v>2</v>
      </c>
      <c r="L265" s="57">
        <f t="shared" si="6"/>
        <v>-3.6000000000000025E-2</v>
      </c>
      <c r="M265" s="1">
        <f t="shared" si="5"/>
        <v>5.4924584521560957</v>
      </c>
    </row>
    <row r="266" spans="1:13" ht="15">
      <c r="A266" s="58">
        <v>471.51</v>
      </c>
      <c r="B266" s="58">
        <v>476.01</v>
      </c>
      <c r="C266" s="58">
        <v>466</v>
      </c>
      <c r="D266" s="58">
        <v>471.64</v>
      </c>
      <c r="E266" s="58">
        <v>2933687</v>
      </c>
      <c r="F266" s="58" t="s">
        <v>248</v>
      </c>
      <c r="G266" s="25">
        <f t="shared" si="7"/>
        <v>-2.7563395810359381E-4</v>
      </c>
      <c r="I266" s="59">
        <v>-3.4000000000000023E-2</v>
      </c>
      <c r="J266">
        <v>2</v>
      </c>
      <c r="L266" s="57">
        <f t="shared" si="6"/>
        <v>-3.5000000000000024E-2</v>
      </c>
      <c r="M266" s="1">
        <f t="shared" si="5"/>
        <v>5.7522500343809222</v>
      </c>
    </row>
    <row r="267" spans="1:13" ht="15">
      <c r="A267" s="58">
        <v>464.39</v>
      </c>
      <c r="B267" s="58">
        <v>469.81130000000002</v>
      </c>
      <c r="C267" s="58">
        <v>458.79</v>
      </c>
      <c r="D267" s="58">
        <v>460.01</v>
      </c>
      <c r="E267" s="58">
        <v>3571634</v>
      </c>
      <c r="F267" s="58" t="s">
        <v>249</v>
      </c>
      <c r="G267" s="25">
        <f t="shared" si="7"/>
        <v>9.521532140605693E-3</v>
      </c>
      <c r="I267" s="59">
        <v>-3.3000000000000022E-2</v>
      </c>
      <c r="J267">
        <v>2</v>
      </c>
      <c r="L267" s="57">
        <f t="shared" si="6"/>
        <v>-3.4000000000000023E-2</v>
      </c>
      <c r="M267" s="1">
        <f t="shared" si="5"/>
        <v>6.0171540734122368</v>
      </c>
    </row>
    <row r="268" spans="1:13" ht="15">
      <c r="A268" s="58">
        <v>458.82</v>
      </c>
      <c r="B268" s="58">
        <v>464.7</v>
      </c>
      <c r="C268" s="58">
        <v>448.45010000000002</v>
      </c>
      <c r="D268" s="58">
        <v>453</v>
      </c>
      <c r="E268" s="58">
        <v>2713840</v>
      </c>
      <c r="F268" s="58" t="s">
        <v>250</v>
      </c>
      <c r="G268" s="25">
        <f t="shared" si="7"/>
        <v>1.2847682119205173E-2</v>
      </c>
      <c r="I268" s="59">
        <v>-3.2000000000000021E-2</v>
      </c>
      <c r="J268">
        <v>1</v>
      </c>
      <c r="L268" s="57">
        <f t="shared" si="6"/>
        <v>-3.3000000000000022E-2</v>
      </c>
      <c r="M268" s="1">
        <f t="shared" si="5"/>
        <v>6.2867604219477213</v>
      </c>
    </row>
    <row r="269" spans="1:13" ht="15">
      <c r="A269" s="58">
        <v>453.03</v>
      </c>
      <c r="B269" s="58">
        <v>463</v>
      </c>
      <c r="C269" s="58">
        <v>446.5</v>
      </c>
      <c r="D269" s="58">
        <v>447</v>
      </c>
      <c r="E269" s="58">
        <v>3932393</v>
      </c>
      <c r="F269" s="58" t="s">
        <v>251</v>
      </c>
      <c r="G269" s="25">
        <f t="shared" si="7"/>
        <v>1.3489932885905942E-2</v>
      </c>
      <c r="I269" s="59">
        <v>-3.1000000000000021E-2</v>
      </c>
      <c r="J269">
        <v>2</v>
      </c>
      <c r="L269" s="57">
        <f t="shared" si="6"/>
        <v>-3.2000000000000021E-2</v>
      </c>
      <c r="M269" s="1">
        <f t="shared" si="5"/>
        <v>6.5606231258996504</v>
      </c>
    </row>
    <row r="270" spans="1:13" ht="15">
      <c r="A270" s="58">
        <v>450.04</v>
      </c>
      <c r="B270" s="58">
        <v>451.36500000000001</v>
      </c>
      <c r="C270" s="58">
        <v>442.55720000000002</v>
      </c>
      <c r="D270" s="58">
        <v>443.78</v>
      </c>
      <c r="E270" s="58">
        <v>2756722</v>
      </c>
      <c r="F270" s="58" t="s">
        <v>252</v>
      </c>
      <c r="G270" s="25">
        <f t="shared" si="7"/>
        <v>1.4106088602460876E-2</v>
      </c>
      <c r="I270" s="59">
        <v>-3.000000000000002E-2</v>
      </c>
      <c r="J270">
        <v>2</v>
      </c>
      <c r="L270" s="57">
        <f t="shared" ref="L270:L298" si="8">L271-0.001</f>
        <v>-3.1000000000000021E-2</v>
      </c>
      <c r="M270" s="1">
        <f t="shared" si="5"/>
        <v>6.8382609919749617</v>
      </c>
    </row>
    <row r="271" spans="1:13" ht="15">
      <c r="A271" s="58">
        <v>446.6</v>
      </c>
      <c r="B271" s="58">
        <v>447.44499999999999</v>
      </c>
      <c r="C271" s="58">
        <v>421.63830000000002</v>
      </c>
      <c r="D271" s="58">
        <v>424.5</v>
      </c>
      <c r="E271" s="58">
        <v>3128744</v>
      </c>
      <c r="F271" s="58" t="s">
        <v>253</v>
      </c>
      <c r="G271" s="25">
        <f t="shared" si="7"/>
        <v>5.2061248527679682E-2</v>
      </c>
      <c r="I271" s="59">
        <v>-2.9000000000000019E-2</v>
      </c>
      <c r="J271">
        <v>3</v>
      </c>
      <c r="L271" s="57">
        <f t="shared" si="8"/>
        <v>-3.000000000000002E-2</v>
      </c>
      <c r="M271" s="1">
        <f t="shared" si="5"/>
        <v>7.1191583946825752</v>
      </c>
    </row>
    <row r="272" spans="1:13" ht="15">
      <c r="A272" s="58">
        <v>428.06</v>
      </c>
      <c r="B272" s="58">
        <v>431.46249999999998</v>
      </c>
      <c r="C272" s="58">
        <v>423.1</v>
      </c>
      <c r="D272" s="58">
        <v>431</v>
      </c>
      <c r="E272" s="58">
        <v>2603753</v>
      </c>
      <c r="F272" s="58" t="s">
        <v>254</v>
      </c>
      <c r="G272" s="25">
        <f t="shared" si="7"/>
        <v>-6.8213457076565787E-3</v>
      </c>
      <c r="I272" s="59">
        <v>-2.8000000000000018E-2</v>
      </c>
      <c r="J272">
        <v>5</v>
      </c>
      <c r="L272" s="57">
        <f t="shared" si="8"/>
        <v>-2.9000000000000019E-2</v>
      </c>
      <c r="M272" s="1">
        <f t="shared" si="5"/>
        <v>7.4027663273035254</v>
      </c>
    </row>
    <row r="273" spans="1:13" ht="15">
      <c r="A273" s="58">
        <v>426.97</v>
      </c>
      <c r="B273" s="58">
        <v>432.79</v>
      </c>
      <c r="C273" s="58">
        <v>425.39</v>
      </c>
      <c r="D273" s="58">
        <v>430.17</v>
      </c>
      <c r="E273" s="58">
        <v>2954267</v>
      </c>
      <c r="F273" s="58" t="s">
        <v>255</v>
      </c>
      <c r="G273" s="25">
        <f t="shared" si="7"/>
        <v>-7.4389194969430861E-3</v>
      </c>
      <c r="I273" s="59">
        <v>-2.7000000000000017E-2</v>
      </c>
      <c r="J273">
        <v>0</v>
      </c>
      <c r="L273" s="57">
        <f t="shared" si="8"/>
        <v>-2.8000000000000018E-2</v>
      </c>
      <c r="M273" s="1">
        <f t="shared" ref="M273:M304" si="9">_xlfn.NORM.DIST(L273,$K$200,$K$202,FALSE)</f>
        <v>7.6885036994786171</v>
      </c>
    </row>
    <row r="274" spans="1:13" ht="15">
      <c r="A274" s="58">
        <v>432.84</v>
      </c>
      <c r="B274" s="58">
        <v>440.34</v>
      </c>
      <c r="C274" s="58">
        <v>431.82</v>
      </c>
      <c r="D274" s="58">
        <v>438.92</v>
      </c>
      <c r="E274" s="58">
        <v>2577166</v>
      </c>
      <c r="F274" s="58" t="s">
        <v>256</v>
      </c>
      <c r="G274" s="25">
        <f t="shared" si="7"/>
        <v>-1.3852182630092136E-2</v>
      </c>
      <c r="I274" s="59">
        <v>-2.6000000000000016E-2</v>
      </c>
      <c r="J274">
        <v>1</v>
      </c>
      <c r="L274" s="57">
        <f t="shared" si="8"/>
        <v>-2.7000000000000017E-2</v>
      </c>
      <c r="M274" s="1">
        <f t="shared" si="9"/>
        <v>7.9757588820818697</v>
      </c>
    </row>
    <row r="275" spans="1:13" ht="15">
      <c r="A275" s="58">
        <v>433.33</v>
      </c>
      <c r="B275" s="58">
        <v>444</v>
      </c>
      <c r="C275" s="58">
        <v>420</v>
      </c>
      <c r="D275" s="58">
        <v>420.91</v>
      </c>
      <c r="E275" s="58">
        <v>4769742</v>
      </c>
      <c r="F275" s="58" t="s">
        <v>257</v>
      </c>
      <c r="G275" s="25">
        <f t="shared" si="7"/>
        <v>2.9507495664156114E-2</v>
      </c>
      <c r="I275" s="59">
        <v>-2.5000000000000015E-2</v>
      </c>
      <c r="J275">
        <v>4</v>
      </c>
      <c r="L275" s="57">
        <f t="shared" si="8"/>
        <v>-2.6000000000000016E-2</v>
      </c>
      <c r="M275" s="1">
        <f t="shared" si="9"/>
        <v>8.263891497973896</v>
      </c>
    </row>
    <row r="276" spans="1:13" ht="15">
      <c r="A276" s="58">
        <v>416.63</v>
      </c>
      <c r="B276" s="58">
        <v>418.8</v>
      </c>
      <c r="C276" s="58">
        <v>408.82</v>
      </c>
      <c r="D276" s="58">
        <v>415</v>
      </c>
      <c r="E276" s="58">
        <v>2989910</v>
      </c>
      <c r="F276" s="58" t="s">
        <v>258</v>
      </c>
      <c r="G276" s="25">
        <f t="shared" si="7"/>
        <v>3.9277108433735108E-3</v>
      </c>
      <c r="I276" s="59">
        <v>-2.4000000000000014E-2</v>
      </c>
      <c r="J276">
        <v>2</v>
      </c>
      <c r="L276" s="57">
        <f t="shared" si="8"/>
        <v>-2.5000000000000015E-2</v>
      </c>
      <c r="M276" s="1">
        <f t="shared" si="9"/>
        <v>8.5522344550859604</v>
      </c>
    </row>
    <row r="277" spans="1:13" ht="15">
      <c r="A277" s="58">
        <v>399.26</v>
      </c>
      <c r="B277" s="58">
        <v>399.78</v>
      </c>
      <c r="C277" s="58">
        <v>387.03</v>
      </c>
      <c r="D277" s="58">
        <v>396.25</v>
      </c>
      <c r="E277" s="58">
        <v>2383667</v>
      </c>
      <c r="F277" s="58" t="s">
        <v>259</v>
      </c>
      <c r="G277" s="25">
        <f t="shared" si="7"/>
        <v>7.5962145110410884E-3</v>
      </c>
      <c r="I277" s="59">
        <v>-2.3000000000000013E-2</v>
      </c>
      <c r="J277">
        <v>3</v>
      </c>
      <c r="L277" s="57">
        <f t="shared" si="8"/>
        <v>-2.4000000000000014E-2</v>
      </c>
      <c r="M277" s="1">
        <f t="shared" si="9"/>
        <v>8.8400962160941283</v>
      </c>
    </row>
    <row r="278" spans="1:13" ht="15">
      <c r="A278" s="58">
        <v>394</v>
      </c>
      <c r="B278" s="58">
        <v>413.75</v>
      </c>
      <c r="C278" s="58">
        <v>393.86</v>
      </c>
      <c r="D278" s="58">
        <v>410</v>
      </c>
      <c r="E278" s="58">
        <v>3346409</v>
      </c>
      <c r="F278" s="58" t="s">
        <v>260</v>
      </c>
      <c r="G278" s="25">
        <f t="shared" si="7"/>
        <v>-3.9024390243902474E-2</v>
      </c>
      <c r="I278" s="59">
        <v>-2.2000000000000013E-2</v>
      </c>
      <c r="J278">
        <v>7</v>
      </c>
      <c r="L278" s="57">
        <f t="shared" si="8"/>
        <v>-2.3000000000000013E-2</v>
      </c>
      <c r="M278" s="1">
        <f t="shared" si="9"/>
        <v>9.1267632967252457</v>
      </c>
    </row>
    <row r="279" spans="1:13" ht="15">
      <c r="A279" s="58">
        <v>406.81</v>
      </c>
      <c r="B279" s="58">
        <v>407.29</v>
      </c>
      <c r="C279" s="58">
        <v>397.01</v>
      </c>
      <c r="D279" s="58">
        <v>400</v>
      </c>
      <c r="E279" s="58">
        <v>2489492</v>
      </c>
      <c r="F279" s="58" t="s">
        <v>261</v>
      </c>
      <c r="G279" s="25">
        <f t="shared" si="7"/>
        <v>1.7025000000000068E-2</v>
      </c>
      <c r="I279" s="59">
        <v>-2.1000000000000012E-2</v>
      </c>
      <c r="J279">
        <v>5</v>
      </c>
      <c r="L279" s="57">
        <f t="shared" si="8"/>
        <v>-2.2000000000000013E-2</v>
      </c>
      <c r="M279" s="1">
        <f t="shared" si="9"/>
        <v>9.4115029825159571</v>
      </c>
    </row>
    <row r="280" spans="1:13" ht="15">
      <c r="A280" s="58">
        <v>401.23</v>
      </c>
      <c r="B280" s="58">
        <v>402.64</v>
      </c>
      <c r="C280" s="58">
        <v>392.12</v>
      </c>
      <c r="D280" s="58">
        <v>394.57</v>
      </c>
      <c r="E280" s="58">
        <v>2242650</v>
      </c>
      <c r="F280" s="58" t="s">
        <v>262</v>
      </c>
      <c r="G280" s="25">
        <f t="shared" si="7"/>
        <v>1.6879134247408611E-2</v>
      </c>
      <c r="I280" s="59">
        <v>-2.0000000000000011E-2</v>
      </c>
      <c r="J280">
        <v>5</v>
      </c>
      <c r="L280" s="57">
        <f t="shared" si="8"/>
        <v>-2.1000000000000012E-2</v>
      </c>
      <c r="M280" s="1">
        <f t="shared" si="9"/>
        <v>9.6935662516465726</v>
      </c>
    </row>
    <row r="281" spans="1:13" ht="15">
      <c r="A281" s="58">
        <v>401.1</v>
      </c>
      <c r="B281" s="58">
        <v>403.8</v>
      </c>
      <c r="C281" s="58">
        <v>390.2106</v>
      </c>
      <c r="D281" s="58">
        <v>392</v>
      </c>
      <c r="E281" s="58">
        <v>2296914</v>
      </c>
      <c r="F281" s="58" t="s">
        <v>263</v>
      </c>
      <c r="G281" s="25">
        <f t="shared" si="7"/>
        <v>2.3214285714285854E-2</v>
      </c>
      <c r="I281" s="59">
        <v>-1.900000000000001E-2</v>
      </c>
      <c r="J281">
        <v>2</v>
      </c>
      <c r="L281" s="57">
        <f t="shared" si="8"/>
        <v>-2.0000000000000011E-2</v>
      </c>
      <c r="M281" s="1">
        <f t="shared" si="9"/>
        <v>9.972190889317984</v>
      </c>
    </row>
    <row r="282" spans="1:13" ht="15">
      <c r="A282" s="58">
        <v>396.32</v>
      </c>
      <c r="B282" s="58">
        <v>403.42</v>
      </c>
      <c r="C282" s="58">
        <v>385.55</v>
      </c>
      <c r="D282" s="58">
        <v>391</v>
      </c>
      <c r="E282" s="58">
        <v>3602370</v>
      </c>
      <c r="F282" s="58" t="s">
        <v>264</v>
      </c>
      <c r="G282" s="25">
        <f t="shared" si="7"/>
        <v>1.3606138107416843E-2</v>
      </c>
      <c r="I282" s="59">
        <v>-1.8000000000000009E-2</v>
      </c>
      <c r="J282">
        <v>7</v>
      </c>
      <c r="L282" s="57">
        <f t="shared" si="8"/>
        <v>-1.900000000000001E-2</v>
      </c>
      <c r="M282" s="1">
        <f t="shared" si="9"/>
        <v>10.246604777057085</v>
      </c>
    </row>
    <row r="283" spans="1:13" ht="15">
      <c r="A283" s="58">
        <v>382.29</v>
      </c>
      <c r="B283" s="58">
        <v>387.52</v>
      </c>
      <c r="C283" s="58">
        <v>378.47</v>
      </c>
      <c r="D283" s="58">
        <v>383.34</v>
      </c>
      <c r="E283" s="58">
        <v>3246757</v>
      </c>
      <c r="F283" s="58" t="s">
        <v>265</v>
      </c>
      <c r="G283" s="25">
        <f t="shared" si="7"/>
        <v>-2.7390827985599442E-3</v>
      </c>
      <c r="I283" s="59">
        <v>-1.7000000000000008E-2</v>
      </c>
      <c r="J283">
        <v>4</v>
      </c>
      <c r="L283" s="57">
        <f t="shared" si="8"/>
        <v>-1.8000000000000009E-2</v>
      </c>
      <c r="M283" s="1">
        <f t="shared" si="9"/>
        <v>10.516029338348908</v>
      </c>
    </row>
    <row r="284" spans="1:13" ht="15">
      <c r="A284" s="58">
        <v>370.82</v>
      </c>
      <c r="B284" s="58">
        <v>371.51</v>
      </c>
      <c r="C284" s="58">
        <v>357.64</v>
      </c>
      <c r="D284" s="58">
        <v>359.98</v>
      </c>
      <c r="E284" s="58">
        <v>2756768</v>
      </c>
      <c r="F284" s="58" t="s">
        <v>266</v>
      </c>
      <c r="G284" s="25">
        <f t="shared" si="7"/>
        <v>3.0112784043557994E-2</v>
      </c>
      <c r="I284" s="59">
        <v>-1.6000000000000007E-2</v>
      </c>
      <c r="J284">
        <v>1</v>
      </c>
      <c r="L284" s="57">
        <f t="shared" si="8"/>
        <v>-1.7000000000000008E-2</v>
      </c>
      <c r="M284" s="1">
        <f t="shared" si="9"/>
        <v>10.779683120126862</v>
      </c>
    </row>
    <row r="285" spans="1:13" ht="15">
      <c r="A285" s="58">
        <v>371.19</v>
      </c>
      <c r="B285" s="58">
        <v>372.09</v>
      </c>
      <c r="C285" s="58">
        <v>363.22</v>
      </c>
      <c r="D285" s="58">
        <v>369.62</v>
      </c>
      <c r="E285" s="58">
        <v>2430015</v>
      </c>
      <c r="F285" s="58" t="s">
        <v>267</v>
      </c>
      <c r="G285" s="25">
        <f t="shared" si="7"/>
        <v>4.2476056490450276E-3</v>
      </c>
      <c r="I285" s="59">
        <v>-1.5000000000000006E-2</v>
      </c>
      <c r="J285">
        <v>5</v>
      </c>
      <c r="L285" s="57">
        <f t="shared" si="8"/>
        <v>-1.6000000000000007E-2</v>
      </c>
      <c r="M285" s="1">
        <f t="shared" si="9"/>
        <v>11.036785487929368</v>
      </c>
    </row>
    <row r="286" spans="1:13" ht="15">
      <c r="A286" s="58">
        <v>370.06</v>
      </c>
      <c r="B286" s="58">
        <v>379.96179999999998</v>
      </c>
      <c r="C286" s="58">
        <v>361.63</v>
      </c>
      <c r="D286" s="58">
        <v>371</v>
      </c>
      <c r="E286" s="58">
        <v>3001842</v>
      </c>
      <c r="F286" s="58" t="s">
        <v>268</v>
      </c>
      <c r="G286" s="25">
        <f t="shared" si="7"/>
        <v>-2.5336927223719163E-3</v>
      </c>
      <c r="I286" s="59">
        <v>-1.4000000000000005E-2</v>
      </c>
      <c r="J286">
        <v>2</v>
      </c>
      <c r="L286" s="57">
        <f t="shared" si="8"/>
        <v>-1.5000000000000006E-2</v>
      </c>
      <c r="M286" s="1">
        <f t="shared" si="9"/>
        <v>11.286560410975092</v>
      </c>
    </row>
    <row r="287" spans="1:13" ht="15">
      <c r="A287" s="58">
        <v>372.42</v>
      </c>
      <c r="B287" s="58">
        <v>376.1499</v>
      </c>
      <c r="C287" s="58">
        <v>356.94</v>
      </c>
      <c r="D287" s="58">
        <v>359.81</v>
      </c>
      <c r="E287" s="58">
        <v>3961085</v>
      </c>
      <c r="F287" s="58" t="s">
        <v>269</v>
      </c>
      <c r="G287" s="25">
        <f t="shared" si="7"/>
        <v>3.5046274422611878E-2</v>
      </c>
      <c r="I287" s="59">
        <v>-1.3000000000000005E-2</v>
      </c>
      <c r="J287">
        <v>8</v>
      </c>
      <c r="L287" s="57">
        <f t="shared" si="8"/>
        <v>-1.4000000000000005E-2</v>
      </c>
      <c r="M287" s="1">
        <f t="shared" si="9"/>
        <v>11.528240312040804</v>
      </c>
    </row>
    <row r="288" spans="1:13" ht="15">
      <c r="A288" s="58">
        <v>360.49</v>
      </c>
      <c r="B288" s="58">
        <v>366.66</v>
      </c>
      <c r="C288" s="58">
        <v>337.31</v>
      </c>
      <c r="D288" s="58">
        <v>342.49</v>
      </c>
      <c r="E288" s="58">
        <v>4980362</v>
      </c>
      <c r="F288" s="58" t="s">
        <v>270</v>
      </c>
      <c r="G288" s="25">
        <f t="shared" si="7"/>
        <v>5.2556279015445684E-2</v>
      </c>
      <c r="I288" s="59">
        <v>-1.2000000000000004E-2</v>
      </c>
      <c r="J288">
        <v>5</v>
      </c>
      <c r="L288" s="57">
        <f t="shared" si="8"/>
        <v>-1.3000000000000005E-2</v>
      </c>
      <c r="M288" s="1">
        <f t="shared" si="9"/>
        <v>11.761069955865604</v>
      </c>
    </row>
    <row r="289" spans="1:13" ht="15">
      <c r="A289" s="58">
        <v>336.09</v>
      </c>
      <c r="B289" s="58">
        <v>358.88</v>
      </c>
      <c r="C289" s="58">
        <v>333.19</v>
      </c>
      <c r="D289" s="58">
        <v>354.04</v>
      </c>
      <c r="E289" s="58">
        <v>5443591</v>
      </c>
      <c r="F289" s="58" t="s">
        <v>271</v>
      </c>
      <c r="G289" s="25">
        <f t="shared" si="7"/>
        <v>-5.0700485820811325E-2</v>
      </c>
      <c r="I289" s="59">
        <v>-1.1000000000000003E-2</v>
      </c>
      <c r="J289">
        <v>5</v>
      </c>
      <c r="L289" s="57">
        <f t="shared" si="8"/>
        <v>-1.2000000000000004E-2</v>
      </c>
      <c r="M289" s="1">
        <f t="shared" si="9"/>
        <v>11.984310348870368</v>
      </c>
    </row>
    <row r="290" spans="1:13" ht="15">
      <c r="A290" s="58">
        <v>326.07</v>
      </c>
      <c r="B290" s="58">
        <v>331.22</v>
      </c>
      <c r="C290" s="58">
        <v>317.60000000000002</v>
      </c>
      <c r="D290" s="58">
        <v>319.05</v>
      </c>
      <c r="E290" s="58">
        <v>3471430</v>
      </c>
      <c r="F290" s="58" t="s">
        <v>272</v>
      </c>
      <c r="G290" s="25">
        <f t="shared" si="7"/>
        <v>2.2002820874470919E-2</v>
      </c>
      <c r="I290" s="59">
        <v>-1.0000000000000002E-2</v>
      </c>
      <c r="J290">
        <v>6</v>
      </c>
      <c r="L290" s="57">
        <f t="shared" si="8"/>
        <v>-1.1000000000000003E-2</v>
      </c>
      <c r="M290" s="1">
        <f t="shared" si="9"/>
        <v>12.197242622287078</v>
      </c>
    </row>
    <row r="291" spans="1:13" ht="15">
      <c r="A291" s="58">
        <v>313.08</v>
      </c>
      <c r="B291" s="58">
        <v>324.93</v>
      </c>
      <c r="C291" s="58">
        <v>306.20999999999998</v>
      </c>
      <c r="D291" s="58">
        <v>320</v>
      </c>
      <c r="E291" s="58">
        <v>2526764</v>
      </c>
      <c r="F291" s="58" t="s">
        <v>273</v>
      </c>
      <c r="G291" s="25">
        <f t="shared" si="7"/>
        <v>-2.1625000000000005E-2</v>
      </c>
      <c r="I291" s="59">
        <v>-9.0000000000000011E-3</v>
      </c>
      <c r="J291">
        <v>5</v>
      </c>
      <c r="L291" s="57">
        <f t="shared" si="8"/>
        <v>-1.0000000000000002E-2</v>
      </c>
      <c r="M291" s="1">
        <f t="shared" si="9"/>
        <v>12.39917187035231</v>
      </c>
    </row>
    <row r="292" spans="1:13" ht="15">
      <c r="A292" s="58">
        <v>323.55</v>
      </c>
      <c r="B292" s="58">
        <v>339.99</v>
      </c>
      <c r="C292" s="58">
        <v>321.77999999999997</v>
      </c>
      <c r="D292" s="58">
        <v>335.26</v>
      </c>
      <c r="E292" s="58">
        <v>2860862</v>
      </c>
      <c r="F292" s="58" t="s">
        <v>274</v>
      </c>
      <c r="G292" s="25">
        <f t="shared" si="7"/>
        <v>-3.492811549245356E-2</v>
      </c>
      <c r="I292" s="59">
        <v>-8.0000000000000002E-3</v>
      </c>
      <c r="J292">
        <v>3</v>
      </c>
      <c r="L292" s="57">
        <f t="shared" si="8"/>
        <v>-9.0000000000000011E-3</v>
      </c>
      <c r="M292" s="1">
        <f t="shared" si="9"/>
        <v>12.589430915042165</v>
      </c>
    </row>
    <row r="293" spans="1:13" ht="15">
      <c r="A293" s="58">
        <v>327.91000000000014</v>
      </c>
      <c r="B293" s="58">
        <v>332.05683843247209</v>
      </c>
      <c r="C293" s="58">
        <v>315.75926377376902</v>
      </c>
      <c r="D293" s="58">
        <v>318.32730588737212</v>
      </c>
      <c r="E293" s="58">
        <v>4018300.2355524367</v>
      </c>
      <c r="F293" s="58" t="s">
        <v>275</v>
      </c>
      <c r="G293" s="25">
        <f t="shared" si="7"/>
        <v>3.0103274005713221E-2</v>
      </c>
      <c r="I293" s="59">
        <v>-7.0000000000000001E-3</v>
      </c>
      <c r="J293">
        <v>11</v>
      </c>
      <c r="L293" s="57">
        <f t="shared" si="8"/>
        <v>-8.0000000000000002E-3</v>
      </c>
      <c r="M293" s="1">
        <f t="shared" si="9"/>
        <v>12.767383968919738</v>
      </c>
    </row>
    <row r="294" spans="1:13" ht="15">
      <c r="A294" s="58">
        <v>328.30969527059983</v>
      </c>
      <c r="B294" s="58">
        <v>330.87773738420293</v>
      </c>
      <c r="C294" s="58">
        <v>322.82387768161885</v>
      </c>
      <c r="D294" s="58">
        <v>323.12364913456861</v>
      </c>
      <c r="E294" s="58">
        <v>1636567.7757921375</v>
      </c>
      <c r="F294" s="58" t="s">
        <v>276</v>
      </c>
      <c r="G294" s="25">
        <f t="shared" si="7"/>
        <v>1.6049726319695701E-2</v>
      </c>
      <c r="I294" s="59">
        <v>-6.0000000000000001E-3</v>
      </c>
      <c r="J294">
        <v>8</v>
      </c>
      <c r="L294" s="57">
        <f t="shared" si="8"/>
        <v>-7.0000000000000001E-3</v>
      </c>
      <c r="M294" s="1">
        <f t="shared" si="9"/>
        <v>12.932430168034792</v>
      </c>
    </row>
    <row r="295" spans="1:13" ht="15">
      <c r="A295" s="58">
        <v>322.0544642857144</v>
      </c>
      <c r="B295" s="58">
        <v>333.99536049488069</v>
      </c>
      <c r="C295" s="58">
        <v>317.25812103851791</v>
      </c>
      <c r="D295" s="58">
        <v>333.07606137250133</v>
      </c>
      <c r="E295" s="58">
        <v>2469420.262389069</v>
      </c>
      <c r="F295" s="58" t="s">
        <v>277</v>
      </c>
      <c r="G295" s="25">
        <f t="shared" si="7"/>
        <v>-3.309033090330904E-2</v>
      </c>
      <c r="I295" s="59">
        <v>-5.0000000000000001E-3</v>
      </c>
      <c r="J295">
        <v>3</v>
      </c>
      <c r="L295" s="57">
        <f t="shared" si="8"/>
        <v>-6.0000000000000001E-3</v>
      </c>
      <c r="M295" s="1">
        <f t="shared" si="9"/>
        <v>13.084006947459088</v>
      </c>
    </row>
    <row r="296" spans="1:13" ht="15">
      <c r="A296" s="58">
        <v>321.18512707216007</v>
      </c>
      <c r="B296" s="58">
        <v>322.96367110251111</v>
      </c>
      <c r="C296" s="58">
        <v>305.76698193259398</v>
      </c>
      <c r="D296" s="58">
        <v>309.7638347147734</v>
      </c>
      <c r="E296" s="58">
        <v>2802854.2802598262</v>
      </c>
      <c r="F296" s="58" t="s">
        <v>278</v>
      </c>
      <c r="G296" s="25">
        <f t="shared" si="7"/>
        <v>3.6870967741935656E-2</v>
      </c>
      <c r="I296" s="59">
        <v>-4.0000000000000001E-3</v>
      </c>
      <c r="J296">
        <v>3</v>
      </c>
      <c r="L296" s="57">
        <f t="shared" si="8"/>
        <v>-5.0000000000000001E-3</v>
      </c>
      <c r="M296" s="1">
        <f t="shared" si="9"/>
        <v>13.221593232957506</v>
      </c>
    </row>
    <row r="297" spans="1:13" ht="15">
      <c r="A297" s="58">
        <v>309.71387280594843</v>
      </c>
      <c r="B297" s="58">
        <v>321.99450999512447</v>
      </c>
      <c r="C297" s="58">
        <v>302.86909129692845</v>
      </c>
      <c r="D297" s="58">
        <v>311.80228059483193</v>
      </c>
      <c r="E297" s="58">
        <v>4448210.751486687</v>
      </c>
      <c r="F297" s="58" t="s">
        <v>279</v>
      </c>
      <c r="G297" s="25">
        <f t="shared" si="7"/>
        <v>-6.6978592488143862E-3</v>
      </c>
      <c r="I297" s="59">
        <v>-3.0000000000000001E-3</v>
      </c>
      <c r="J297">
        <v>9</v>
      </c>
      <c r="L297" s="57">
        <f t="shared" si="8"/>
        <v>-4.0000000000000001E-3</v>
      </c>
      <c r="M297" s="1">
        <f t="shared" si="9"/>
        <v>13.3447124234788</v>
      </c>
    </row>
    <row r="298" spans="1:13" ht="15">
      <c r="A298" s="58">
        <v>326.5610284617261</v>
      </c>
      <c r="B298" s="58">
        <v>333.04608422720639</v>
      </c>
      <c r="C298" s="58">
        <v>281.34640028949303</v>
      </c>
      <c r="D298" s="58">
        <v>282.99424396635794</v>
      </c>
      <c r="E298" s="58">
        <v>7488274.743679665</v>
      </c>
      <c r="F298" s="58" t="s">
        <v>280</v>
      </c>
      <c r="G298" s="25">
        <f t="shared" si="7"/>
        <v>0.15394936619469668</v>
      </c>
      <c r="I298" s="59">
        <v>-2E-3</v>
      </c>
      <c r="J298">
        <v>12</v>
      </c>
      <c r="L298" s="57">
        <f t="shared" si="8"/>
        <v>-3.0000000000000001E-3</v>
      </c>
      <c r="M298" s="1">
        <f t="shared" si="9"/>
        <v>13.452935140591308</v>
      </c>
    </row>
    <row r="299" spans="1:13" ht="15">
      <c r="A299" s="58">
        <v>286.67144045587526</v>
      </c>
      <c r="B299" s="58">
        <v>306.82607447586554</v>
      </c>
      <c r="C299" s="58">
        <v>279.35881563261836</v>
      </c>
      <c r="D299" s="58">
        <v>303.53858087518296</v>
      </c>
      <c r="E299" s="58">
        <v>5862839.4488731641</v>
      </c>
      <c r="F299" s="58" t="s">
        <v>281</v>
      </c>
      <c r="G299" s="25">
        <f t="shared" si="7"/>
        <v>-5.5568357639003363E-2</v>
      </c>
      <c r="I299" s="59">
        <v>-1E-3</v>
      </c>
      <c r="J299">
        <v>6</v>
      </c>
      <c r="L299" s="57">
        <f>L300-0.001</f>
        <v>-2E-3</v>
      </c>
      <c r="M299" s="1">
        <f t="shared" si="9"/>
        <v>13.545881722675754</v>
      </c>
    </row>
    <row r="300" spans="1:13" ht="15">
      <c r="A300" s="58">
        <v>285.85206515114589</v>
      </c>
      <c r="B300" s="58">
        <v>298.26260330326681</v>
      </c>
      <c r="C300" s="58">
        <v>252.88340060336432</v>
      </c>
      <c r="D300" s="58">
        <v>256.82419612384211</v>
      </c>
      <c r="E300" s="58">
        <v>6527208.5808910951</v>
      </c>
      <c r="F300" s="58" t="s">
        <v>282</v>
      </c>
      <c r="G300" s="25">
        <f t="shared" si="7"/>
        <v>0.11302622364018378</v>
      </c>
      <c r="I300" s="59">
        <v>0</v>
      </c>
      <c r="J300">
        <v>1</v>
      </c>
      <c r="L300" s="57">
        <f>L301-0.001</f>
        <v>-1E-3</v>
      </c>
      <c r="M300" s="1">
        <f t="shared" si="9"/>
        <v>13.623224443604377</v>
      </c>
    </row>
    <row r="301" spans="1:13" ht="15">
      <c r="A301" s="58">
        <v>271.27318015602157</v>
      </c>
      <c r="B301" s="58">
        <v>283.2540458922478</v>
      </c>
      <c r="C301" s="58">
        <v>252.05783002194062</v>
      </c>
      <c r="D301" s="58">
        <v>276.94885299853746</v>
      </c>
      <c r="E301" s="58">
        <v>8101958.2622060897</v>
      </c>
      <c r="F301" s="58" t="s">
        <v>283</v>
      </c>
      <c r="G301" s="25">
        <f t="shared" si="7"/>
        <v>-2.0493577716842459E-2</v>
      </c>
      <c r="I301" s="59">
        <v>1E-3</v>
      </c>
      <c r="J301">
        <v>6</v>
      </c>
      <c r="L301" s="57">
        <v>0</v>
      </c>
      <c r="M301" s="1">
        <f t="shared" si="9"/>
        <v>13.684689437764181</v>
      </c>
    </row>
    <row r="302" spans="1:13" ht="15">
      <c r="A302" s="58">
        <v>297.43323561677244</v>
      </c>
      <c r="B302" s="58">
        <v>315.62936281082409</v>
      </c>
      <c r="C302" s="58">
        <v>293.25142384812301</v>
      </c>
      <c r="D302" s="58">
        <v>306.72115446733312</v>
      </c>
      <c r="E302" s="58">
        <v>5756568.489158608</v>
      </c>
      <c r="F302" s="58" t="s">
        <v>284</v>
      </c>
      <c r="G302" s="25">
        <f t="shared" si="7"/>
        <v>-3.0281311592904481E-2</v>
      </c>
      <c r="I302" s="59">
        <v>2E-3</v>
      </c>
      <c r="J302">
        <v>4</v>
      </c>
      <c r="L302" s="25">
        <f t="shared" ref="L302:L333" si="10">L301+0.001</f>
        <v>1E-3</v>
      </c>
      <c r="M302" s="1">
        <f t="shared" si="9"/>
        <v>13.730058315601317</v>
      </c>
    </row>
    <row r="303" spans="1:13" ht="15">
      <c r="A303" s="58">
        <v>330.54798878595824</v>
      </c>
      <c r="B303" s="58">
        <v>335.52919109580711</v>
      </c>
      <c r="C303" s="58">
        <v>305.76688200877635</v>
      </c>
      <c r="D303" s="58">
        <v>306.84605923939552</v>
      </c>
      <c r="E303" s="58">
        <v>4206410.5424049264</v>
      </c>
      <c r="F303" s="58" t="s">
        <v>285</v>
      </c>
      <c r="G303" s="25">
        <f t="shared" si="7"/>
        <v>7.7243714992835999E-2</v>
      </c>
      <c r="I303" s="59">
        <v>3.0000000000000001E-3</v>
      </c>
      <c r="J303">
        <v>6</v>
      </c>
      <c r="L303" s="25">
        <f t="shared" si="10"/>
        <v>2E-3</v>
      </c>
      <c r="M303" s="1">
        <f t="shared" si="9"/>
        <v>13.759169456350143</v>
      </c>
    </row>
    <row r="304" spans="1:13" ht="15">
      <c r="A304" s="58">
        <v>315.39953803022928</v>
      </c>
      <c r="B304" s="58">
        <v>316.18893618966371</v>
      </c>
      <c r="C304" s="58">
        <v>302.16962457337894</v>
      </c>
      <c r="D304" s="58">
        <v>307.36566309117518</v>
      </c>
      <c r="E304" s="58">
        <v>3547164.3131347001</v>
      </c>
      <c r="F304" s="58" t="s">
        <v>286</v>
      </c>
      <c r="G304" s="25">
        <f t="shared" si="7"/>
        <v>2.61378413524056E-2</v>
      </c>
      <c r="I304" s="59">
        <v>4.0000000000000001E-3</v>
      </c>
      <c r="J304">
        <v>5</v>
      </c>
      <c r="L304" s="25">
        <f t="shared" si="10"/>
        <v>3.0000000000000001E-3</v>
      </c>
      <c r="M304" s="1">
        <f t="shared" si="9"/>
        <v>13.771918967238275</v>
      </c>
    </row>
    <row r="305" spans="1:13" ht="15">
      <c r="A305" s="58">
        <v>305.04743052169681</v>
      </c>
      <c r="B305" s="58">
        <v>305.79685915407129</v>
      </c>
      <c r="C305" s="58">
        <v>287.78059483178947</v>
      </c>
      <c r="D305" s="58">
        <v>291.12804272306204</v>
      </c>
      <c r="E305" s="58">
        <v>4681914.7927175118</v>
      </c>
      <c r="F305" s="58" t="s">
        <v>287</v>
      </c>
      <c r="G305" s="25">
        <f t="shared" si="7"/>
        <v>4.781191007379415E-2</v>
      </c>
      <c r="I305" s="59">
        <v>5.0000000000000001E-3</v>
      </c>
      <c r="J305">
        <v>7</v>
      </c>
      <c r="L305" s="25">
        <f t="shared" si="10"/>
        <v>4.0000000000000001E-3</v>
      </c>
      <c r="M305" s="1">
        <f t="shared" ref="M305:M336" si="11">_xlfn.NORM.DIST(L305,$K$200,$K$202,FALSE)</f>
        <v>13.768261301200909</v>
      </c>
    </row>
    <row r="306" spans="1:13" ht="15">
      <c r="A306" s="58">
        <v>302.69922080692356</v>
      </c>
      <c r="B306" s="58">
        <v>308.64468795709422</v>
      </c>
      <c r="C306" s="58">
        <v>298.90211573622634</v>
      </c>
      <c r="D306" s="58">
        <v>301.76992930277925</v>
      </c>
      <c r="E306" s="58">
        <v>2727415.8094599117</v>
      </c>
      <c r="F306" s="58" t="s">
        <v>288</v>
      </c>
      <c r="G306" s="25">
        <f t="shared" si="7"/>
        <v>3.0794701986753825E-3</v>
      </c>
      <c r="I306" s="59">
        <v>6.0000000000000001E-3</v>
      </c>
      <c r="J306">
        <v>8</v>
      </c>
      <c r="L306" s="25">
        <f t="shared" si="10"/>
        <v>5.0000000000000001E-3</v>
      </c>
      <c r="M306" s="1">
        <f t="shared" si="11"/>
        <v>13.74820952796464</v>
      </c>
    </row>
    <row r="307" spans="1:13" ht="15">
      <c r="A307" s="58">
        <v>302.76916747927851</v>
      </c>
      <c r="B307" s="58">
        <v>314.74993329168706</v>
      </c>
      <c r="C307" s="58">
        <v>302.09967790102399</v>
      </c>
      <c r="D307" s="58">
        <v>309.94369758654329</v>
      </c>
      <c r="E307" s="58">
        <v>3817129.9793235934</v>
      </c>
      <c r="F307" s="58" t="s">
        <v>289</v>
      </c>
      <c r="G307" s="25">
        <f t="shared" si="7"/>
        <v>-2.3147849635695494E-2</v>
      </c>
      <c r="I307" s="59">
        <v>7.0000000000000001E-3</v>
      </c>
      <c r="J307">
        <v>6</v>
      </c>
      <c r="L307" s="25">
        <f t="shared" si="10"/>
        <v>6.0000000000000001E-3</v>
      </c>
      <c r="M307" s="1">
        <f t="shared" si="11"/>
        <v>13.711835256242864</v>
      </c>
    </row>
    <row r="308" spans="1:13" ht="15">
      <c r="A308" s="58">
        <v>317.45796867381779</v>
      </c>
      <c r="B308" s="58">
        <v>335.19444630667977</v>
      </c>
      <c r="C308" s="58">
        <v>314.42028461726005</v>
      </c>
      <c r="D308" s="58">
        <v>335.19444630667977</v>
      </c>
      <c r="E308" s="58">
        <v>3806450.8437071131</v>
      </c>
      <c r="F308" s="58" t="s">
        <v>290</v>
      </c>
      <c r="G308" s="25">
        <f t="shared" si="7"/>
        <v>-5.2913996124608564E-2</v>
      </c>
      <c r="I308" s="59">
        <v>8.0000000000000002E-3</v>
      </c>
      <c r="J308">
        <v>8</v>
      </c>
      <c r="L308" s="25">
        <f t="shared" si="10"/>
        <v>7.0000000000000001E-3</v>
      </c>
      <c r="M308" s="1">
        <f t="shared" si="11"/>
        <v>13.659268207690962</v>
      </c>
    </row>
    <row r="309" spans="1:13" ht="15">
      <c r="A309" s="58">
        <v>335.94387493905424</v>
      </c>
      <c r="B309" s="58">
        <v>344.67721660165785</v>
      </c>
      <c r="C309" s="58">
        <v>332.95615279132141</v>
      </c>
      <c r="D309" s="58">
        <v>343.60803175280364</v>
      </c>
      <c r="E309" s="58">
        <v>2633719.4293556148</v>
      </c>
      <c r="F309" s="58" t="s">
        <v>291</v>
      </c>
      <c r="G309" s="25">
        <f t="shared" si="7"/>
        <v>-2.2304940820659036E-2</v>
      </c>
      <c r="I309" s="59">
        <v>9.0000000000000011E-3</v>
      </c>
      <c r="J309">
        <v>7</v>
      </c>
      <c r="L309" s="25">
        <f t="shared" si="10"/>
        <v>8.0000000000000002E-3</v>
      </c>
      <c r="M309" s="1">
        <f t="shared" si="11"/>
        <v>13.59069544616859</v>
      </c>
    </row>
    <row r="310" spans="1:13" ht="15">
      <c r="A310" s="58">
        <v>343.30826029985388</v>
      </c>
      <c r="B310" s="58">
        <v>349.35365126767442</v>
      </c>
      <c r="C310" s="58">
        <v>338.89182740736237</v>
      </c>
      <c r="D310" s="58">
        <v>343.9777498781084</v>
      </c>
      <c r="E310" s="58">
        <v>3143405.7203500946</v>
      </c>
      <c r="F310" s="58" t="s">
        <v>292</v>
      </c>
      <c r="G310" s="25">
        <f t="shared" si="7"/>
        <v>-1.9463165233557511E-3</v>
      </c>
      <c r="I310" s="59">
        <v>1.0000000000000002E-2</v>
      </c>
      <c r="J310">
        <v>9</v>
      </c>
      <c r="L310" s="25">
        <f t="shared" si="10"/>
        <v>9.0000000000000011E-3</v>
      </c>
      <c r="M310" s="1">
        <f t="shared" si="11"/>
        <v>13.506360268717556</v>
      </c>
    </row>
    <row r="311" spans="1:13" ht="15">
      <c r="A311" s="58">
        <v>333.61564998781097</v>
      </c>
      <c r="B311" s="58">
        <v>334.89707302535362</v>
      </c>
      <c r="C311" s="58">
        <v>324.86232356167739</v>
      </c>
      <c r="D311" s="58">
        <v>330.38811067771832</v>
      </c>
      <c r="E311" s="58">
        <v>3014434.4670183882</v>
      </c>
      <c r="F311" s="58" t="s">
        <v>293</v>
      </c>
      <c r="G311" s="25">
        <f t="shared" si="7"/>
        <v>9.7689329784660384E-3</v>
      </c>
      <c r="I311" s="59">
        <v>1.1000000000000003E-2</v>
      </c>
      <c r="J311">
        <v>5</v>
      </c>
      <c r="L311" s="25">
        <f t="shared" si="10"/>
        <v>1.0000000000000002E-2</v>
      </c>
      <c r="M311" s="1">
        <f t="shared" si="11"/>
        <v>13.406560767456481</v>
      </c>
    </row>
    <row r="312" spans="1:13" ht="15">
      <c r="A312" s="58">
        <v>336.5733949902488</v>
      </c>
      <c r="B312" s="58">
        <v>342.07919734275976</v>
      </c>
      <c r="C312" s="58">
        <v>329.0191543759143</v>
      </c>
      <c r="D312" s="58">
        <v>329.0191543759143</v>
      </c>
      <c r="E312" s="58">
        <v>3502786.5050776112</v>
      </c>
      <c r="F312" s="58" t="s">
        <v>294</v>
      </c>
      <c r="G312" s="25">
        <f t="shared" si="7"/>
        <v>2.2959880948765443E-2</v>
      </c>
      <c r="I312" s="59">
        <v>1.2000000000000004E-2</v>
      </c>
      <c r="J312">
        <v>4</v>
      </c>
      <c r="L312" s="25">
        <f t="shared" si="10"/>
        <v>1.1000000000000003E-2</v>
      </c>
      <c r="M312" s="1">
        <f t="shared" si="11"/>
        <v>13.291648074288029</v>
      </c>
    </row>
    <row r="313" spans="1:13" ht="15">
      <c r="A313" s="58">
        <v>335.54417966845455</v>
      </c>
      <c r="B313" s="58">
        <v>343.15837457337898</v>
      </c>
      <c r="C313" s="58">
        <v>320.25583556801575</v>
      </c>
      <c r="D313" s="58">
        <v>323.01872912603619</v>
      </c>
      <c r="E313" s="58">
        <v>3448205.9243084979</v>
      </c>
      <c r="F313" s="58" t="s">
        <v>295</v>
      </c>
      <c r="G313" s="25">
        <f t="shared" ref="G313:G376" si="12">A313/D313-1</f>
        <v>3.8776236214870252E-2</v>
      </c>
      <c r="I313" s="59">
        <v>1.3000000000000005E-2</v>
      </c>
      <c r="J313">
        <v>1</v>
      </c>
      <c r="L313" s="25">
        <f t="shared" si="10"/>
        <v>1.2000000000000004E-2</v>
      </c>
      <c r="M313" s="1">
        <f t="shared" si="11"/>
        <v>13.162024302882525</v>
      </c>
    </row>
    <row r="314" spans="1:13" ht="15">
      <c r="A314" s="58">
        <v>318.68703163091186</v>
      </c>
      <c r="B314" s="58">
        <v>330.7247540193809</v>
      </c>
      <c r="C314" s="58">
        <v>314.32255912359841</v>
      </c>
      <c r="D314" s="58">
        <v>328.74936006825953</v>
      </c>
      <c r="E314" s="58">
        <v>2776250.0125034298</v>
      </c>
      <c r="F314" s="58" t="s">
        <v>296</v>
      </c>
      <c r="G314" s="25">
        <f t="shared" si="12"/>
        <v>-3.0607902735562464E-2</v>
      </c>
      <c r="I314" s="59">
        <v>1.4000000000000005E-2</v>
      </c>
      <c r="J314">
        <v>5</v>
      </c>
      <c r="L314" s="25">
        <f t="shared" si="10"/>
        <v>1.3000000000000005E-2</v>
      </c>
      <c r="M314" s="1">
        <f t="shared" si="11"/>
        <v>13.018140204816929</v>
      </c>
    </row>
    <row r="315" spans="1:13" ht="15">
      <c r="A315" s="58">
        <v>331.70710507069731</v>
      </c>
      <c r="B315" s="58">
        <v>335.03456819843996</v>
      </c>
      <c r="C315" s="58">
        <v>310.76307289127266</v>
      </c>
      <c r="D315" s="58">
        <v>312.26193015602161</v>
      </c>
      <c r="E315" s="58">
        <v>4379961.7577993944</v>
      </c>
      <c r="F315" s="58" t="s">
        <v>297</v>
      </c>
      <c r="G315" s="25">
        <f t="shared" si="12"/>
        <v>6.2271999999999661E-2</v>
      </c>
      <c r="I315" s="59">
        <v>1.5000000000000006E-2</v>
      </c>
      <c r="J315">
        <v>8</v>
      </c>
      <c r="L315" s="25">
        <f t="shared" si="10"/>
        <v>1.4000000000000005E-2</v>
      </c>
      <c r="M315" s="1">
        <f t="shared" si="11"/>
        <v>12.860492558984898</v>
      </c>
    </row>
    <row r="316" spans="1:13" ht="15">
      <c r="A316" s="58">
        <v>313.39106929546574</v>
      </c>
      <c r="B316" s="58">
        <v>315.5594161384692</v>
      </c>
      <c r="C316" s="58">
        <v>302.76916747927851</v>
      </c>
      <c r="D316" s="58">
        <v>306.21653918820101</v>
      </c>
      <c r="E316" s="58">
        <v>4407903.0441279598</v>
      </c>
      <c r="F316" s="58" t="s">
        <v>298</v>
      </c>
      <c r="G316" s="25">
        <f t="shared" si="12"/>
        <v>2.3429596997878832E-2</v>
      </c>
      <c r="I316" s="59">
        <v>1.6000000000000007E-2</v>
      </c>
      <c r="J316">
        <v>5</v>
      </c>
      <c r="L316" s="25">
        <f t="shared" si="10"/>
        <v>1.5000000000000006E-2</v>
      </c>
      <c r="M316" s="1">
        <f t="shared" si="11"/>
        <v>12.689621315430712</v>
      </c>
    </row>
    <row r="317" spans="1:13" ht="15">
      <c r="A317" s="58">
        <v>300.01127011214055</v>
      </c>
      <c r="B317" s="58">
        <v>303.25879418576318</v>
      </c>
      <c r="C317" s="58">
        <v>285.13261366406647</v>
      </c>
      <c r="D317" s="58">
        <v>296.77373842028288</v>
      </c>
      <c r="E317" s="58">
        <v>2882625.0515080346</v>
      </c>
      <c r="F317" s="58" t="s">
        <v>299</v>
      </c>
      <c r="G317" s="25">
        <f t="shared" si="12"/>
        <v>1.0909090909090979E-2</v>
      </c>
      <c r="I317" s="59">
        <v>1.7000000000000008E-2</v>
      </c>
      <c r="J317">
        <v>5</v>
      </c>
      <c r="L317" s="25">
        <f t="shared" si="10"/>
        <v>1.6000000000000007E-2</v>
      </c>
      <c r="M317" s="1">
        <f t="shared" si="11"/>
        <v>12.50610651657604</v>
      </c>
    </row>
    <row r="318" spans="1:13" ht="15">
      <c r="A318" s="58">
        <v>298.45245855680167</v>
      </c>
      <c r="B318" s="58">
        <v>307.76535836177487</v>
      </c>
      <c r="C318" s="58">
        <v>292.16725042662125</v>
      </c>
      <c r="D318" s="58">
        <v>301.35024926864952</v>
      </c>
      <c r="E318" s="58">
        <v>4544996.4851331143</v>
      </c>
      <c r="F318" s="58" t="s">
        <v>300</v>
      </c>
      <c r="G318" s="25">
        <f t="shared" si="12"/>
        <v>-9.6160222826445763E-3</v>
      </c>
      <c r="I318" s="59">
        <v>1.8000000000000009E-2</v>
      </c>
      <c r="J318">
        <v>2</v>
      </c>
      <c r="L318" s="25">
        <f t="shared" si="10"/>
        <v>1.7000000000000008E-2</v>
      </c>
      <c r="M318" s="1">
        <f t="shared" si="11"/>
        <v>12.310565020388065</v>
      </c>
    </row>
    <row r="319" spans="1:13" ht="15">
      <c r="A319" s="58">
        <v>283.99348214285726</v>
      </c>
      <c r="B319" s="58">
        <v>291.30770574719662</v>
      </c>
      <c r="C319" s="58">
        <v>268.30544277181872</v>
      </c>
      <c r="D319" s="58">
        <v>269.78431527303763</v>
      </c>
      <c r="E319" s="58">
        <v>5278814.5249611149</v>
      </c>
      <c r="F319" s="58" t="s">
        <v>301</v>
      </c>
      <c r="G319" s="25">
        <f t="shared" si="12"/>
        <v>5.2668617356198544E-2</v>
      </c>
      <c r="I319" s="59">
        <v>1.900000000000001E-2</v>
      </c>
      <c r="J319">
        <v>3</v>
      </c>
      <c r="L319" s="25">
        <f t="shared" si="10"/>
        <v>1.8000000000000009E-2</v>
      </c>
      <c r="M319" s="1">
        <f t="shared" si="11"/>
        <v>12.103647051365096</v>
      </c>
    </row>
    <row r="320" spans="1:13" ht="15">
      <c r="A320" s="58">
        <v>269.92420861774752</v>
      </c>
      <c r="B320" s="58">
        <v>281.15564572159934</v>
      </c>
      <c r="C320" s="58">
        <v>266.26699689176024</v>
      </c>
      <c r="D320" s="58">
        <v>275.75975956850328</v>
      </c>
      <c r="E320" s="58">
        <v>6823969.6604556097</v>
      </c>
      <c r="F320" s="58" t="s">
        <v>302</v>
      </c>
      <c r="G320" s="25">
        <f t="shared" si="12"/>
        <v>-2.1161720476863488E-2</v>
      </c>
      <c r="I320" s="59">
        <v>2.0000000000000011E-2</v>
      </c>
      <c r="J320">
        <v>2</v>
      </c>
      <c r="L320" s="25">
        <f t="shared" si="10"/>
        <v>1.900000000000001E-2</v>
      </c>
      <c r="M320" s="1">
        <f t="shared" si="11"/>
        <v>11.886032606281622</v>
      </c>
    </row>
    <row r="321" spans="1:13" ht="15">
      <c r="A321" s="58">
        <v>289.07960446123855</v>
      </c>
      <c r="B321" s="58">
        <v>300.77069112627998</v>
      </c>
      <c r="C321" s="58">
        <v>279.34702462213568</v>
      </c>
      <c r="D321" s="58">
        <v>292.77678571428584</v>
      </c>
      <c r="E321" s="58">
        <v>7403302.0094538108</v>
      </c>
      <c r="F321" s="58" t="s">
        <v>303</v>
      </c>
      <c r="G321" s="25">
        <f t="shared" si="12"/>
        <v>-1.2627986348122899E-2</v>
      </c>
      <c r="I321" s="59">
        <v>2.1000000000000012E-2</v>
      </c>
      <c r="J321">
        <v>6</v>
      </c>
      <c r="L321" s="25">
        <f t="shared" si="10"/>
        <v>2.0000000000000011E-2</v>
      </c>
      <c r="M321" s="1">
        <f t="shared" si="11"/>
        <v>11.658427742430204</v>
      </c>
    </row>
    <row r="322" spans="1:13" ht="15">
      <c r="A322" s="58">
        <v>292.98662573135067</v>
      </c>
      <c r="B322" s="58">
        <v>308.84453559239404</v>
      </c>
      <c r="C322" s="58">
        <v>288.06038152120925</v>
      </c>
      <c r="D322" s="58">
        <v>306.44636396879582</v>
      </c>
      <c r="E322" s="58">
        <v>7506751.8199505936</v>
      </c>
      <c r="F322" s="58" t="s">
        <v>304</v>
      </c>
      <c r="G322" s="25">
        <f t="shared" si="12"/>
        <v>-4.3922003391156927E-2</v>
      </c>
      <c r="I322" s="59">
        <v>2.2000000000000013E-2</v>
      </c>
      <c r="J322">
        <v>3</v>
      </c>
      <c r="L322" s="25">
        <f t="shared" si="10"/>
        <v>2.1000000000000012E-2</v>
      </c>
      <c r="M322" s="1">
        <f t="shared" si="11"/>
        <v>11.421560776618916</v>
      </c>
    </row>
    <row r="323" spans="1:13" ht="15">
      <c r="A323" s="58">
        <v>316.55865431496846</v>
      </c>
      <c r="B323" s="58">
        <v>323.64325298634822</v>
      </c>
      <c r="C323" s="58">
        <v>310.95302806862514</v>
      </c>
      <c r="D323" s="58">
        <v>314.3103684178451</v>
      </c>
      <c r="E323" s="58">
        <v>4620652.1213747654</v>
      </c>
      <c r="F323" s="58" t="s">
        <v>305</v>
      </c>
      <c r="G323" s="25">
        <f t="shared" si="12"/>
        <v>7.1530758226037161E-3</v>
      </c>
      <c r="I323" s="59">
        <v>2.3000000000000013E-2</v>
      </c>
      <c r="J323">
        <v>5</v>
      </c>
      <c r="L323" s="25">
        <f t="shared" si="10"/>
        <v>2.2000000000000013E-2</v>
      </c>
      <c r="M323" s="1">
        <f t="shared" si="11"/>
        <v>11.176178423428807</v>
      </c>
    </row>
    <row r="324" spans="1:13" ht="15">
      <c r="A324" s="58">
        <v>312.83149591662618</v>
      </c>
      <c r="B324" s="58">
        <v>321.40495947098987</v>
      </c>
      <c r="C324" s="58">
        <v>294.22568107020976</v>
      </c>
      <c r="D324" s="58">
        <v>305.56703437347647</v>
      </c>
      <c r="E324" s="58">
        <v>6262289.7595071793</v>
      </c>
      <c r="F324" s="58" t="s">
        <v>306</v>
      </c>
      <c r="G324" s="25">
        <f t="shared" si="12"/>
        <v>2.3773708306082497E-2</v>
      </c>
      <c r="I324" s="59">
        <v>2.4000000000000014E-2</v>
      </c>
      <c r="J324">
        <v>7</v>
      </c>
      <c r="L324" s="25">
        <f t="shared" si="10"/>
        <v>2.3000000000000013E-2</v>
      </c>
      <c r="M324" s="1">
        <f t="shared" si="11"/>
        <v>10.923041901208276</v>
      </c>
    </row>
    <row r="325" spans="1:13" ht="15">
      <c r="A325" s="58">
        <v>315.73927901023904</v>
      </c>
      <c r="B325" s="58">
        <v>337.17283797233068</v>
      </c>
      <c r="C325" s="58">
        <v>308.53796931984408</v>
      </c>
      <c r="D325" s="58">
        <v>334.44501767430535</v>
      </c>
      <c r="E325" s="58">
        <v>4849936.7958281217</v>
      </c>
      <c r="F325" s="58" t="s">
        <v>307</v>
      </c>
      <c r="G325" s="25">
        <f t="shared" si="12"/>
        <v>-5.5930684194801294E-2</v>
      </c>
      <c r="I325" s="59">
        <v>2.5000000000000015E-2</v>
      </c>
      <c r="J325">
        <v>4</v>
      </c>
      <c r="L325" s="25">
        <f t="shared" si="10"/>
        <v>2.4000000000000014E-2</v>
      </c>
      <c r="M325" s="1">
        <f t="shared" si="11"/>
        <v>10.662923033985857</v>
      </c>
    </row>
    <row r="326" spans="1:13" ht="15">
      <c r="A326" s="58">
        <v>334.924651999025</v>
      </c>
      <c r="B326" s="58">
        <v>335.74402730375442</v>
      </c>
      <c r="C326" s="58">
        <v>318.43722208678707</v>
      </c>
      <c r="D326" s="58">
        <v>322.10442619453943</v>
      </c>
      <c r="E326" s="58">
        <v>4099730.2708670045</v>
      </c>
      <c r="F326" s="58" t="s">
        <v>308</v>
      </c>
      <c r="G326" s="25">
        <f t="shared" si="12"/>
        <v>3.9801458042500126E-2</v>
      </c>
      <c r="I326" s="59">
        <v>2.6000000000000016E-2</v>
      </c>
      <c r="J326">
        <v>2</v>
      </c>
      <c r="L326" s="25">
        <f t="shared" si="10"/>
        <v>2.5000000000000015E-2</v>
      </c>
      <c r="M326" s="1">
        <f t="shared" si="11"/>
        <v>10.396600376927921</v>
      </c>
    </row>
    <row r="327" spans="1:13" ht="15">
      <c r="A327" s="58">
        <v>326.03143222818147</v>
      </c>
      <c r="B327" s="58">
        <v>348.24449689176026</v>
      </c>
      <c r="C327" s="58">
        <v>321.75469283276465</v>
      </c>
      <c r="D327" s="58">
        <v>344.91703376401767</v>
      </c>
      <c r="E327" s="58">
        <v>4771640.1476014741</v>
      </c>
      <c r="F327" s="58" t="s">
        <v>309</v>
      </c>
      <c r="G327" s="25">
        <f t="shared" si="12"/>
        <v>-5.4754041369720174E-2</v>
      </c>
      <c r="I327" s="59">
        <v>2.7000000000000017E-2</v>
      </c>
      <c r="J327">
        <v>3</v>
      </c>
      <c r="L327" s="25">
        <f t="shared" si="10"/>
        <v>2.6000000000000016E-2</v>
      </c>
      <c r="M327" s="1">
        <f t="shared" si="11"/>
        <v>10.12485539216458</v>
      </c>
    </row>
    <row r="328" spans="1:13" ht="15">
      <c r="A328" s="58">
        <v>334.98460628961499</v>
      </c>
      <c r="B328" s="58">
        <v>341.80940303510494</v>
      </c>
      <c r="C328" s="58">
        <v>327.60023616528537</v>
      </c>
      <c r="D328" s="58">
        <v>334.57491863725022</v>
      </c>
      <c r="E328" s="58">
        <v>4687813.2863285635</v>
      </c>
      <c r="F328" s="58" t="s">
        <v>310</v>
      </c>
      <c r="G328" s="25">
        <f t="shared" si="12"/>
        <v>1.2245019860825934E-3</v>
      </c>
      <c r="I328" s="59">
        <v>2.8000000000000018E-2</v>
      </c>
      <c r="J328">
        <v>7</v>
      </c>
      <c r="L328" s="25">
        <f t="shared" si="10"/>
        <v>2.7000000000000017E-2</v>
      </c>
      <c r="M328" s="1">
        <f t="shared" si="11"/>
        <v>9.8484687007697662</v>
      </c>
    </row>
    <row r="329" spans="1:13" ht="15">
      <c r="A329" s="58">
        <v>317.44797629205277</v>
      </c>
      <c r="B329" s="58">
        <v>321.85861360312055</v>
      </c>
      <c r="C329" s="58">
        <v>297.7729765967822</v>
      </c>
      <c r="D329" s="58">
        <v>307.02592211116541</v>
      </c>
      <c r="E329" s="58">
        <v>6840365.1509255562</v>
      </c>
      <c r="F329" s="58" t="s">
        <v>311</v>
      </c>
      <c r="G329" s="25">
        <f t="shared" si="12"/>
        <v>3.3945192996159612E-2</v>
      </c>
      <c r="I329" s="59">
        <v>2.9000000000000019E-2</v>
      </c>
      <c r="J329">
        <v>2</v>
      </c>
      <c r="L329" s="25">
        <f t="shared" si="10"/>
        <v>2.8000000000000018E-2</v>
      </c>
      <c r="M329" s="1">
        <f t="shared" si="11"/>
        <v>9.5682164354260681</v>
      </c>
    </row>
    <row r="330" spans="1:13" ht="15">
      <c r="A330" s="58">
        <v>315.6693323378841</v>
      </c>
      <c r="B330" s="58">
        <v>329.13586539492945</v>
      </c>
      <c r="C330" s="58">
        <v>303.20883227693821</v>
      </c>
      <c r="D330" s="58">
        <v>327.13059422233067</v>
      </c>
      <c r="E330" s="58">
        <v>7162379.4690006375</v>
      </c>
      <c r="F330" s="58" t="s">
        <v>312</v>
      </c>
      <c r="G330" s="25">
        <f t="shared" si="12"/>
        <v>-3.5035738285783991E-2</v>
      </c>
      <c r="I330" s="59">
        <v>3.000000000000002E-2</v>
      </c>
      <c r="J330">
        <v>3</v>
      </c>
      <c r="L330" s="25">
        <f t="shared" si="10"/>
        <v>2.9000000000000019E-2</v>
      </c>
      <c r="M330" s="1">
        <f t="shared" si="11"/>
        <v>9.2848667168505461</v>
      </c>
    </row>
    <row r="331" spans="1:13" ht="15">
      <c r="A331" s="58">
        <v>327.63021331058036</v>
      </c>
      <c r="B331" s="58">
        <v>359.65579686738192</v>
      </c>
      <c r="C331" s="58">
        <v>325.17208739639216</v>
      </c>
      <c r="D331" s="58">
        <v>357.32757191613865</v>
      </c>
      <c r="E331" s="58">
        <v>6970269.1148180878</v>
      </c>
      <c r="F331" s="58" t="s">
        <v>313</v>
      </c>
      <c r="G331" s="25">
        <f t="shared" si="12"/>
        <v>-8.3109619686800973E-2</v>
      </c>
      <c r="I331" s="59">
        <v>3.1000000000000021E-2</v>
      </c>
      <c r="J331">
        <v>6</v>
      </c>
      <c r="L331" s="25">
        <f t="shared" si="10"/>
        <v>3.000000000000002E-2</v>
      </c>
      <c r="M331" s="1">
        <f t="shared" si="11"/>
        <v>8.9991762754244284</v>
      </c>
    </row>
    <row r="332" spans="1:13" ht="15">
      <c r="A332" s="58">
        <v>359.40598732325708</v>
      </c>
      <c r="B332" s="58">
        <v>382.99800067040485</v>
      </c>
      <c r="C332" s="58">
        <v>352.84099250365693</v>
      </c>
      <c r="D332" s="58">
        <v>374.77427047781583</v>
      </c>
      <c r="E332" s="58">
        <v>3458615.8548382162</v>
      </c>
      <c r="F332" s="58" t="s">
        <v>314</v>
      </c>
      <c r="G332" s="25">
        <f t="shared" si="12"/>
        <v>-4.1006772249773338E-2</v>
      </c>
      <c r="I332" s="59">
        <v>3.2000000000000021E-2</v>
      </c>
      <c r="J332">
        <v>0</v>
      </c>
      <c r="L332" s="25">
        <f t="shared" si="10"/>
        <v>3.1000000000000021E-2</v>
      </c>
      <c r="M332" s="1">
        <f t="shared" si="11"/>
        <v>8.711887237679532</v>
      </c>
    </row>
    <row r="333" spans="1:13" ht="15">
      <c r="A333" s="58">
        <v>374.91416382252572</v>
      </c>
      <c r="B333" s="58">
        <v>376.19318868844482</v>
      </c>
      <c r="C333" s="58">
        <v>365.97098214285728</v>
      </c>
      <c r="D333" s="58">
        <v>369.65817101413961</v>
      </c>
      <c r="E333" s="58">
        <v>1672148.8823152687</v>
      </c>
      <c r="F333" s="58" t="s">
        <v>315</v>
      </c>
      <c r="G333" s="25">
        <f t="shared" si="12"/>
        <v>1.4218521922473748E-2</v>
      </c>
      <c r="I333" s="59">
        <v>3.3000000000000022E-2</v>
      </c>
      <c r="J333">
        <v>2</v>
      </c>
      <c r="L333" s="25">
        <f t="shared" si="10"/>
        <v>3.2000000000000021E-2</v>
      </c>
      <c r="M333" s="1">
        <f t="shared" si="11"/>
        <v>8.4237240953708472</v>
      </c>
    </row>
    <row r="334" spans="1:13" ht="15">
      <c r="A334" s="58">
        <v>372.96564937835217</v>
      </c>
      <c r="B334" s="58">
        <v>377.48210601231125</v>
      </c>
      <c r="C334" s="58">
        <v>363.07319143100943</v>
      </c>
      <c r="D334" s="58">
        <v>367.63970989761111</v>
      </c>
      <c r="E334" s="58">
        <v>2409130.3321033199</v>
      </c>
      <c r="F334" s="58" t="s">
        <v>316</v>
      </c>
      <c r="G334" s="25">
        <f t="shared" si="12"/>
        <v>1.448684496629693E-2</v>
      </c>
      <c r="I334" s="59">
        <v>3.4000000000000023E-2</v>
      </c>
      <c r="J334">
        <v>4</v>
      </c>
      <c r="L334" s="25">
        <f t="shared" ref="L334:L356" si="13">L333+0.001</f>
        <v>3.3000000000000022E-2</v>
      </c>
      <c r="M334" s="1">
        <f t="shared" si="11"/>
        <v>8.1353908728317297</v>
      </c>
    </row>
    <row r="335" spans="1:13" ht="15">
      <c r="A335" s="58">
        <v>367.30996129936631</v>
      </c>
      <c r="B335" s="58">
        <v>368.99867381765006</v>
      </c>
      <c r="C335" s="58">
        <v>356.72802901023903</v>
      </c>
      <c r="D335" s="58">
        <v>368.99867381765006</v>
      </c>
      <c r="E335" s="58">
        <v>2240536.893659845</v>
      </c>
      <c r="F335" s="58" t="s">
        <v>317</v>
      </c>
      <c r="G335" s="25">
        <f t="shared" si="12"/>
        <v>-4.5764731369150047E-3</v>
      </c>
      <c r="I335" s="59">
        <v>3.5000000000000024E-2</v>
      </c>
      <c r="J335">
        <v>2</v>
      </c>
      <c r="L335" s="25">
        <f t="shared" si="13"/>
        <v>3.4000000000000023E-2</v>
      </c>
      <c r="M335" s="1">
        <f t="shared" si="11"/>
        <v>7.8475685061908473</v>
      </c>
    </row>
    <row r="336" spans="1:13" ht="15">
      <c r="A336" s="58">
        <v>370.02788913944431</v>
      </c>
      <c r="B336" s="58">
        <v>376.91264017552425</v>
      </c>
      <c r="C336" s="58">
        <v>360.32528644563644</v>
      </c>
      <c r="D336" s="58">
        <v>375.71355436372517</v>
      </c>
      <c r="E336" s="58">
        <v>2611681.6404501223</v>
      </c>
      <c r="F336" s="58" t="s">
        <v>318</v>
      </c>
      <c r="G336" s="25">
        <f t="shared" si="12"/>
        <v>-1.5132978723404245E-2</v>
      </c>
      <c r="I336" s="59">
        <v>3.6000000000000025E-2</v>
      </c>
      <c r="J336">
        <v>3</v>
      </c>
      <c r="L336" s="25">
        <f t="shared" si="13"/>
        <v>3.5000000000000024E-2</v>
      </c>
      <c r="M336" s="1">
        <f t="shared" si="11"/>
        <v>7.5609124458528143</v>
      </c>
    </row>
    <row r="337" spans="1:13" ht="15">
      <c r="A337" s="58">
        <v>369.36839194295476</v>
      </c>
      <c r="B337" s="58">
        <v>377.97183264261349</v>
      </c>
      <c r="C337" s="58">
        <v>359.45594923208205</v>
      </c>
      <c r="D337" s="58">
        <v>364.48211725987335</v>
      </c>
      <c r="E337" s="58">
        <v>1826769.6760696524</v>
      </c>
      <c r="F337" s="58" t="s">
        <v>319</v>
      </c>
      <c r="G337" s="25">
        <f t="shared" si="12"/>
        <v>1.3406075227546888E-2</v>
      </c>
      <c r="I337" s="59">
        <v>3.7000000000000026E-2</v>
      </c>
      <c r="J337">
        <v>2</v>
      </c>
      <c r="L337" s="25">
        <f t="shared" si="13"/>
        <v>3.6000000000000025E-2</v>
      </c>
      <c r="M337" s="1">
        <f t="shared" ref="M337:M368" si="14">_xlfn.NORM.DIST(L337,$K$200,$K$202,FALSE)</f>
        <v>7.2760504914327209</v>
      </c>
    </row>
    <row r="338" spans="1:13" ht="15">
      <c r="A338" s="58">
        <v>372.61591601657739</v>
      </c>
      <c r="B338" s="58">
        <v>382.78816065333996</v>
      </c>
      <c r="C338" s="58">
        <v>369.08860525353504</v>
      </c>
      <c r="D338" s="58">
        <v>381.00951669917129</v>
      </c>
      <c r="E338" s="58">
        <v>2065916.864017565</v>
      </c>
      <c r="F338" s="58" t="s">
        <v>320</v>
      </c>
      <c r="G338" s="25">
        <f t="shared" si="12"/>
        <v>-2.2029897718332081E-2</v>
      </c>
      <c r="I338" s="59">
        <v>3.8000000000000027E-2</v>
      </c>
      <c r="J338">
        <v>2</v>
      </c>
      <c r="L338" s="25">
        <f t="shared" si="13"/>
        <v>3.7000000000000026E-2</v>
      </c>
      <c r="M338" s="1">
        <f t="shared" si="14"/>
        <v>6.9935808661125325</v>
      </c>
    </row>
    <row r="339" spans="1:13" ht="15">
      <c r="A339" s="58">
        <v>384.70669795221858</v>
      </c>
      <c r="B339" s="58">
        <v>385.40616467576808</v>
      </c>
      <c r="C339" s="58">
        <v>371.71660165772806</v>
      </c>
      <c r="D339" s="58">
        <v>378.86115461969786</v>
      </c>
      <c r="E339" s="58">
        <v>2080513.9844469512</v>
      </c>
      <c r="F339" s="58" t="s">
        <v>321</v>
      </c>
      <c r="G339" s="25">
        <f t="shared" si="12"/>
        <v>1.5429249637346709E-2</v>
      </c>
      <c r="I339" s="59">
        <v>3.9000000000000028E-2</v>
      </c>
      <c r="J339">
        <v>1</v>
      </c>
      <c r="L339" s="25">
        <f t="shared" si="13"/>
        <v>3.8000000000000027E-2</v>
      </c>
      <c r="M339" s="1">
        <f t="shared" si="14"/>
        <v>6.7140705351785135</v>
      </c>
    </row>
    <row r="340" spans="1:13" ht="15">
      <c r="A340" s="58">
        <v>377.68205357142875</v>
      </c>
      <c r="B340" s="58">
        <v>389.59297263529999</v>
      </c>
      <c r="C340" s="58">
        <v>375.10401907606058</v>
      </c>
      <c r="D340" s="58">
        <v>380.38998902974174</v>
      </c>
      <c r="E340" s="58">
        <v>2393546.4599432764</v>
      </c>
      <c r="F340" s="58" t="s">
        <v>322</v>
      </c>
      <c r="G340" s="25">
        <f t="shared" si="12"/>
        <v>-7.1188399705789385E-3</v>
      </c>
      <c r="I340" s="59">
        <v>4.0000000000000029E-2</v>
      </c>
      <c r="J340">
        <v>3</v>
      </c>
      <c r="L340" s="25">
        <f t="shared" si="13"/>
        <v>3.9000000000000028E-2</v>
      </c>
      <c r="M340" s="1">
        <f t="shared" si="14"/>
        <v>6.4380537713264161</v>
      </c>
    </row>
    <row r="341" spans="1:13" ht="15">
      <c r="A341" s="58">
        <v>374.54444569722102</v>
      </c>
      <c r="B341" s="58">
        <v>379.76046897854724</v>
      </c>
      <c r="C341" s="58">
        <v>364.32054044673345</v>
      </c>
      <c r="D341" s="58">
        <v>365.71118021696748</v>
      </c>
      <c r="E341" s="58">
        <v>2462720.1580921584</v>
      </c>
      <c r="F341" s="58" t="s">
        <v>323</v>
      </c>
      <c r="G341" s="25">
        <f t="shared" si="12"/>
        <v>2.4153665400693969E-2</v>
      </c>
      <c r="I341" s="59">
        <v>4.1000000000000029E-2</v>
      </c>
      <c r="J341">
        <v>1</v>
      </c>
      <c r="L341" s="25">
        <f t="shared" si="13"/>
        <v>4.0000000000000029E-2</v>
      </c>
      <c r="M341" s="1">
        <f t="shared" si="14"/>
        <v>6.166030967205951</v>
      </c>
    </row>
    <row r="342" spans="1:13" ht="15">
      <c r="A342" s="58">
        <v>367.64970227937607</v>
      </c>
      <c r="B342" s="58">
        <v>369.19352526206745</v>
      </c>
      <c r="C342" s="58">
        <v>359.35602541443211</v>
      </c>
      <c r="D342" s="58">
        <v>363.69271910043898</v>
      </c>
      <c r="E342" s="58">
        <v>2812153.3645207514</v>
      </c>
      <c r="F342" s="58" t="s">
        <v>324</v>
      </c>
      <c r="G342" s="25">
        <f t="shared" si="12"/>
        <v>1.0880017583866808E-2</v>
      </c>
      <c r="I342" s="59">
        <v>4.200000000000003E-2</v>
      </c>
      <c r="J342">
        <v>0</v>
      </c>
      <c r="L342" s="25">
        <f t="shared" si="13"/>
        <v>4.1000000000000029E-2</v>
      </c>
      <c r="M342" s="1">
        <f t="shared" si="14"/>
        <v>5.8984676936389473</v>
      </c>
    </row>
    <row r="343" spans="1:13" ht="15">
      <c r="A343" s="58">
        <v>356.25838706728439</v>
      </c>
      <c r="B343" s="58">
        <v>365.8011116528524</v>
      </c>
      <c r="C343" s="58">
        <v>349.29869316796697</v>
      </c>
      <c r="D343" s="58">
        <v>360.32528644563644</v>
      </c>
      <c r="E343" s="58">
        <v>2768475.0893842811</v>
      </c>
      <c r="F343" s="58" t="s">
        <v>325</v>
      </c>
      <c r="G343" s="25">
        <f t="shared" si="12"/>
        <v>-1.1286744315030517E-2</v>
      </c>
      <c r="I343" s="59">
        <v>4.3000000000000031E-2</v>
      </c>
      <c r="J343">
        <v>0</v>
      </c>
      <c r="L343" s="25">
        <f t="shared" si="13"/>
        <v>4.200000000000003E-2</v>
      </c>
      <c r="M343" s="1">
        <f t="shared" si="14"/>
        <v>5.6357940000040987</v>
      </c>
    </row>
    <row r="344" spans="1:13" ht="15">
      <c r="A344" s="58">
        <v>361.4344408215506</v>
      </c>
      <c r="B344" s="58">
        <v>366.91536214346678</v>
      </c>
      <c r="C344" s="58">
        <v>348.68416168941991</v>
      </c>
      <c r="D344" s="58">
        <v>350.0731027547539</v>
      </c>
      <c r="E344" s="58">
        <v>4082478.1277789623</v>
      </c>
      <c r="F344" s="58" t="s">
        <v>326</v>
      </c>
      <c r="G344" s="25">
        <f t="shared" si="12"/>
        <v>3.2454187360849485E-2</v>
      </c>
      <c r="I344" s="59">
        <v>4.4000000000000032E-2</v>
      </c>
      <c r="J344">
        <v>0</v>
      </c>
      <c r="L344" s="25">
        <f t="shared" si="13"/>
        <v>4.3000000000000031E-2</v>
      </c>
      <c r="M344" s="1">
        <f t="shared" si="14"/>
        <v>5.3784039514523379</v>
      </c>
    </row>
    <row r="345" spans="1:13" ht="15">
      <c r="A345" s="58">
        <v>372.59593125304741</v>
      </c>
      <c r="B345" s="58">
        <v>386.78511335933706</v>
      </c>
      <c r="C345" s="58">
        <v>370.27769868356916</v>
      </c>
      <c r="D345" s="58">
        <v>385.26627133105819</v>
      </c>
      <c r="E345" s="58">
        <v>4150016.5801591882</v>
      </c>
      <c r="F345" s="58" t="s">
        <v>327</v>
      </c>
      <c r="G345" s="25">
        <f t="shared" si="12"/>
        <v>-3.2887228965660431E-2</v>
      </c>
      <c r="I345" s="59">
        <v>4.5000000000000033E-2</v>
      </c>
      <c r="J345">
        <v>1</v>
      </c>
      <c r="L345" s="25">
        <f t="shared" si="13"/>
        <v>4.4000000000000032E-2</v>
      </c>
      <c r="M345" s="1">
        <f t="shared" si="14"/>
        <v>5.1266553959148702</v>
      </c>
    </row>
    <row r="346" spans="1:13" ht="15">
      <c r="A346" s="58">
        <v>382.64826730863007</v>
      </c>
      <c r="B346" s="58">
        <v>387.34468673817662</v>
      </c>
      <c r="C346" s="58">
        <v>364.65198774987829</v>
      </c>
      <c r="D346" s="58">
        <v>364.72193442223318</v>
      </c>
      <c r="E346" s="58">
        <v>5686851.3770241812</v>
      </c>
      <c r="F346" s="58" t="s">
        <v>328</v>
      </c>
      <c r="G346" s="25">
        <f t="shared" si="12"/>
        <v>4.9150684931506872E-2</v>
      </c>
      <c r="I346" s="59">
        <v>4.6000000000000034E-2</v>
      </c>
      <c r="J346">
        <v>0</v>
      </c>
      <c r="L346" s="25">
        <f t="shared" si="13"/>
        <v>4.5000000000000033E-2</v>
      </c>
      <c r="M346" s="1">
        <f t="shared" si="14"/>
        <v>4.8808699523031978</v>
      </c>
    </row>
    <row r="347" spans="1:13" ht="15">
      <c r="A347" s="58">
        <v>352.98088584836677</v>
      </c>
      <c r="B347" s="58">
        <v>368.55900901999036</v>
      </c>
      <c r="C347" s="58">
        <v>345.9962109946369</v>
      </c>
      <c r="D347" s="58">
        <v>358.0270386396881</v>
      </c>
      <c r="E347" s="58">
        <v>5453935.9365679584</v>
      </c>
      <c r="F347" s="58" t="s">
        <v>329</v>
      </c>
      <c r="G347" s="25">
        <f t="shared" si="12"/>
        <v>-1.409433435668439E-2</v>
      </c>
      <c r="I347" s="59">
        <v>4.7000000000000035E-2</v>
      </c>
      <c r="J347">
        <v>0</v>
      </c>
      <c r="L347" s="25">
        <f t="shared" si="13"/>
        <v>4.6000000000000034E-2</v>
      </c>
      <c r="M347" s="1">
        <f t="shared" si="14"/>
        <v>4.6413332098874021</v>
      </c>
    </row>
    <row r="348" spans="1:13" ht="15">
      <c r="A348" s="58">
        <v>354.84946123842042</v>
      </c>
      <c r="B348" s="58">
        <v>355.23916412725515</v>
      </c>
      <c r="C348" s="58">
        <v>317.45796867381779</v>
      </c>
      <c r="D348" s="58">
        <v>351.14728379449065</v>
      </c>
      <c r="E348" s="58">
        <v>10404643.501936503</v>
      </c>
      <c r="F348" s="58" t="s">
        <v>330</v>
      </c>
      <c r="G348" s="25">
        <f t="shared" si="12"/>
        <v>1.0543090078681816E-2</v>
      </c>
      <c r="I348" s="59">
        <v>4.8000000000000036E-2</v>
      </c>
      <c r="J348">
        <v>3</v>
      </c>
      <c r="L348" s="25">
        <f t="shared" si="13"/>
        <v>4.7000000000000035E-2</v>
      </c>
      <c r="M348" s="1">
        <f t="shared" si="14"/>
        <v>4.408295127583405</v>
      </c>
    </row>
    <row r="349" spans="1:13" ht="15">
      <c r="A349" s="58">
        <v>329.7485982447588</v>
      </c>
      <c r="B349" s="58">
        <v>352.73107630424198</v>
      </c>
      <c r="C349" s="58">
        <v>322.0544642857144</v>
      </c>
      <c r="D349" s="58">
        <v>339.34128473915177</v>
      </c>
      <c r="E349" s="58">
        <v>13366941.249977123</v>
      </c>
      <c r="F349" s="58" t="s">
        <v>331</v>
      </c>
      <c r="G349" s="25">
        <f t="shared" si="12"/>
        <v>-2.8268551236749095E-2</v>
      </c>
      <c r="I349" s="59">
        <v>4.9000000000000037E-2</v>
      </c>
      <c r="J349">
        <v>0</v>
      </c>
      <c r="L349" s="25">
        <f t="shared" si="13"/>
        <v>4.8000000000000036E-2</v>
      </c>
      <c r="M349" s="1">
        <f t="shared" si="14"/>
        <v>4.181970620787923</v>
      </c>
    </row>
    <row r="350" spans="1:13" ht="15">
      <c r="A350" s="58">
        <v>420.16966083617763</v>
      </c>
      <c r="B350" s="58">
        <v>436.59713645782563</v>
      </c>
      <c r="C350" s="58">
        <v>415.68318134751354</v>
      </c>
      <c r="D350" s="58">
        <v>436.59713645782563</v>
      </c>
      <c r="E350" s="58">
        <v>4721096.6423713807</v>
      </c>
      <c r="F350" s="58" t="s">
        <v>332</v>
      </c>
      <c r="G350" s="25">
        <f t="shared" si="12"/>
        <v>-3.7626164374156112E-2</v>
      </c>
      <c r="I350" s="59">
        <v>5.0000000000000037E-2</v>
      </c>
      <c r="J350">
        <v>1</v>
      </c>
      <c r="L350" s="25">
        <f t="shared" si="13"/>
        <v>4.9000000000000037E-2</v>
      </c>
      <c r="M350" s="1">
        <f t="shared" si="14"/>
        <v>3.962540322474926</v>
      </c>
    </row>
    <row r="351" spans="1:13" ht="15">
      <c r="A351" s="58">
        <v>437.37654223549504</v>
      </c>
      <c r="B351" s="58">
        <v>447.15908398342287</v>
      </c>
      <c r="C351" s="58">
        <v>422.33800767918109</v>
      </c>
      <c r="D351" s="58">
        <v>423.30726871038536</v>
      </c>
      <c r="E351" s="58">
        <v>3928019.457534078</v>
      </c>
      <c r="F351" s="58" t="s">
        <v>333</v>
      </c>
      <c r="G351" s="25">
        <f t="shared" si="12"/>
        <v>3.3236550763638073E-2</v>
      </c>
      <c r="I351" s="59">
        <v>5.1000000000000038E-2</v>
      </c>
      <c r="J351">
        <v>0</v>
      </c>
      <c r="L351" s="25">
        <f t="shared" si="13"/>
        <v>5.0000000000000037E-2</v>
      </c>
      <c r="M351" s="1">
        <f t="shared" si="14"/>
        <v>3.7501515045111535</v>
      </c>
    </row>
    <row r="352" spans="1:13" ht="15">
      <c r="A352" s="58">
        <v>426.77462518283784</v>
      </c>
      <c r="B352" s="58">
        <v>433.76929241833272</v>
      </c>
      <c r="C352" s="58">
        <v>417.78148159434443</v>
      </c>
      <c r="D352" s="58">
        <v>429.67241589468568</v>
      </c>
      <c r="E352" s="58">
        <v>4977736.1563843722</v>
      </c>
      <c r="F352" s="58" t="s">
        <v>334</v>
      </c>
      <c r="G352" s="25">
        <f t="shared" si="12"/>
        <v>-6.7441860465115022E-3</v>
      </c>
      <c r="I352" s="59">
        <v>5.2000000000000039E-2</v>
      </c>
      <c r="J352">
        <v>0</v>
      </c>
      <c r="L352" s="25">
        <f t="shared" si="13"/>
        <v>5.1000000000000038E-2</v>
      </c>
      <c r="M352" s="1">
        <f t="shared" si="14"/>
        <v>3.5449191445603208</v>
      </c>
    </row>
    <row r="353" spans="1:13" ht="15">
      <c r="A353" s="58">
        <v>415.68308142369591</v>
      </c>
      <c r="B353" s="58">
        <v>416.89215961726001</v>
      </c>
      <c r="C353" s="58">
        <v>394.9888587883961</v>
      </c>
      <c r="D353" s="58">
        <v>404.69146148220398</v>
      </c>
      <c r="E353" s="58">
        <v>4226522.8644445101</v>
      </c>
      <c r="F353" s="58" t="s">
        <v>335</v>
      </c>
      <c r="G353" s="25">
        <f t="shared" si="12"/>
        <v>2.7160493827160348E-2</v>
      </c>
      <c r="I353" s="59">
        <v>5.300000000000004E-2</v>
      </c>
      <c r="J353">
        <v>3</v>
      </c>
      <c r="L353" s="25">
        <f t="shared" si="13"/>
        <v>5.2000000000000039E-2</v>
      </c>
      <c r="M353" s="1">
        <f t="shared" si="14"/>
        <v>3.3469271235234039</v>
      </c>
    </row>
    <row r="354" spans="1:13" ht="15">
      <c r="A354" s="58">
        <v>401.10419642857164</v>
      </c>
      <c r="B354" s="58">
        <v>403.82212426864959</v>
      </c>
      <c r="C354" s="58">
        <v>389.29320118235023</v>
      </c>
      <c r="D354" s="58">
        <v>392.99038243539752</v>
      </c>
      <c r="E354" s="58">
        <v>2365587.1598914326</v>
      </c>
      <c r="F354" s="58" t="s">
        <v>336</v>
      </c>
      <c r="G354" s="25">
        <f t="shared" si="12"/>
        <v>2.0646342393653594E-2</v>
      </c>
      <c r="I354" s="59">
        <v>5.4000000000000041E-2</v>
      </c>
      <c r="J354">
        <v>0</v>
      </c>
      <c r="L354" s="25">
        <f t="shared" si="13"/>
        <v>5.300000000000004E-2</v>
      </c>
      <c r="M354" s="1">
        <f t="shared" si="14"/>
        <v>3.1562295382018863</v>
      </c>
    </row>
    <row r="355" spans="1:13" ht="15">
      <c r="A355" s="58">
        <v>390.7021270112142</v>
      </c>
      <c r="B355" s="58">
        <v>397.45697708434926</v>
      </c>
      <c r="C355" s="58">
        <v>386.73515145051209</v>
      </c>
      <c r="D355" s="58">
        <v>393.76978821306693</v>
      </c>
      <c r="E355" s="58">
        <v>2113206.8906712201</v>
      </c>
      <c r="F355" s="58" t="s">
        <v>337</v>
      </c>
      <c r="G355" s="25">
        <f t="shared" si="12"/>
        <v>-7.7904940746567064E-3</v>
      </c>
      <c r="I355" s="59">
        <v>5.5000000000000042E-2</v>
      </c>
      <c r="J355">
        <v>0</v>
      </c>
      <c r="L355" s="25">
        <f t="shared" si="13"/>
        <v>5.4000000000000041E-2</v>
      </c>
      <c r="M355" s="1">
        <f t="shared" si="14"/>
        <v>2.9728521137660513</v>
      </c>
    </row>
    <row r="356" spans="1:13" ht="15">
      <c r="A356" s="58">
        <v>386.73515145051209</v>
      </c>
      <c r="B356" s="58">
        <v>392.47077858361791</v>
      </c>
      <c r="C356" s="58">
        <v>379.71050706972221</v>
      </c>
      <c r="D356" s="58">
        <v>390.7021270112142</v>
      </c>
      <c r="E356" s="58">
        <v>2525888.2810527268</v>
      </c>
      <c r="F356" s="58" t="s">
        <v>338</v>
      </c>
      <c r="G356" s="25">
        <f t="shared" si="12"/>
        <v>-1.0153452685422004E-2</v>
      </c>
      <c r="I356" s="59">
        <v>5.6000000000000043E-2</v>
      </c>
      <c r="J356">
        <v>1</v>
      </c>
      <c r="L356" s="25">
        <f t="shared" si="13"/>
        <v>5.5000000000000042E-2</v>
      </c>
      <c r="M356" s="1">
        <f t="shared" si="14"/>
        <v>2.7967937006540704</v>
      </c>
    </row>
    <row r="357" spans="1:13" ht="15">
      <c r="A357" s="58">
        <v>381.9687853486106</v>
      </c>
      <c r="B357" s="58">
        <v>388.58364215321814</v>
      </c>
      <c r="C357" s="58">
        <v>373.41530655777683</v>
      </c>
      <c r="D357" s="58">
        <v>376.0333105802049</v>
      </c>
      <c r="E357" s="58">
        <v>3097971.107194046</v>
      </c>
      <c r="F357" s="58" t="s">
        <v>339</v>
      </c>
      <c r="G357" s="25">
        <f t="shared" si="12"/>
        <v>1.578443877551039E-2</v>
      </c>
      <c r="I357" s="59">
        <v>5.7000000000000044E-2</v>
      </c>
      <c r="J357">
        <v>0</v>
      </c>
      <c r="L357" s="25">
        <f t="shared" ref="L357:L392" si="15">L356+0.001</f>
        <v>5.6000000000000043E-2</v>
      </c>
      <c r="M357" s="1">
        <f t="shared" si="14"/>
        <v>2.6280278407110456</v>
      </c>
    </row>
    <row r="358" spans="1:13" ht="15">
      <c r="A358" s="58">
        <v>366.5305555216969</v>
      </c>
      <c r="B358" s="58">
        <v>366.57052504875685</v>
      </c>
      <c r="C358" s="58">
        <v>352.74106868600694</v>
      </c>
      <c r="D358" s="58">
        <v>355.05930125548525</v>
      </c>
      <c r="E358" s="58">
        <v>3270396.4648836558</v>
      </c>
      <c r="F358" s="58" t="s">
        <v>340</v>
      </c>
      <c r="G358" s="25">
        <f t="shared" si="12"/>
        <v>3.2307995384572186E-2</v>
      </c>
      <c r="I358" s="59">
        <v>5.8000000000000045E-2</v>
      </c>
      <c r="J358">
        <v>0</v>
      </c>
      <c r="L358" s="25">
        <f t="shared" si="15"/>
        <v>5.7000000000000044E-2</v>
      </c>
      <c r="M358" s="1">
        <f t="shared" si="14"/>
        <v>2.4665043876906498</v>
      </c>
    </row>
    <row r="359" spans="1:13" ht="15">
      <c r="A359" s="58">
        <v>366.82033459288169</v>
      </c>
      <c r="B359" s="58">
        <v>367.54977846172613</v>
      </c>
      <c r="C359" s="58">
        <v>350.73259995124346</v>
      </c>
      <c r="D359" s="58">
        <v>362.92330570453453</v>
      </c>
      <c r="E359" s="58">
        <v>2388814.8552956595</v>
      </c>
      <c r="F359" s="58" t="s">
        <v>341</v>
      </c>
      <c r="G359" s="25">
        <f t="shared" si="12"/>
        <v>1.0737885462555052E-2</v>
      </c>
      <c r="I359" s="59">
        <v>5.9000000000000045E-2</v>
      </c>
      <c r="J359">
        <v>0</v>
      </c>
      <c r="L359" s="25">
        <f t="shared" si="15"/>
        <v>5.8000000000000045E-2</v>
      </c>
      <c r="M359" s="1">
        <f t="shared" si="14"/>
        <v>2.3121511676746236</v>
      </c>
    </row>
    <row r="360" spans="1:13" ht="15">
      <c r="A360" s="58">
        <v>366.20080692345215</v>
      </c>
      <c r="B360" s="58">
        <v>368.50904711116544</v>
      </c>
      <c r="C360" s="58">
        <v>347.93473305704549</v>
      </c>
      <c r="D360" s="58">
        <v>362.03398372745016</v>
      </c>
      <c r="E360" s="58">
        <v>3162523.2845597863</v>
      </c>
      <c r="F360" s="58" t="s">
        <v>342</v>
      </c>
      <c r="G360" s="25">
        <f t="shared" si="12"/>
        <v>1.1509480831332297E-2</v>
      </c>
      <c r="I360" s="59">
        <v>6.0000000000000046E-2</v>
      </c>
      <c r="J360">
        <v>0</v>
      </c>
      <c r="L360" s="25">
        <f t="shared" si="15"/>
        <v>5.9000000000000045E-2</v>
      </c>
      <c r="M360" s="1">
        <f t="shared" si="14"/>
        <v>2.1648756655059174</v>
      </c>
    </row>
    <row r="361" spans="1:13" ht="15">
      <c r="A361" s="58">
        <v>368.23925280351062</v>
      </c>
      <c r="B361" s="58">
        <v>374.33460568015619</v>
      </c>
      <c r="C361" s="58">
        <v>356.95385683812788</v>
      </c>
      <c r="D361" s="58">
        <v>372.97564176011713</v>
      </c>
      <c r="E361" s="58">
        <v>2730329.0288188821</v>
      </c>
      <c r="F361" s="58" t="s">
        <v>343</v>
      </c>
      <c r="G361" s="25">
        <f t="shared" si="12"/>
        <v>-1.2698923002732565E-2</v>
      </c>
      <c r="I361" s="59">
        <v>6.1000000000000047E-2</v>
      </c>
      <c r="J361">
        <v>0</v>
      </c>
      <c r="L361" s="25">
        <f t="shared" si="15"/>
        <v>6.0000000000000046E-2</v>
      </c>
      <c r="M361" s="1">
        <f t="shared" si="14"/>
        <v>2.0245667239674252</v>
      </c>
    </row>
    <row r="362" spans="1:13" ht="15">
      <c r="A362" s="58">
        <v>371.03711969770859</v>
      </c>
      <c r="B362" s="58">
        <v>376.00832962579244</v>
      </c>
      <c r="C362" s="58">
        <v>366.23078406874708</v>
      </c>
      <c r="D362" s="58">
        <v>369.46831576060475</v>
      </c>
      <c r="E362" s="58">
        <v>3421722.7488030237</v>
      </c>
      <c r="F362" s="58" t="s">
        <v>344</v>
      </c>
      <c r="G362" s="25">
        <f t="shared" si="12"/>
        <v>4.2461122379986449E-3</v>
      </c>
      <c r="I362" s="59">
        <v>6.2000000000000048E-2</v>
      </c>
      <c r="J362">
        <v>0</v>
      </c>
      <c r="L362" s="25">
        <f t="shared" si="15"/>
        <v>6.1000000000000047E-2</v>
      </c>
      <c r="M362" s="1">
        <f t="shared" si="14"/>
        <v>1.8910962431577654</v>
      </c>
    </row>
    <row r="363" spans="1:13" ht="15">
      <c r="A363" s="58">
        <v>353.76029162603618</v>
      </c>
      <c r="B363" s="58">
        <v>354.70956789371053</v>
      </c>
      <c r="C363" s="58">
        <v>331.24745550950769</v>
      </c>
      <c r="D363" s="58">
        <v>331.43731076304255</v>
      </c>
      <c r="E363" s="58">
        <v>2394228.9799030214</v>
      </c>
      <c r="F363" s="58" t="s">
        <v>345</v>
      </c>
      <c r="G363" s="25">
        <f t="shared" si="12"/>
        <v>6.7352045584732512E-2</v>
      </c>
      <c r="I363" s="59">
        <v>6.3000000000000042E-2</v>
      </c>
      <c r="J363">
        <v>2</v>
      </c>
      <c r="L363" s="25">
        <f t="shared" si="15"/>
        <v>6.2000000000000048E-2</v>
      </c>
      <c r="M363" s="1">
        <f t="shared" si="14"/>
        <v>1.7643208683057212</v>
      </c>
    </row>
    <row r="364" spans="1:13" ht="15">
      <c r="A364" s="58">
        <v>338.68178754266222</v>
      </c>
      <c r="B364" s="58">
        <v>342.40894594100456</v>
      </c>
      <c r="C364" s="58">
        <v>328.26972574353982</v>
      </c>
      <c r="D364" s="58">
        <v>332.53647275719175</v>
      </c>
      <c r="E364" s="58">
        <v>2475660.0159799936</v>
      </c>
      <c r="F364" s="58" t="s">
        <v>346</v>
      </c>
      <c r="G364" s="25">
        <f t="shared" si="12"/>
        <v>1.8480122599837667E-2</v>
      </c>
      <c r="I364" s="59">
        <v>6.4000000000000043E-2</v>
      </c>
      <c r="J364">
        <v>0</v>
      </c>
      <c r="L364" s="25">
        <f t="shared" si="15"/>
        <v>6.3000000000000042E-2</v>
      </c>
      <c r="M364" s="1">
        <f t="shared" si="14"/>
        <v>1.6440836551131739</v>
      </c>
    </row>
    <row r="365" spans="1:13" ht="15">
      <c r="A365" s="58">
        <v>328.67941339590459</v>
      </c>
      <c r="B365" s="58">
        <v>332.84263933447113</v>
      </c>
      <c r="C365" s="58">
        <v>327.25050280351059</v>
      </c>
      <c r="D365" s="58">
        <v>330.67788974890311</v>
      </c>
      <c r="E365" s="58">
        <v>1795124.5680827049</v>
      </c>
      <c r="F365" s="58" t="s">
        <v>347</v>
      </c>
      <c r="G365" s="25">
        <f t="shared" si="12"/>
        <v>-6.0435741697639767E-3</v>
      </c>
      <c r="I365" s="59">
        <v>6.5000000000000044E-2</v>
      </c>
      <c r="J365">
        <v>1</v>
      </c>
      <c r="L365" s="25">
        <f t="shared" si="15"/>
        <v>6.4000000000000043E-2</v>
      </c>
      <c r="M365" s="1">
        <f t="shared" si="14"/>
        <v>1.5302157026100593</v>
      </c>
    </row>
    <row r="366" spans="1:13" ht="15">
      <c r="A366" s="58">
        <v>330.0084001706486</v>
      </c>
      <c r="B366" s="58">
        <v>335.38430156021462</v>
      </c>
      <c r="C366" s="58">
        <v>322.75403093308154</v>
      </c>
      <c r="D366" s="58">
        <v>324.09291016577288</v>
      </c>
      <c r="E366" s="58">
        <v>1839151.1085358781</v>
      </c>
      <c r="F366" s="58" t="s">
        <v>348</v>
      </c>
      <c r="G366" s="25">
        <f t="shared" si="12"/>
        <v>1.8252451131528735E-2</v>
      </c>
      <c r="I366" s="59">
        <v>6.6000000000000045E-2</v>
      </c>
      <c r="J366">
        <v>0</v>
      </c>
      <c r="L366" s="25">
        <f t="shared" si="15"/>
        <v>6.5000000000000044E-2</v>
      </c>
      <c r="M366" s="1">
        <f t="shared" si="14"/>
        <v>1.4225377444318932</v>
      </c>
    </row>
    <row r="367" spans="1:13" ht="15">
      <c r="A367" s="58">
        <v>333.54570331545602</v>
      </c>
      <c r="B367" s="58">
        <v>340.49040864212594</v>
      </c>
      <c r="C367" s="58">
        <v>332.24669368600695</v>
      </c>
      <c r="D367" s="58">
        <v>339.6910181009265</v>
      </c>
      <c r="E367" s="58">
        <v>1507735.6284346308</v>
      </c>
      <c r="F367" s="58" t="s">
        <v>349</v>
      </c>
      <c r="G367" s="25">
        <f t="shared" si="12"/>
        <v>-1.8090895719958699E-2</v>
      </c>
      <c r="I367" s="59">
        <v>6.7000000000000046E-2</v>
      </c>
      <c r="J367">
        <v>0</v>
      </c>
      <c r="L367" s="25">
        <f t="shared" si="15"/>
        <v>6.6000000000000045E-2</v>
      </c>
      <c r="M367" s="1">
        <f t="shared" si="14"/>
        <v>1.3208616903788986</v>
      </c>
    </row>
    <row r="368" spans="1:13" ht="15">
      <c r="A368" s="58">
        <v>342.80864121160425</v>
      </c>
      <c r="B368" s="58">
        <v>345.53656143344728</v>
      </c>
      <c r="C368" s="58">
        <v>338.64181801560227</v>
      </c>
      <c r="D368" s="58">
        <v>345.53656143344728</v>
      </c>
      <c r="E368" s="58">
        <v>1212399.6345338656</v>
      </c>
      <c r="F368" s="58" t="s">
        <v>350</v>
      </c>
      <c r="G368" s="25">
        <f t="shared" si="12"/>
        <v>-7.8947368421052877E-3</v>
      </c>
      <c r="I368" s="59">
        <v>6.8000000000000047E-2</v>
      </c>
      <c r="J368">
        <v>3</v>
      </c>
      <c r="L368" s="25">
        <f t="shared" si="15"/>
        <v>6.7000000000000046E-2</v>
      </c>
      <c r="M368" s="1">
        <f t="shared" si="14"/>
        <v>1.2249921110745188</v>
      </c>
    </row>
    <row r="369" spans="1:13" ht="15">
      <c r="A369" s="58">
        <v>347.02542631643115</v>
      </c>
      <c r="B369" s="58">
        <v>348.72413121647992</v>
      </c>
      <c r="C369" s="58">
        <v>343.05845075572904</v>
      </c>
      <c r="D369" s="58">
        <v>346.95547964407621</v>
      </c>
      <c r="E369" s="58">
        <v>1063169.9478515442</v>
      </c>
      <c r="F369" s="58" t="s">
        <v>351</v>
      </c>
      <c r="G369" s="25">
        <f t="shared" si="12"/>
        <v>2.0160129024815454E-4</v>
      </c>
      <c r="I369" s="59">
        <v>6.9000000000000047E-2</v>
      </c>
      <c r="J369">
        <v>2</v>
      </c>
      <c r="L369" s="25">
        <f t="shared" si="15"/>
        <v>6.8000000000000047E-2</v>
      </c>
      <c r="M369" s="1">
        <f t="shared" ref="M369:M393" si="16">_xlfn.NORM.DIST(L369,$K$200,$K$202,FALSE)</f>
        <v>1.1347276594994127</v>
      </c>
    </row>
    <row r="370" spans="1:13" ht="15">
      <c r="A370" s="58">
        <v>344.65723183812787</v>
      </c>
      <c r="B370" s="58">
        <v>346.01619575816687</v>
      </c>
      <c r="C370" s="58">
        <v>336.74326548025368</v>
      </c>
      <c r="D370" s="58">
        <v>343.98774225987336</v>
      </c>
      <c r="E370" s="58">
        <v>1437247.9292488787</v>
      </c>
      <c r="F370" s="58" t="s">
        <v>352</v>
      </c>
      <c r="G370" s="25">
        <f t="shared" si="12"/>
        <v>1.9462599854755958E-3</v>
      </c>
      <c r="I370" s="59">
        <v>7.0000000000000048E-2</v>
      </c>
      <c r="J370">
        <v>1</v>
      </c>
      <c r="L370" s="25">
        <f t="shared" si="15"/>
        <v>6.9000000000000047E-2</v>
      </c>
      <c r="M370" s="1">
        <f t="shared" si="16"/>
        <v>1.0498624241251573</v>
      </c>
    </row>
    <row r="371" spans="1:13" ht="15">
      <c r="A371" s="58">
        <v>342.39895355923954</v>
      </c>
      <c r="B371" s="58">
        <v>345.37658340138972</v>
      </c>
      <c r="C371" s="58">
        <v>326.90086936555355</v>
      </c>
      <c r="D371" s="58">
        <v>327.88002285470515</v>
      </c>
      <c r="E371" s="58">
        <v>5480251.9847519118</v>
      </c>
      <c r="F371" s="58" t="s">
        <v>353</v>
      </c>
      <c r="G371" s="25">
        <f t="shared" si="12"/>
        <v>4.4281230000304816E-2</v>
      </c>
      <c r="I371" s="59">
        <v>7.1000000000000049E-2</v>
      </c>
      <c r="J371">
        <v>0</v>
      </c>
      <c r="L371" s="25">
        <f t="shared" si="15"/>
        <v>7.0000000000000048E-2</v>
      </c>
      <c r="M371" s="1">
        <f t="shared" si="16"/>
        <v>0.97018720930063795</v>
      </c>
    </row>
    <row r="372" spans="1:13" ht="15">
      <c r="A372" s="58">
        <v>332.29665559483192</v>
      </c>
      <c r="B372" s="58">
        <v>336.94960756319699</v>
      </c>
      <c r="C372" s="58">
        <v>322.0222187376479</v>
      </c>
      <c r="D372" s="58">
        <v>324.45852835198502</v>
      </c>
      <c r="E372" s="58">
        <v>4594846.4900040561</v>
      </c>
      <c r="F372" s="58" t="s">
        <v>354</v>
      </c>
      <c r="G372" s="25">
        <f t="shared" si="12"/>
        <v>2.4157562701954349E-2</v>
      </c>
      <c r="I372" s="59">
        <v>7.200000000000005E-2</v>
      </c>
      <c r="J372">
        <v>0</v>
      </c>
      <c r="L372" s="25">
        <f t="shared" si="15"/>
        <v>7.1000000000000049E-2</v>
      </c>
      <c r="M372" s="1">
        <f t="shared" si="16"/>
        <v>0.89549073944540258</v>
      </c>
    </row>
    <row r="373" spans="1:13" ht="15">
      <c r="A373" s="58">
        <v>316.64037086007539</v>
      </c>
      <c r="B373" s="58">
        <v>331.55777481015588</v>
      </c>
      <c r="C373" s="58">
        <v>313.71480234777715</v>
      </c>
      <c r="D373" s="58">
        <v>327.09453547569404</v>
      </c>
      <c r="E373" s="58">
        <v>3912829.971979477</v>
      </c>
      <c r="F373" s="58" t="s">
        <v>355</v>
      </c>
      <c r="G373" s="25">
        <f t="shared" si="12"/>
        <v>-3.196068256051765E-2</v>
      </c>
      <c r="I373" s="59">
        <v>7.3000000000000051E-2</v>
      </c>
      <c r="J373">
        <v>0</v>
      </c>
      <c r="L373" s="25">
        <f t="shared" si="15"/>
        <v>7.200000000000005E-2</v>
      </c>
      <c r="M373" s="1">
        <f t="shared" si="16"/>
        <v>0.82556078447075631</v>
      </c>
    </row>
    <row r="374" spans="1:13" ht="15">
      <c r="A374" s="58">
        <v>327.84340113583863</v>
      </c>
      <c r="B374" s="58">
        <v>333.49484065106327</v>
      </c>
      <c r="C374" s="58">
        <v>323.01072140903881</v>
      </c>
      <c r="D374" s="58">
        <v>332.49635310420376</v>
      </c>
      <c r="E374" s="58">
        <v>4415561.3296001526</v>
      </c>
      <c r="F374" s="58" t="s">
        <v>356</v>
      </c>
      <c r="G374" s="25">
        <f t="shared" si="12"/>
        <v>-1.3993993993994036E-2</v>
      </c>
      <c r="I374" s="59">
        <v>7.4000000000000052E-2</v>
      </c>
      <c r="J374">
        <v>0</v>
      </c>
      <c r="L374" s="25">
        <f t="shared" si="15"/>
        <v>7.3000000000000051E-2</v>
      </c>
      <c r="M374" s="1">
        <f t="shared" si="16"/>
        <v>0.7601852046747124</v>
      </c>
    </row>
    <row r="375" spans="1:13" ht="15">
      <c r="A375" s="58">
        <v>337.19922944991185</v>
      </c>
      <c r="B375" s="58">
        <v>339.98500970564982</v>
      </c>
      <c r="C375" s="58">
        <v>330.33962000298732</v>
      </c>
      <c r="D375" s="58">
        <v>335.55172499759379</v>
      </c>
      <c r="E375" s="58">
        <v>4236200.0540756965</v>
      </c>
      <c r="F375" s="58" t="s">
        <v>357</v>
      </c>
      <c r="G375" s="25">
        <f t="shared" si="12"/>
        <v>4.9098375290124174E-3</v>
      </c>
      <c r="I375" s="59">
        <v>7.5000000000000053E-2</v>
      </c>
      <c r="J375">
        <v>0</v>
      </c>
      <c r="L375" s="25">
        <f t="shared" si="15"/>
        <v>7.4000000000000052E-2</v>
      </c>
      <c r="M375" s="1">
        <f t="shared" si="16"/>
        <v>0.69915291413576297</v>
      </c>
    </row>
    <row r="376" spans="1:13" ht="15">
      <c r="A376" s="58">
        <v>331.50785043281292</v>
      </c>
      <c r="B376" s="58">
        <v>337.48879083850113</v>
      </c>
      <c r="C376" s="58">
        <v>328.95172231285267</v>
      </c>
      <c r="D376" s="58">
        <v>334.27366093761361</v>
      </c>
      <c r="E376" s="58">
        <v>2977429.2221777863</v>
      </c>
      <c r="F376" s="58" t="s">
        <v>358</v>
      </c>
      <c r="G376" s="25">
        <f t="shared" si="12"/>
        <v>-8.2740904474579713E-3</v>
      </c>
      <c r="I376" s="59">
        <v>7.6000000000000054E-2</v>
      </c>
      <c r="J376">
        <v>0</v>
      </c>
      <c r="L376" s="25">
        <f t="shared" si="15"/>
        <v>7.5000000000000053E-2</v>
      </c>
      <c r="M376" s="1">
        <f t="shared" si="16"/>
        <v>0.6422547623582433</v>
      </c>
    </row>
    <row r="377" spans="1:13" ht="15">
      <c r="A377" s="58">
        <v>329.41102658440803</v>
      </c>
      <c r="B377" s="58">
        <v>342.4812285727985</v>
      </c>
      <c r="C377" s="58">
        <v>327.69362800380975</v>
      </c>
      <c r="D377" s="58">
        <v>342.4812285727985</v>
      </c>
      <c r="E377" s="58">
        <v>3286811.1478428813</v>
      </c>
      <c r="F377" s="58" t="s">
        <v>359</v>
      </c>
      <c r="G377" s="25">
        <f t="shared" ref="G377:G440" si="17">A377/D377-1</f>
        <v>-3.8163265306122462E-2</v>
      </c>
      <c r="I377" s="59">
        <v>7.7000000000000055E-2</v>
      </c>
      <c r="J377">
        <v>1</v>
      </c>
      <c r="L377" s="25">
        <f t="shared" si="15"/>
        <v>7.6000000000000054E-2</v>
      </c>
      <c r="M377" s="1">
        <f t="shared" si="16"/>
        <v>0.58928433459536189</v>
      </c>
    </row>
    <row r="378" spans="1:13" ht="15">
      <c r="A378" s="58">
        <v>343.28001861028611</v>
      </c>
      <c r="B378" s="58">
        <v>350.04976417799327</v>
      </c>
      <c r="C378" s="58">
        <v>332.8258539946674</v>
      </c>
      <c r="D378" s="58">
        <v>333.05550613044511</v>
      </c>
      <c r="E378" s="58">
        <v>6681828.9531847229</v>
      </c>
      <c r="F378" s="58" t="s">
        <v>360</v>
      </c>
      <c r="G378" s="25">
        <f t="shared" si="17"/>
        <v>3.069912459527524E-2</v>
      </c>
      <c r="I378" s="59">
        <v>7.8000000000000055E-2</v>
      </c>
      <c r="J378">
        <v>1</v>
      </c>
      <c r="L378" s="25">
        <f t="shared" si="15"/>
        <v>7.7000000000000055E-2</v>
      </c>
      <c r="M378" s="1">
        <f t="shared" si="16"/>
        <v>0.54003867189209032</v>
      </c>
    </row>
    <row r="379" spans="1:13" ht="15">
      <c r="A379" s="58">
        <v>326.89483796632214</v>
      </c>
      <c r="B379" s="58">
        <v>336.08092339742927</v>
      </c>
      <c r="C379" s="58">
        <v>321.84388886177879</v>
      </c>
      <c r="D379" s="58">
        <v>333.70452303590372</v>
      </c>
      <c r="E379" s="58">
        <v>3478759.4606714379</v>
      </c>
      <c r="F379" s="58" t="s">
        <v>361</v>
      </c>
      <c r="G379" s="25">
        <f t="shared" si="17"/>
        <v>-2.0406331348553297E-2</v>
      </c>
      <c r="I379" s="59">
        <v>7.9000000000000056E-2</v>
      </c>
      <c r="J379">
        <v>0</v>
      </c>
      <c r="L379" s="25">
        <f t="shared" si="15"/>
        <v>7.8000000000000055E-2</v>
      </c>
      <c r="M379" s="1">
        <f t="shared" si="16"/>
        <v>0.49431891244728798</v>
      </c>
    </row>
    <row r="380" spans="1:13" ht="15">
      <c r="A380" s="58">
        <v>334.74295008463758</v>
      </c>
      <c r="B380" s="58">
        <v>344.47820366651746</v>
      </c>
      <c r="C380" s="58">
        <v>324.00920895589826</v>
      </c>
      <c r="D380" s="58">
        <v>339.83523657362093</v>
      </c>
      <c r="E380" s="58">
        <v>3050561.8318229192</v>
      </c>
      <c r="F380" s="58" t="s">
        <v>362</v>
      </c>
      <c r="G380" s="25">
        <f t="shared" si="17"/>
        <v>-1.4984574702512243E-2</v>
      </c>
      <c r="I380" s="59">
        <v>8.0000000000000057E-2</v>
      </c>
      <c r="J380">
        <v>0</v>
      </c>
      <c r="L380" s="25">
        <f t="shared" si="15"/>
        <v>7.9000000000000056E-2</v>
      </c>
      <c r="M380" s="1">
        <f t="shared" si="16"/>
        <v>0.45193085639169822</v>
      </c>
    </row>
    <row r="381" spans="1:13" ht="15">
      <c r="A381" s="58">
        <v>345.98591986227524</v>
      </c>
      <c r="B381" s="58">
        <v>348.79166986895035</v>
      </c>
      <c r="C381" s="58">
        <v>340.48425347907954</v>
      </c>
      <c r="D381" s="58">
        <v>346.97442253366609</v>
      </c>
      <c r="E381" s="58">
        <v>1625219.067682965</v>
      </c>
      <c r="F381" s="58" t="s">
        <v>363</v>
      </c>
      <c r="G381" s="25">
        <f t="shared" si="17"/>
        <v>-2.8489208633092344E-3</v>
      </c>
      <c r="I381" s="59">
        <v>8.1000000000000058E-2</v>
      </c>
      <c r="J381">
        <v>0</v>
      </c>
      <c r="L381" s="25">
        <f t="shared" si="15"/>
        <v>8.0000000000000057E-2</v>
      </c>
      <c r="M381" s="1">
        <f t="shared" si="16"/>
        <v>0.41268545651563876</v>
      </c>
    </row>
    <row r="382" spans="1:13" ht="15">
      <c r="A382" s="58">
        <v>347.6034696881876</v>
      </c>
      <c r="B382" s="58">
        <v>354.15344814683107</v>
      </c>
      <c r="C382" s="58">
        <v>344.41829441370589</v>
      </c>
      <c r="D382" s="58">
        <v>345.49666096431406</v>
      </c>
      <c r="E382" s="58">
        <v>2102643.1492344718</v>
      </c>
      <c r="F382" s="58" t="s">
        <v>364</v>
      </c>
      <c r="G382" s="25">
        <f t="shared" si="17"/>
        <v>6.0979134154097725E-3</v>
      </c>
      <c r="I382" s="59">
        <v>8.2000000000000059E-2</v>
      </c>
      <c r="J382">
        <v>0</v>
      </c>
      <c r="L382" s="25">
        <f t="shared" si="15"/>
        <v>8.1000000000000058E-2</v>
      </c>
      <c r="M382" s="1">
        <f t="shared" si="16"/>
        <v>0.37639923785775209</v>
      </c>
    </row>
    <row r="383" spans="1:13" ht="15">
      <c r="A383" s="58">
        <v>343.23009423294309</v>
      </c>
      <c r="B383" s="58">
        <v>344.20861202886539</v>
      </c>
      <c r="C383" s="58">
        <v>333.12540025872522</v>
      </c>
      <c r="D383" s="58">
        <v>335.97608220500905</v>
      </c>
      <c r="E383" s="58">
        <v>2427687.7639828599</v>
      </c>
      <c r="F383" s="58" t="s">
        <v>365</v>
      </c>
      <c r="G383" s="25">
        <f t="shared" si="17"/>
        <v>2.1590858433511162E-2</v>
      </c>
      <c r="I383" s="59">
        <v>8.300000000000006E-2</v>
      </c>
      <c r="J383">
        <v>0</v>
      </c>
      <c r="L383" s="25">
        <f t="shared" si="15"/>
        <v>8.2000000000000059E-2</v>
      </c>
      <c r="M383" s="1">
        <f t="shared" si="16"/>
        <v>0.34289464938531145</v>
      </c>
    </row>
    <row r="384" spans="1:13" ht="15">
      <c r="A384" s="58">
        <v>331.4179865535956</v>
      </c>
      <c r="B384" s="58">
        <v>339.44582643034568</v>
      </c>
      <c r="C384" s="58">
        <v>326.13598743070895</v>
      </c>
      <c r="D384" s="58">
        <v>338.23765649864572</v>
      </c>
      <c r="E384" s="58">
        <v>2106953.6686931644</v>
      </c>
      <c r="F384" s="58" t="s">
        <v>366</v>
      </c>
      <c r="G384" s="25">
        <f t="shared" si="17"/>
        <v>-2.0162361623616065E-2</v>
      </c>
      <c r="I384" s="59">
        <v>8.4000000000000061E-2</v>
      </c>
      <c r="J384">
        <v>0</v>
      </c>
      <c r="L384" s="25">
        <f t="shared" si="15"/>
        <v>8.300000000000006E-2</v>
      </c>
      <c r="M384" s="1">
        <f t="shared" si="16"/>
        <v>0.31200035125889619</v>
      </c>
    </row>
    <row r="385" spans="1:13" ht="15">
      <c r="A385" s="58">
        <v>337.02948656694582</v>
      </c>
      <c r="B385" s="58">
        <v>346.14567786977278</v>
      </c>
      <c r="C385" s="58">
        <v>335.00255684682105</v>
      </c>
      <c r="D385" s="58">
        <v>335.22222410713016</v>
      </c>
      <c r="E385" s="58">
        <v>2331520.3152229665</v>
      </c>
      <c r="F385" s="58" t="s">
        <v>367</v>
      </c>
      <c r="G385" s="25">
        <f t="shared" si="17"/>
        <v>5.3912370059274739E-3</v>
      </c>
      <c r="I385" s="59">
        <v>8.5000000000000062E-2</v>
      </c>
      <c r="J385">
        <v>0</v>
      </c>
      <c r="L385" s="25">
        <f t="shared" si="15"/>
        <v>8.4000000000000061E-2</v>
      </c>
      <c r="M385" s="1">
        <f t="shared" si="16"/>
        <v>0.28355144138208321</v>
      </c>
    </row>
    <row r="386" spans="1:13" ht="15">
      <c r="A386" s="58">
        <v>333.6146591566864</v>
      </c>
      <c r="B386" s="58">
        <v>336.11087802383508</v>
      </c>
      <c r="C386" s="58">
        <v>332.16685221374019</v>
      </c>
      <c r="D386" s="58">
        <v>333.95414492261858</v>
      </c>
      <c r="E386" s="58">
        <v>885066.62179170642</v>
      </c>
      <c r="F386" s="58" t="s">
        <v>368</v>
      </c>
      <c r="G386" s="25">
        <f t="shared" si="17"/>
        <v>-1.0165640136338139E-3</v>
      </c>
      <c r="I386" s="59">
        <v>8.6000000000000063E-2</v>
      </c>
      <c r="J386">
        <v>0</v>
      </c>
      <c r="L386" s="25">
        <f t="shared" si="15"/>
        <v>8.5000000000000062E-2</v>
      </c>
      <c r="M386" s="1">
        <f t="shared" si="16"/>
        <v>0.257389625092667</v>
      </c>
    </row>
    <row r="387" spans="1:13" ht="15">
      <c r="A387" s="58">
        <v>334.82282908838636</v>
      </c>
      <c r="B387" s="58">
        <v>339.22615917003662</v>
      </c>
      <c r="C387" s="58">
        <v>329.13145007128736</v>
      </c>
      <c r="D387" s="58">
        <v>338.71693052113829</v>
      </c>
      <c r="E387" s="58">
        <v>2321693.4525536606</v>
      </c>
      <c r="F387" s="58" t="s">
        <v>369</v>
      </c>
      <c r="G387" s="25">
        <f t="shared" si="17"/>
        <v>-1.1496624708899561E-2</v>
      </c>
      <c r="I387" s="59">
        <v>8.7000000000000063E-2</v>
      </c>
      <c r="J387">
        <v>0</v>
      </c>
      <c r="L387" s="25">
        <f t="shared" si="15"/>
        <v>8.6000000000000063E-2</v>
      </c>
      <c r="M387" s="1">
        <f t="shared" si="16"/>
        <v>0.23336333195890896</v>
      </c>
    </row>
    <row r="388" spans="1:13" ht="15">
      <c r="A388" s="58">
        <v>338.37744475520606</v>
      </c>
      <c r="B388" s="58">
        <v>340.19469209049026</v>
      </c>
      <c r="C388" s="58">
        <v>330.11496030494396</v>
      </c>
      <c r="D388" s="58">
        <v>331.76745719499638</v>
      </c>
      <c r="E388" s="58">
        <v>2010951.4698660506</v>
      </c>
      <c r="F388" s="58" t="s">
        <v>370</v>
      </c>
      <c r="G388" s="25">
        <f t="shared" si="17"/>
        <v>1.9923556144099575E-2</v>
      </c>
      <c r="I388" s="59">
        <v>8.8000000000000064E-2</v>
      </c>
      <c r="J388">
        <v>0</v>
      </c>
      <c r="L388" s="25">
        <f t="shared" si="15"/>
        <v>8.7000000000000063E-2</v>
      </c>
      <c r="M388" s="1">
        <f t="shared" si="16"/>
        <v>0.21132778370565641</v>
      </c>
    </row>
    <row r="389" spans="1:13" ht="15">
      <c r="A389" s="58">
        <v>328.48243316582875</v>
      </c>
      <c r="B389" s="58">
        <v>354.45309425964354</v>
      </c>
      <c r="C389" s="58">
        <v>327.69742225648781</v>
      </c>
      <c r="D389" s="58">
        <v>352.98531756576011</v>
      </c>
      <c r="E389" s="58">
        <v>6221805.1887975577</v>
      </c>
      <c r="F389" s="58" t="s">
        <v>371</v>
      </c>
      <c r="G389" s="25">
        <f t="shared" si="17"/>
        <v>-6.9416157501697051E-2</v>
      </c>
      <c r="I389" s="59">
        <v>8.9000000000000065E-2</v>
      </c>
      <c r="J389">
        <v>0</v>
      </c>
      <c r="L389" s="25">
        <f t="shared" si="15"/>
        <v>8.8000000000000064E-2</v>
      </c>
      <c r="M389" s="1">
        <f t="shared" si="16"/>
        <v>0.19114501731438688</v>
      </c>
    </row>
    <row r="390" spans="1:13" ht="15">
      <c r="A390" s="58">
        <v>348.63191186145286</v>
      </c>
      <c r="B390" s="58">
        <v>349.17109513675695</v>
      </c>
      <c r="C390" s="58">
        <v>333.49484065106327</v>
      </c>
      <c r="D390" s="58">
        <v>339.33599280019121</v>
      </c>
      <c r="E390" s="58">
        <v>2718755.9910369762</v>
      </c>
      <c r="F390" s="58" t="s">
        <v>372</v>
      </c>
      <c r="G390" s="25">
        <f t="shared" si="17"/>
        <v>2.7394438722965875E-2</v>
      </c>
      <c r="I390" s="59">
        <v>9.0000000000000066E-2</v>
      </c>
      <c r="J390">
        <v>1</v>
      </c>
      <c r="L390" s="25">
        <f t="shared" si="15"/>
        <v>8.9000000000000065E-2</v>
      </c>
      <c r="M390" s="1">
        <f t="shared" si="16"/>
        <v>0.17268386732198815</v>
      </c>
    </row>
    <row r="391" spans="1:13" ht="15">
      <c r="A391" s="58">
        <v>339.33599280019121</v>
      </c>
      <c r="B391" s="58">
        <v>356.54991810804842</v>
      </c>
      <c r="C391" s="58">
        <v>338.86670365316718</v>
      </c>
      <c r="D391" s="58">
        <v>349.37079264612885</v>
      </c>
      <c r="E391" s="58">
        <v>2675896.1675623595</v>
      </c>
      <c r="F391" s="58" t="s">
        <v>373</v>
      </c>
      <c r="G391" s="25">
        <f t="shared" si="17"/>
        <v>-2.8722492140611511E-2</v>
      </c>
      <c r="I391" s="59">
        <v>9.1000000000000067E-2</v>
      </c>
      <c r="J391">
        <v>0</v>
      </c>
      <c r="L391" s="25">
        <f t="shared" si="15"/>
        <v>9.0000000000000066E-2</v>
      </c>
      <c r="M391" s="1">
        <f t="shared" si="16"/>
        <v>0.15581991128914097</v>
      </c>
    </row>
    <row r="392" spans="1:13" ht="15.75" thickBot="1">
      <c r="A392" s="58">
        <v>342.25157643702079</v>
      </c>
      <c r="B392" s="58">
        <v>347.47366630709587</v>
      </c>
      <c r="C392" s="58">
        <v>337.22918407631767</v>
      </c>
      <c r="D392" s="58">
        <v>343.23009423294309</v>
      </c>
      <c r="E392" s="58">
        <v>2637628.2891895333</v>
      </c>
      <c r="F392" s="58" t="s">
        <v>374</v>
      </c>
      <c r="G392" s="25">
        <f t="shared" si="17"/>
        <v>-2.8509090909091261E-3</v>
      </c>
      <c r="I392" s="60" t="s">
        <v>541</v>
      </c>
      <c r="J392" s="60">
        <v>3</v>
      </c>
      <c r="L392" s="25">
        <f t="shared" si="15"/>
        <v>9.1000000000000067E-2</v>
      </c>
      <c r="M392" s="1">
        <f t="shared" si="16"/>
        <v>0.14043538232433395</v>
      </c>
    </row>
    <row r="393" spans="1:13">
      <c r="A393" s="58">
        <v>339.48576593222009</v>
      </c>
      <c r="B393" s="58">
        <v>339.87517607549529</v>
      </c>
      <c r="C393" s="58">
        <v>317.06972050522495</v>
      </c>
      <c r="D393" s="58">
        <v>319.52599987049928</v>
      </c>
      <c r="E393" s="58">
        <v>2203906.3050124482</v>
      </c>
      <c r="F393" s="58" t="s">
        <v>375</v>
      </c>
      <c r="G393" s="25">
        <f t="shared" si="17"/>
        <v>6.2466797912565264E-2</v>
      </c>
      <c r="L393" s="25">
        <f t="shared" ref="L393" si="18">L392+0.001</f>
        <v>9.2000000000000068E-2</v>
      </c>
      <c r="M393" s="1">
        <f t="shared" si="16"/>
        <v>0.12641905243759902</v>
      </c>
    </row>
    <row r="394" spans="1:13">
      <c r="A394" s="58">
        <v>324.87789312166603</v>
      </c>
      <c r="B394" s="58">
        <v>332.73599011545008</v>
      </c>
      <c r="C394" s="58">
        <v>321.67274809624718</v>
      </c>
      <c r="D394" s="58">
        <v>326.07607817789739</v>
      </c>
      <c r="E394" s="58">
        <v>1819215.4781632472</v>
      </c>
      <c r="F394" s="58" t="s">
        <v>376</v>
      </c>
      <c r="G394" s="25">
        <f t="shared" si="17"/>
        <v>-3.6745567565912296E-3</v>
      </c>
    </row>
    <row r="395" spans="1:13">
      <c r="A395" s="58">
        <v>329.26125345237909</v>
      </c>
      <c r="B395" s="58">
        <v>338.72272174891003</v>
      </c>
      <c r="C395" s="58">
        <v>324.60830148401396</v>
      </c>
      <c r="D395" s="58">
        <v>324.60830148401396</v>
      </c>
      <c r="E395" s="58">
        <v>2935714.1300556986</v>
      </c>
      <c r="F395" s="58" t="s">
        <v>377</v>
      </c>
      <c r="G395" s="25">
        <f t="shared" si="17"/>
        <v>1.4334051061211994E-2</v>
      </c>
    </row>
    <row r="396" spans="1:13">
      <c r="A396" s="58">
        <v>325.54687977806191</v>
      </c>
      <c r="B396" s="58">
        <v>334.60406046686944</v>
      </c>
      <c r="C396" s="58">
        <v>324.78802924244866</v>
      </c>
      <c r="D396" s="58">
        <v>332.75595986638723</v>
      </c>
      <c r="E396" s="58">
        <v>2453166.2990732738</v>
      </c>
      <c r="F396" s="58" t="s">
        <v>378</v>
      </c>
      <c r="G396" s="25">
        <f t="shared" si="17"/>
        <v>-2.1664766248574496E-2</v>
      </c>
    </row>
    <row r="397" spans="1:13">
      <c r="A397" s="58">
        <v>332.75595986638723</v>
      </c>
      <c r="B397" s="58">
        <v>343.12365546044788</v>
      </c>
      <c r="C397" s="58">
        <v>330.0500586143981</v>
      </c>
      <c r="D397" s="58">
        <v>333.91420542074422</v>
      </c>
      <c r="E397" s="58">
        <v>3059119.7753114249</v>
      </c>
      <c r="F397" s="58" t="s">
        <v>379</v>
      </c>
      <c r="G397" s="25">
        <f t="shared" si="17"/>
        <v>-3.4686920638717922E-3</v>
      </c>
    </row>
    <row r="398" spans="1:13">
      <c r="A398" s="58">
        <v>323.22040379387926</v>
      </c>
      <c r="B398" s="58">
        <v>348.87154887269907</v>
      </c>
      <c r="C398" s="58">
        <v>318.61737620285714</v>
      </c>
      <c r="D398" s="58">
        <v>345.97593498680664</v>
      </c>
      <c r="E398" s="58">
        <v>6132953.8052434605</v>
      </c>
      <c r="F398" s="58" t="s">
        <v>380</v>
      </c>
      <c r="G398" s="25">
        <f t="shared" si="17"/>
        <v>-6.5772005772005926E-2</v>
      </c>
    </row>
    <row r="399" spans="1:13">
      <c r="A399" s="58">
        <v>348.91148837457348</v>
      </c>
      <c r="B399" s="58">
        <v>349.26095901597432</v>
      </c>
      <c r="C399" s="58">
        <v>337.98803461193086</v>
      </c>
      <c r="D399" s="58">
        <v>347.27396879772397</v>
      </c>
      <c r="E399" s="58">
        <v>2490357.5490961708</v>
      </c>
      <c r="F399" s="58" t="s">
        <v>381</v>
      </c>
      <c r="G399" s="25">
        <f t="shared" si="17"/>
        <v>4.7153536515238681E-3</v>
      </c>
    </row>
    <row r="400" spans="1:13">
      <c r="A400" s="58">
        <v>340.66398123751429</v>
      </c>
      <c r="B400" s="58">
        <v>342.27154618795805</v>
      </c>
      <c r="C400" s="58">
        <v>335.24219385806731</v>
      </c>
      <c r="D400" s="58">
        <v>335.99105951821196</v>
      </c>
      <c r="E400" s="58">
        <v>1722597.3477684997</v>
      </c>
      <c r="F400" s="58" t="s">
        <v>382</v>
      </c>
      <c r="G400" s="25">
        <f t="shared" si="17"/>
        <v>1.3907875185735552E-2</v>
      </c>
    </row>
    <row r="401" spans="1:7">
      <c r="A401" s="58">
        <v>336.27063603133257</v>
      </c>
      <c r="B401" s="58">
        <v>339.8951458264325</v>
      </c>
      <c r="C401" s="58">
        <v>331.99710933077404</v>
      </c>
      <c r="D401" s="58">
        <v>338.48727838536064</v>
      </c>
      <c r="E401" s="58">
        <v>2351150.0042077191</v>
      </c>
      <c r="F401" s="58" t="s">
        <v>383</v>
      </c>
      <c r="G401" s="25">
        <f t="shared" si="17"/>
        <v>-6.5486725663718159E-3</v>
      </c>
    </row>
    <row r="402" spans="1:7">
      <c r="A402" s="58">
        <v>335.79136200884005</v>
      </c>
      <c r="B402" s="58">
        <v>338.06791361567963</v>
      </c>
      <c r="C402" s="58">
        <v>318.51752744817122</v>
      </c>
      <c r="D402" s="58">
        <v>320.67426054938767</v>
      </c>
      <c r="E402" s="58">
        <v>4493203.7601380581</v>
      </c>
      <c r="F402" s="58" t="s">
        <v>384</v>
      </c>
      <c r="G402" s="25">
        <f t="shared" si="17"/>
        <v>4.7141611657740778E-2</v>
      </c>
    </row>
    <row r="403" spans="1:7">
      <c r="A403" s="58">
        <v>315.2924126718151</v>
      </c>
      <c r="B403" s="58">
        <v>315.97128435492488</v>
      </c>
      <c r="C403" s="58">
        <v>294.42402294245215</v>
      </c>
      <c r="D403" s="58">
        <v>295.40254073837446</v>
      </c>
      <c r="E403" s="58">
        <v>3466677.1867983742</v>
      </c>
      <c r="F403" s="58" t="s">
        <v>385</v>
      </c>
      <c r="G403" s="25">
        <f t="shared" si="17"/>
        <v>6.7331417948284455E-2</v>
      </c>
    </row>
    <row r="404" spans="1:7">
      <c r="A404" s="58">
        <v>295.01313059509926</v>
      </c>
      <c r="B404" s="58">
        <v>301.04399537813043</v>
      </c>
      <c r="C404" s="58">
        <v>292.09754695826962</v>
      </c>
      <c r="D404" s="58">
        <v>297.5492889641223</v>
      </c>
      <c r="E404" s="58">
        <v>2073614.2443761528</v>
      </c>
      <c r="F404" s="58" t="s">
        <v>386</v>
      </c>
      <c r="G404" s="25">
        <f t="shared" si="17"/>
        <v>-8.5234899328858749E-3</v>
      </c>
    </row>
    <row r="405" spans="1:7">
      <c r="A405" s="58">
        <v>300.63461548391803</v>
      </c>
      <c r="B405" s="58">
        <v>311.10874985047388</v>
      </c>
      <c r="C405" s="58">
        <v>300.06547758220813</v>
      </c>
      <c r="D405" s="58">
        <v>304.53870179213862</v>
      </c>
      <c r="E405" s="58">
        <v>2706307.1627675644</v>
      </c>
      <c r="F405" s="58" t="s">
        <v>387</v>
      </c>
      <c r="G405" s="25">
        <f t="shared" si="17"/>
        <v>-1.2819672131147763E-2</v>
      </c>
    </row>
    <row r="406" spans="1:7">
      <c r="A406" s="58">
        <v>301.20375338562798</v>
      </c>
      <c r="B406" s="58">
        <v>303.249654369143</v>
      </c>
      <c r="C406" s="58">
        <v>295.57238347009525</v>
      </c>
      <c r="D406" s="58">
        <v>299.54626405784126</v>
      </c>
      <c r="E406" s="58">
        <v>2554529.6063256618</v>
      </c>
      <c r="F406" s="58" t="s">
        <v>388</v>
      </c>
      <c r="G406" s="25">
        <f t="shared" si="17"/>
        <v>5.5333333333333901E-3</v>
      </c>
    </row>
    <row r="407" spans="1:7">
      <c r="A407" s="58">
        <v>297.14989394537855</v>
      </c>
      <c r="B407" s="58">
        <v>301.07395000453619</v>
      </c>
      <c r="C407" s="58">
        <v>294.22432543308031</v>
      </c>
      <c r="D407" s="58">
        <v>299.54626405784126</v>
      </c>
      <c r="E407" s="58">
        <v>2088345.5247474143</v>
      </c>
      <c r="F407" s="58" t="s">
        <v>389</v>
      </c>
      <c r="G407" s="25">
        <f t="shared" si="17"/>
        <v>-7.9999999999998961E-3</v>
      </c>
    </row>
    <row r="408" spans="1:7">
      <c r="A408" s="58">
        <v>298.31812437520409</v>
      </c>
      <c r="B408" s="58">
        <v>298.50783700910739</v>
      </c>
      <c r="C408" s="58">
        <v>283.67031206277568</v>
      </c>
      <c r="D408" s="58">
        <v>287.56441349552762</v>
      </c>
      <c r="E408" s="58">
        <v>2033655.8091152518</v>
      </c>
      <c r="F408" s="58" t="s">
        <v>390</v>
      </c>
      <c r="G408" s="25">
        <f t="shared" si="17"/>
        <v>3.7395833333333295E-2</v>
      </c>
    </row>
    <row r="409" spans="1:7">
      <c r="A409" s="58">
        <v>288.79255317816478</v>
      </c>
      <c r="B409" s="58">
        <v>295.49240461759177</v>
      </c>
      <c r="C409" s="58">
        <v>287.64439234803103</v>
      </c>
      <c r="D409" s="58">
        <v>295.29270710821993</v>
      </c>
      <c r="E409" s="58">
        <v>2234996.3272141661</v>
      </c>
      <c r="F409" s="58" t="s">
        <v>391</v>
      </c>
      <c r="G409" s="25">
        <f t="shared" si="17"/>
        <v>-2.2012578616352196E-2</v>
      </c>
    </row>
    <row r="410" spans="1:7">
      <c r="A410" s="58">
        <v>293.09603450512907</v>
      </c>
      <c r="B410" s="58">
        <v>298.35806387707851</v>
      </c>
      <c r="C410" s="58">
        <v>291.95276626397498</v>
      </c>
      <c r="D410" s="58">
        <v>294.94323646681909</v>
      </c>
      <c r="E410" s="58">
        <v>2090941.4509641733</v>
      </c>
      <c r="F410" s="58" t="s">
        <v>392</v>
      </c>
      <c r="G410" s="25">
        <f t="shared" si="17"/>
        <v>-6.262906665763901E-3</v>
      </c>
    </row>
    <row r="411" spans="1:7">
      <c r="A411" s="58">
        <v>296.55080141726285</v>
      </c>
      <c r="B411" s="58">
        <v>297.08998469256699</v>
      </c>
      <c r="C411" s="58">
        <v>282.57197576123025</v>
      </c>
      <c r="D411" s="58">
        <v>285.37772576790536</v>
      </c>
      <c r="E411" s="58">
        <v>3625548.4721728787</v>
      </c>
      <c r="F411" s="58" t="s">
        <v>393</v>
      </c>
      <c r="G411" s="25">
        <f t="shared" si="17"/>
        <v>3.9151884118820313E-2</v>
      </c>
    </row>
    <row r="412" spans="1:7">
      <c r="A412" s="58">
        <v>279.45669461502871</v>
      </c>
      <c r="B412" s="58">
        <v>282.54202113482449</v>
      </c>
      <c r="C412" s="58">
        <v>268.09390633176793</v>
      </c>
      <c r="D412" s="58">
        <v>273.29602645090574</v>
      </c>
      <c r="E412" s="58">
        <v>4251026.4783476498</v>
      </c>
      <c r="F412" s="58" t="s">
        <v>394</v>
      </c>
      <c r="G412" s="25">
        <f t="shared" si="17"/>
        <v>2.2542106609185097E-2</v>
      </c>
    </row>
    <row r="413" spans="1:7">
      <c r="A413" s="58">
        <v>276.00192770289493</v>
      </c>
      <c r="B413" s="58">
        <v>277.86909941552216</v>
      </c>
      <c r="C413" s="58">
        <v>270.13581336509554</v>
      </c>
      <c r="D413" s="58">
        <v>270.59012519891661</v>
      </c>
      <c r="E413" s="58">
        <v>2635818.5520469085</v>
      </c>
      <c r="F413" s="58" t="s">
        <v>395</v>
      </c>
      <c r="G413" s="25">
        <f t="shared" si="17"/>
        <v>2.0000000000000018E-2</v>
      </c>
    </row>
    <row r="414" spans="1:7">
      <c r="A414" s="58">
        <v>276.01191257836354</v>
      </c>
      <c r="B414" s="58">
        <v>277.18014300818913</v>
      </c>
      <c r="C414" s="58">
        <v>271.86818925889668</v>
      </c>
      <c r="D414" s="58">
        <v>276.58105048007343</v>
      </c>
      <c r="E414" s="58">
        <v>2573850.8287692256</v>
      </c>
      <c r="F414" s="58" t="s">
        <v>396</v>
      </c>
      <c r="G414" s="25">
        <f t="shared" si="17"/>
        <v>-2.0577617328519926E-3</v>
      </c>
    </row>
    <row r="415" spans="1:7">
      <c r="A415" s="58">
        <v>272.3075237795149</v>
      </c>
      <c r="B415" s="58">
        <v>274.88362165041235</v>
      </c>
      <c r="C415" s="58">
        <v>270.93959584031745</v>
      </c>
      <c r="D415" s="58">
        <v>273.27605669996859</v>
      </c>
      <c r="E415" s="58">
        <v>2357271.2623237809</v>
      </c>
      <c r="F415" s="58" t="s">
        <v>397</v>
      </c>
      <c r="G415" s="25">
        <f t="shared" si="17"/>
        <v>-3.5441557967043069E-3</v>
      </c>
    </row>
    <row r="416" spans="1:7">
      <c r="A416" s="58">
        <v>271.58861274577606</v>
      </c>
      <c r="B416" s="58">
        <v>280.94763621999925</v>
      </c>
      <c r="C416" s="58">
        <v>271.47877911562153</v>
      </c>
      <c r="D416" s="58">
        <v>278.81766258503865</v>
      </c>
      <c r="E416" s="58">
        <v>2513946.22586443</v>
      </c>
      <c r="F416" s="58" t="s">
        <v>398</v>
      </c>
      <c r="G416" s="25">
        <f t="shared" si="17"/>
        <v>-2.5927517547629342E-2</v>
      </c>
    </row>
    <row r="417" spans="1:7">
      <c r="A417" s="58">
        <v>274.35442325057676</v>
      </c>
      <c r="B417" s="58">
        <v>275.77227556711722</v>
      </c>
      <c r="C417" s="58">
        <v>267.28513141881177</v>
      </c>
      <c r="D417" s="58">
        <v>268.49330135051167</v>
      </c>
      <c r="E417" s="58">
        <v>1847710.5756629503</v>
      </c>
      <c r="F417" s="58" t="s">
        <v>399</v>
      </c>
      <c r="G417" s="25">
        <f t="shared" si="17"/>
        <v>2.1829676459650393E-2</v>
      </c>
    </row>
    <row r="418" spans="1:7">
      <c r="A418" s="58">
        <v>265.95714298148869</v>
      </c>
      <c r="B418" s="58">
        <v>270.46032181782488</v>
      </c>
      <c r="C418" s="58">
        <v>259.65668656080538</v>
      </c>
      <c r="D418" s="58">
        <v>269.5916376520571</v>
      </c>
      <c r="E418" s="58">
        <v>2193481.5380409029</v>
      </c>
      <c r="F418" s="58" t="s">
        <v>400</v>
      </c>
      <c r="G418" s="25">
        <f t="shared" si="17"/>
        <v>-1.3481481481481317E-2</v>
      </c>
    </row>
    <row r="419" spans="1:7">
      <c r="A419" s="58">
        <v>269.09239387862738</v>
      </c>
      <c r="B419" s="58">
        <v>270.42038231595046</v>
      </c>
      <c r="C419" s="58">
        <v>265.28825617384746</v>
      </c>
      <c r="D419" s="58">
        <v>266.85578177366216</v>
      </c>
      <c r="E419" s="58">
        <v>1825045.2954887699</v>
      </c>
      <c r="F419" s="58" t="s">
        <v>401</v>
      </c>
      <c r="G419" s="25">
        <f t="shared" si="17"/>
        <v>8.3813514929282906E-3</v>
      </c>
    </row>
    <row r="420" spans="1:7">
      <c r="A420" s="58">
        <v>266.48634138132417</v>
      </c>
      <c r="B420" s="58">
        <v>269.70147128221168</v>
      </c>
      <c r="C420" s="58">
        <v>260.65517410766489</v>
      </c>
      <c r="D420" s="58">
        <v>263.35109048418542</v>
      </c>
      <c r="E420" s="58">
        <v>1851189.8378840233</v>
      </c>
      <c r="F420" s="58" t="s">
        <v>402</v>
      </c>
      <c r="G420" s="25">
        <f t="shared" si="17"/>
        <v>1.1905213270142267E-2</v>
      </c>
    </row>
    <row r="421" spans="1:7">
      <c r="A421" s="58">
        <v>264.21977464995319</v>
      </c>
      <c r="B421" s="58">
        <v>266.14685561539198</v>
      </c>
      <c r="C421" s="58">
        <v>261.39405489234088</v>
      </c>
      <c r="D421" s="58">
        <v>263.60071237090028</v>
      </c>
      <c r="E421" s="58">
        <v>1798509.1608285657</v>
      </c>
      <c r="F421" s="58" t="s">
        <v>403</v>
      </c>
      <c r="G421" s="25">
        <f t="shared" si="17"/>
        <v>2.348484848484933E-3</v>
      </c>
    </row>
    <row r="422" spans="1:7">
      <c r="A422" s="58">
        <v>266.19677999273495</v>
      </c>
      <c r="B422" s="58">
        <v>268.89039984789775</v>
      </c>
      <c r="C422" s="58">
        <v>262.4824063184177</v>
      </c>
      <c r="D422" s="58">
        <v>264.09995614433001</v>
      </c>
      <c r="E422" s="58">
        <v>1894560.4338781412</v>
      </c>
      <c r="F422" s="58" t="s">
        <v>404</v>
      </c>
      <c r="G422" s="25">
        <f t="shared" si="17"/>
        <v>7.9395085066165105E-3</v>
      </c>
    </row>
    <row r="423" spans="1:7">
      <c r="A423" s="58">
        <v>263.87030400855235</v>
      </c>
      <c r="B423" s="58">
        <v>266.15284654067307</v>
      </c>
      <c r="C423" s="58">
        <v>261.85335916389624</v>
      </c>
      <c r="D423" s="58">
        <v>263.63066699730604</v>
      </c>
      <c r="E423" s="58">
        <v>1674475.5658282763</v>
      </c>
      <c r="F423" s="58" t="s">
        <v>405</v>
      </c>
      <c r="G423" s="25">
        <f t="shared" si="17"/>
        <v>9.0898761504387693E-4</v>
      </c>
    </row>
    <row r="424" spans="1:7">
      <c r="A424" s="58">
        <v>262.14292055248552</v>
      </c>
      <c r="B424" s="58">
        <v>265.57771771368209</v>
      </c>
      <c r="C424" s="58">
        <v>260.1259757078293</v>
      </c>
      <c r="D424" s="58">
        <v>265.0085798119722</v>
      </c>
      <c r="E424" s="58">
        <v>1927974.971800962</v>
      </c>
      <c r="F424" s="58" t="s">
        <v>406</v>
      </c>
      <c r="G424" s="25">
        <f t="shared" si="17"/>
        <v>-1.0813458422817557E-2</v>
      </c>
    </row>
    <row r="425" spans="1:7">
      <c r="A425" s="58">
        <v>265.18830757040683</v>
      </c>
      <c r="B425" s="58">
        <v>266.01705223430025</v>
      </c>
      <c r="C425" s="58">
        <v>252.84700149122378</v>
      </c>
      <c r="D425" s="58">
        <v>256.61129954288401</v>
      </c>
      <c r="E425" s="58">
        <v>3164001.4038599068</v>
      </c>
      <c r="F425" s="58" t="s">
        <v>407</v>
      </c>
      <c r="G425" s="25">
        <f t="shared" si="17"/>
        <v>3.3424124513618647E-2</v>
      </c>
    </row>
    <row r="426" spans="1:7">
      <c r="A426" s="58">
        <v>254.29480843417005</v>
      </c>
      <c r="B426" s="58">
        <v>256.85093655413027</v>
      </c>
      <c r="C426" s="58">
        <v>250.51054063157261</v>
      </c>
      <c r="D426" s="58">
        <v>252.76712248747504</v>
      </c>
      <c r="E426" s="58">
        <v>1916634.820353291</v>
      </c>
      <c r="F426" s="58" t="s">
        <v>408</v>
      </c>
      <c r="G426" s="25">
        <f t="shared" si="17"/>
        <v>6.0438475212325482E-3</v>
      </c>
    </row>
    <row r="427" spans="1:7">
      <c r="A427" s="58">
        <v>251.90842319717589</v>
      </c>
      <c r="B427" s="58">
        <v>257.14039809396485</v>
      </c>
      <c r="C427" s="58">
        <v>248.12415539457851</v>
      </c>
      <c r="D427" s="58">
        <v>250.62037426172719</v>
      </c>
      <c r="E427" s="58">
        <v>2773845.311052043</v>
      </c>
      <c r="F427" s="58" t="s">
        <v>409</v>
      </c>
      <c r="G427" s="25">
        <f t="shared" si="17"/>
        <v>5.1394422310755417E-3</v>
      </c>
    </row>
    <row r="428" spans="1:7">
      <c r="A428" s="58">
        <v>256.14201039586004</v>
      </c>
      <c r="B428" s="58">
        <v>257.21029222224502</v>
      </c>
      <c r="C428" s="58">
        <v>250.72022301641312</v>
      </c>
      <c r="D428" s="58">
        <v>255.61281199602453</v>
      </c>
      <c r="E428" s="58">
        <v>2307573.0961763123</v>
      </c>
      <c r="F428" s="58" t="s">
        <v>410</v>
      </c>
      <c r="G428" s="25">
        <f t="shared" si="17"/>
        <v>2.0703124999998934E-3</v>
      </c>
    </row>
    <row r="429" spans="1:7">
      <c r="A429" s="58">
        <v>254.59435469822787</v>
      </c>
      <c r="B429" s="58">
        <v>254.96379509056587</v>
      </c>
      <c r="C429" s="58">
        <v>248.58345966613388</v>
      </c>
      <c r="D429" s="58">
        <v>250.62037426172719</v>
      </c>
      <c r="E429" s="58">
        <v>3379295.0253739012</v>
      </c>
      <c r="F429" s="58" t="s">
        <v>411</v>
      </c>
      <c r="G429" s="25">
        <f t="shared" si="17"/>
        <v>1.5856573705179233E-2</v>
      </c>
    </row>
    <row r="430" spans="1:7">
      <c r="A430" s="58">
        <v>249.48209845830741</v>
      </c>
      <c r="B430" s="58">
        <v>254.04518654745516</v>
      </c>
      <c r="C430" s="58">
        <v>249.20252194518673</v>
      </c>
      <c r="D430" s="58">
        <v>250.38073725048091</v>
      </c>
      <c r="E430" s="58">
        <v>2297044.1716713784</v>
      </c>
      <c r="F430" s="58" t="s">
        <v>412</v>
      </c>
      <c r="G430" s="25">
        <f t="shared" si="17"/>
        <v>-3.5890891689264182E-3</v>
      </c>
    </row>
    <row r="431" spans="1:7">
      <c r="A431" s="58">
        <v>250.84004152203627</v>
      </c>
      <c r="B431" s="58">
        <v>258.24881911973353</v>
      </c>
      <c r="C431" s="58">
        <v>246.69631820256944</v>
      </c>
      <c r="D431" s="58">
        <v>257.3701500784972</v>
      </c>
      <c r="E431" s="58">
        <v>2821987.1232871483</v>
      </c>
      <c r="F431" s="58" t="s">
        <v>413</v>
      </c>
      <c r="G431" s="25">
        <f t="shared" si="17"/>
        <v>-2.5372439478584696E-2</v>
      </c>
    </row>
    <row r="432" spans="1:7">
      <c r="A432" s="58">
        <v>254.66424882650804</v>
      </c>
      <c r="B432" s="58">
        <v>257.3601652030286</v>
      </c>
      <c r="C432" s="58">
        <v>251.78860469155273</v>
      </c>
      <c r="D432" s="58">
        <v>256.71114829756999</v>
      </c>
      <c r="E432" s="58">
        <v>2457961.5516681205</v>
      </c>
      <c r="F432" s="58" t="s">
        <v>414</v>
      </c>
      <c r="G432" s="25">
        <f t="shared" si="17"/>
        <v>-7.9735511474136045E-3</v>
      </c>
    </row>
    <row r="433" spans="1:7">
      <c r="A433" s="58">
        <v>255.0935984716576</v>
      </c>
      <c r="B433" s="58">
        <v>257.11054331631374</v>
      </c>
      <c r="C433" s="58">
        <v>251.7386803142098</v>
      </c>
      <c r="D433" s="58">
        <v>253.6158369023056</v>
      </c>
      <c r="E433" s="58">
        <v>3810171.7061629416</v>
      </c>
      <c r="F433" s="58" t="s">
        <v>415</v>
      </c>
      <c r="G433" s="25">
        <f t="shared" si="17"/>
        <v>5.8267716535431724E-3</v>
      </c>
    </row>
    <row r="434" spans="1:7">
      <c r="A434" s="58">
        <v>251.1495726615627</v>
      </c>
      <c r="B434" s="58">
        <v>254.48452106807335</v>
      </c>
      <c r="C434" s="58">
        <v>246.4167416894488</v>
      </c>
      <c r="D434" s="58">
        <v>247.45017630044833</v>
      </c>
      <c r="E434" s="58">
        <v>3341779.2845739089</v>
      </c>
      <c r="F434" s="58" t="s">
        <v>416</v>
      </c>
      <c r="G434" s="25">
        <f t="shared" si="17"/>
        <v>1.4950065570463078E-2</v>
      </c>
    </row>
    <row r="435" spans="1:7">
      <c r="A435" s="58">
        <v>245.08875325212571</v>
      </c>
      <c r="B435" s="58">
        <v>250.47000203717013</v>
      </c>
      <c r="C435" s="58">
        <v>241.8836082267068</v>
      </c>
      <c r="D435" s="58">
        <v>242.86212602262907</v>
      </c>
      <c r="E435" s="58">
        <v>4117637.7341225352</v>
      </c>
      <c r="F435" s="58" t="s">
        <v>417</v>
      </c>
      <c r="G435" s="25">
        <f t="shared" si="17"/>
        <v>9.1682769395222685E-3</v>
      </c>
    </row>
    <row r="436" spans="1:7">
      <c r="A436" s="58">
        <v>244.08028082979763</v>
      </c>
      <c r="B436" s="58">
        <v>244.62944898057034</v>
      </c>
      <c r="C436" s="58">
        <v>237.7498697827086</v>
      </c>
      <c r="D436" s="58">
        <v>242.93701258864357</v>
      </c>
      <c r="E436" s="58">
        <v>3065462.3681859369</v>
      </c>
      <c r="F436" s="58" t="s">
        <v>418</v>
      </c>
      <c r="G436" s="25">
        <f t="shared" si="17"/>
        <v>4.7060274141508263E-3</v>
      </c>
    </row>
    <row r="437" spans="1:7">
      <c r="A437" s="58">
        <v>235.31356016837148</v>
      </c>
      <c r="B437" s="58">
        <v>241.1532145861791</v>
      </c>
      <c r="C437" s="58">
        <v>233.64608596511619</v>
      </c>
      <c r="D437" s="58">
        <v>238.25909843160693</v>
      </c>
      <c r="E437" s="58">
        <v>3260818.835688734</v>
      </c>
      <c r="F437" s="58" t="s">
        <v>419</v>
      </c>
      <c r="G437" s="25">
        <f t="shared" si="17"/>
        <v>-1.2362752493504381E-2</v>
      </c>
    </row>
    <row r="438" spans="1:7">
      <c r="A438" s="58">
        <v>236.79132173772351</v>
      </c>
      <c r="B438" s="58">
        <v>239.637011246273</v>
      </c>
      <c r="C438" s="58">
        <v>233.15682706715504</v>
      </c>
      <c r="D438" s="58">
        <v>237.31053526209041</v>
      </c>
      <c r="E438" s="58">
        <v>5151741.7680162312</v>
      </c>
      <c r="F438" s="58" t="s">
        <v>420</v>
      </c>
      <c r="G438" s="25">
        <f t="shared" si="17"/>
        <v>-2.1879076029788225E-3</v>
      </c>
    </row>
    <row r="439" spans="1:7">
      <c r="A439" s="58">
        <v>229.58224164939813</v>
      </c>
      <c r="B439" s="58">
        <v>231.15985197343608</v>
      </c>
      <c r="C439" s="58">
        <v>224.89933505462722</v>
      </c>
      <c r="D439" s="58">
        <v>227.53534217833621</v>
      </c>
      <c r="E439" s="58">
        <v>2338390.70636763</v>
      </c>
      <c r="F439" s="58" t="s">
        <v>421</v>
      </c>
      <c r="G439" s="25">
        <f t="shared" si="17"/>
        <v>8.995962787432088E-3</v>
      </c>
    </row>
    <row r="440" spans="1:7">
      <c r="A440" s="58">
        <v>225.24880569602803</v>
      </c>
      <c r="B440" s="58">
        <v>228.3306375094098</v>
      </c>
      <c r="C440" s="58">
        <v>218.67875763769268</v>
      </c>
      <c r="D440" s="58">
        <v>220.31627721454225</v>
      </c>
      <c r="E440" s="58">
        <v>3703148.839091531</v>
      </c>
      <c r="F440" s="58" t="s">
        <v>422</v>
      </c>
      <c r="G440" s="25">
        <f t="shared" si="17"/>
        <v>2.238839791525038E-2</v>
      </c>
    </row>
    <row r="441" spans="1:7">
      <c r="A441" s="58">
        <v>214.94441421243829</v>
      </c>
      <c r="B441" s="58">
        <v>216.76166154772253</v>
      </c>
      <c r="C441" s="58">
        <v>199.34803873049336</v>
      </c>
      <c r="D441" s="58">
        <v>199.69750937189417</v>
      </c>
      <c r="E441" s="58">
        <v>4048337.9214031496</v>
      </c>
      <c r="F441" s="58" t="s">
        <v>423</v>
      </c>
      <c r="G441" s="25">
        <f t="shared" ref="G441:G504" si="19">A441/D441-1</f>
        <v>7.6349999999999918E-2</v>
      </c>
    </row>
    <row r="442" spans="1:7">
      <c r="A442" s="58">
        <v>208.83367042565834</v>
      </c>
      <c r="B442" s="58">
        <v>209.80220334611201</v>
      </c>
      <c r="C442" s="58">
        <v>201.19524069218338</v>
      </c>
      <c r="D442" s="58">
        <v>203.79130831401798</v>
      </c>
      <c r="E442" s="58">
        <v>3793245.1054725689</v>
      </c>
      <c r="F442" s="58" t="s">
        <v>424</v>
      </c>
      <c r="G442" s="25">
        <f t="shared" si="19"/>
        <v>2.4742773150416619E-2</v>
      </c>
    </row>
    <row r="443" spans="1:7">
      <c r="A443" s="58">
        <v>201.7044693410817</v>
      </c>
      <c r="B443" s="58">
        <v>202.69297201247258</v>
      </c>
      <c r="C443" s="58">
        <v>198.838810081595</v>
      </c>
      <c r="D443" s="58">
        <v>202.43336525028911</v>
      </c>
      <c r="E443" s="58">
        <v>1897556.9659925485</v>
      </c>
      <c r="F443" s="58" t="s">
        <v>425</v>
      </c>
      <c r="G443" s="25">
        <f t="shared" si="19"/>
        <v>-3.6006708099043383E-3</v>
      </c>
    </row>
    <row r="444" spans="1:7">
      <c r="A444" s="58">
        <v>201.5047718317098</v>
      </c>
      <c r="B444" s="58">
        <v>202.62307788419241</v>
      </c>
      <c r="C444" s="58">
        <v>197.08147199912236</v>
      </c>
      <c r="D444" s="58">
        <v>199.70749424736275</v>
      </c>
      <c r="E444" s="58">
        <v>1657401.742470518</v>
      </c>
      <c r="F444" s="58" t="s">
        <v>426</v>
      </c>
      <c r="G444" s="25">
        <f t="shared" si="19"/>
        <v>8.9995500224988589E-3</v>
      </c>
    </row>
    <row r="445" spans="1:7">
      <c r="A445" s="58">
        <v>198.03003516863888</v>
      </c>
      <c r="B445" s="58">
        <v>200.87572467718834</v>
      </c>
      <c r="C445" s="58">
        <v>193.08752181168447</v>
      </c>
      <c r="D445" s="58">
        <v>198.68903694956612</v>
      </c>
      <c r="E445" s="58">
        <v>3890570.3052766654</v>
      </c>
      <c r="F445" s="58" t="s">
        <v>427</v>
      </c>
      <c r="G445" s="25">
        <f t="shared" si="19"/>
        <v>-3.3167495854062867E-3</v>
      </c>
    </row>
    <row r="446" spans="1:7">
      <c r="A446" s="58">
        <v>198.1398687987934</v>
      </c>
      <c r="B446" s="58">
        <v>200.42640528110158</v>
      </c>
      <c r="C446" s="58">
        <v>193.97617572838942</v>
      </c>
      <c r="D446" s="58">
        <v>196.79191061053311</v>
      </c>
      <c r="E446" s="58">
        <v>3068966.6682756129</v>
      </c>
      <c r="F446" s="58" t="s">
        <v>428</v>
      </c>
      <c r="G446" s="25">
        <f t="shared" si="19"/>
        <v>6.8496625906946385E-3</v>
      </c>
    </row>
    <row r="447" spans="1:7">
      <c r="A447" s="58">
        <v>199.32806897955615</v>
      </c>
      <c r="B447" s="58">
        <v>203.88117219323536</v>
      </c>
      <c r="C447" s="58">
        <v>191.8317240239993</v>
      </c>
      <c r="D447" s="58">
        <v>192.73805117028365</v>
      </c>
      <c r="E447" s="58">
        <v>3770781.1297619566</v>
      </c>
      <c r="F447" s="58" t="s">
        <v>429</v>
      </c>
      <c r="G447" s="25">
        <f t="shared" si="19"/>
        <v>3.4191576438895366E-2</v>
      </c>
    </row>
    <row r="448" spans="1:7">
      <c r="A448" s="58">
        <v>192.25877714779111</v>
      </c>
      <c r="B448" s="58">
        <v>202.29357699372878</v>
      </c>
      <c r="C448" s="58">
        <v>187.26424258964533</v>
      </c>
      <c r="D448" s="58">
        <v>199.69750937189417</v>
      </c>
      <c r="E448" s="58">
        <v>4281779.9915953437</v>
      </c>
      <c r="F448" s="58" t="s">
        <v>430</v>
      </c>
      <c r="G448" s="25">
        <f t="shared" si="19"/>
        <v>-3.7250000000000005E-2</v>
      </c>
    </row>
    <row r="449" spans="1:7">
      <c r="A449" s="58">
        <v>200.69599691875365</v>
      </c>
      <c r="B449" s="58">
        <v>201.0650379160729</v>
      </c>
      <c r="C449" s="58">
        <v>193.90628160010922</v>
      </c>
      <c r="D449" s="58">
        <v>195.56377092789597</v>
      </c>
      <c r="E449" s="58">
        <v>3352777.9194938354</v>
      </c>
      <c r="F449" s="58" t="s">
        <v>431</v>
      </c>
      <c r="G449" s="25">
        <f t="shared" si="19"/>
        <v>2.6243234963749584E-2</v>
      </c>
    </row>
    <row r="450" spans="1:7">
      <c r="A450" s="58">
        <v>191.07057696702836</v>
      </c>
      <c r="B450" s="58">
        <v>195.38404316946125</v>
      </c>
      <c r="C450" s="58">
        <v>185.07465924813721</v>
      </c>
      <c r="D450" s="58">
        <v>185.71868371586157</v>
      </c>
      <c r="E450" s="58">
        <v>3160251.732657921</v>
      </c>
      <c r="F450" s="58" t="s">
        <v>432</v>
      </c>
      <c r="G450" s="25">
        <f t="shared" si="19"/>
        <v>2.8817204301075483E-2</v>
      </c>
    </row>
    <row r="451" spans="1:7">
      <c r="A451" s="58">
        <v>183.72170862214264</v>
      </c>
      <c r="B451" s="58">
        <v>185.08963656134011</v>
      </c>
      <c r="C451" s="58">
        <v>180.49659384578655</v>
      </c>
      <c r="D451" s="58">
        <v>183.5719354901137</v>
      </c>
      <c r="E451" s="58">
        <v>2070815.0106663373</v>
      </c>
      <c r="F451" s="58" t="s">
        <v>433</v>
      </c>
      <c r="G451" s="25">
        <f t="shared" si="19"/>
        <v>8.1588251291830893E-4</v>
      </c>
    </row>
    <row r="452" spans="1:7">
      <c r="A452" s="58">
        <v>185.26936431977484</v>
      </c>
      <c r="B452" s="58">
        <v>186.81702001740697</v>
      </c>
      <c r="C452" s="58">
        <v>180.2170173326659</v>
      </c>
      <c r="D452" s="58">
        <v>180.72624598156423</v>
      </c>
      <c r="E452" s="58">
        <v>1615711.6882170336</v>
      </c>
      <c r="F452" s="58" t="s">
        <v>434</v>
      </c>
      <c r="G452" s="25">
        <f t="shared" si="19"/>
        <v>2.5138121546961489E-2</v>
      </c>
    </row>
    <row r="453" spans="1:7">
      <c r="A453" s="58">
        <v>181.85453690951542</v>
      </c>
      <c r="B453" s="58">
        <v>182.99281271293523</v>
      </c>
      <c r="C453" s="58">
        <v>178.91898352174857</v>
      </c>
      <c r="D453" s="58">
        <v>181.20552000405675</v>
      </c>
      <c r="E453" s="58">
        <v>2180301.604008283</v>
      </c>
      <c r="F453" s="58" t="s">
        <v>435</v>
      </c>
      <c r="G453" s="25">
        <f t="shared" si="19"/>
        <v>3.5816618911175269E-3</v>
      </c>
    </row>
    <row r="454" spans="1:7">
      <c r="A454" s="58">
        <v>183.01278246387241</v>
      </c>
      <c r="B454" s="58">
        <v>183.28237410152448</v>
      </c>
      <c r="C454" s="58">
        <v>172.80823973496862</v>
      </c>
      <c r="D454" s="58">
        <v>180.52654847219233</v>
      </c>
      <c r="E454" s="58">
        <v>4880063.8679230232</v>
      </c>
      <c r="F454" s="58" t="s">
        <v>436</v>
      </c>
      <c r="G454" s="25">
        <f t="shared" si="19"/>
        <v>1.3772123893805333E-2</v>
      </c>
    </row>
    <row r="455" spans="1:7">
      <c r="A455" s="58">
        <v>185.71868371586157</v>
      </c>
      <c r="B455" s="58">
        <v>186.46255693827189</v>
      </c>
      <c r="C455" s="58">
        <v>182.03426466795014</v>
      </c>
      <c r="D455" s="58">
        <v>184.72019616900209</v>
      </c>
      <c r="E455" s="58">
        <v>2071047.3620869732</v>
      </c>
      <c r="F455" s="58" t="s">
        <v>437</v>
      </c>
      <c r="G455" s="25">
        <f t="shared" si="19"/>
        <v>5.4054054054053502E-3</v>
      </c>
    </row>
    <row r="456" spans="1:7">
      <c r="A456" s="58">
        <v>183.98131538432608</v>
      </c>
      <c r="B456" s="58">
        <v>184.95983318024838</v>
      </c>
      <c r="C456" s="58">
        <v>181.53502089452039</v>
      </c>
      <c r="D456" s="58">
        <v>183.19251022230711</v>
      </c>
      <c r="E456" s="58">
        <v>1603966.9248127379</v>
      </c>
      <c r="F456" s="58" t="s">
        <v>438</v>
      </c>
      <c r="G456" s="25">
        <f t="shared" si="19"/>
        <v>4.3058810704748041E-3</v>
      </c>
    </row>
    <row r="457" spans="1:7">
      <c r="A457" s="58">
        <v>183.72170862214264</v>
      </c>
      <c r="B457" s="58">
        <v>185.71868371586157</v>
      </c>
      <c r="C457" s="58">
        <v>181.40521751342868</v>
      </c>
      <c r="D457" s="58">
        <v>184.68025666712774</v>
      </c>
      <c r="E457" s="58">
        <v>1140056.2817036426</v>
      </c>
      <c r="F457" s="58" t="s">
        <v>439</v>
      </c>
      <c r="G457" s="25">
        <f t="shared" si="19"/>
        <v>-5.1903114186850896E-3</v>
      </c>
    </row>
    <row r="458" spans="1:7">
      <c r="A458" s="58">
        <v>185.1195911877459</v>
      </c>
      <c r="B458" s="58">
        <v>185.22942481790042</v>
      </c>
      <c r="C458" s="58">
        <v>180.94092080413901</v>
      </c>
      <c r="D458" s="58">
        <v>183.82155737682857</v>
      </c>
      <c r="E458" s="58">
        <v>1629317.2660159043</v>
      </c>
      <c r="F458" s="58" t="s">
        <v>440</v>
      </c>
      <c r="G458" s="25">
        <f t="shared" si="19"/>
        <v>7.0613796849539057E-3</v>
      </c>
    </row>
    <row r="459" spans="1:7">
      <c r="A459" s="58">
        <v>183.78161787495421</v>
      </c>
      <c r="B459" s="58">
        <v>188.53441859800529</v>
      </c>
      <c r="C459" s="58">
        <v>180.11786751926275</v>
      </c>
      <c r="D459" s="58">
        <v>188.43456984331934</v>
      </c>
      <c r="E459" s="58">
        <v>2722624.8424935122</v>
      </c>
      <c r="F459" s="58" t="s">
        <v>441</v>
      </c>
      <c r="G459" s="25">
        <f t="shared" si="19"/>
        <v>-2.4692666384060979E-2</v>
      </c>
    </row>
    <row r="460" spans="1:7">
      <c r="A460" s="58">
        <v>188.53441859800529</v>
      </c>
      <c r="B460" s="58">
        <v>190.51132409203237</v>
      </c>
      <c r="C460" s="58">
        <v>181.33532338514851</v>
      </c>
      <c r="D460" s="58">
        <v>185.21943994243185</v>
      </c>
      <c r="E460" s="58">
        <v>3483218.2043122603</v>
      </c>
      <c r="F460" s="58" t="s">
        <v>442</v>
      </c>
      <c r="G460" s="25">
        <f t="shared" si="19"/>
        <v>1.789757412398929E-2</v>
      </c>
    </row>
    <row r="461" spans="1:7">
      <c r="A461" s="58">
        <v>183.88146662964016</v>
      </c>
      <c r="B461" s="58">
        <v>184.90990880290539</v>
      </c>
      <c r="C461" s="58">
        <v>177.98040522770069</v>
      </c>
      <c r="D461" s="58">
        <v>179.72775843470475</v>
      </c>
      <c r="E461" s="58">
        <v>2246067.071195669</v>
      </c>
      <c r="F461" s="58" t="s">
        <v>443</v>
      </c>
      <c r="G461" s="25">
        <f t="shared" si="19"/>
        <v>2.3111111111111082E-2</v>
      </c>
    </row>
    <row r="462" spans="1:7">
      <c r="A462" s="58">
        <v>179.37828779330394</v>
      </c>
      <c r="B462" s="58">
        <v>179.98736519688819</v>
      </c>
      <c r="C462" s="58">
        <v>175.04984427766811</v>
      </c>
      <c r="D462" s="58">
        <v>177.78070771832878</v>
      </c>
      <c r="E462" s="58">
        <v>1554386.9374050759</v>
      </c>
      <c r="F462" s="58" t="s">
        <v>444</v>
      </c>
      <c r="G462" s="25">
        <f t="shared" si="19"/>
        <v>8.9862398202751326E-3</v>
      </c>
    </row>
    <row r="463" spans="1:7">
      <c r="A463" s="58">
        <v>176.17314276788503</v>
      </c>
      <c r="B463" s="58">
        <v>180.22700220813448</v>
      </c>
      <c r="C463" s="58">
        <v>174.12624329682311</v>
      </c>
      <c r="D463" s="58">
        <v>178.22004223894695</v>
      </c>
      <c r="E463" s="58">
        <v>1800508.1842578293</v>
      </c>
      <c r="F463" s="58" t="s">
        <v>445</v>
      </c>
      <c r="G463" s="25">
        <f t="shared" si="19"/>
        <v>-1.1485237268194282E-2</v>
      </c>
    </row>
    <row r="464" spans="1:7">
      <c r="A464" s="58">
        <v>178.83910451799983</v>
      </c>
      <c r="B464" s="58">
        <v>179.27843903861799</v>
      </c>
      <c r="C464" s="58">
        <v>172.33895058794465</v>
      </c>
      <c r="D464" s="58">
        <v>176.2530217716338</v>
      </c>
      <c r="E464" s="58">
        <v>2770818.7334953118</v>
      </c>
      <c r="F464" s="58" t="s">
        <v>446</v>
      </c>
      <c r="G464" s="25">
        <f t="shared" si="19"/>
        <v>1.4672558350328657E-2</v>
      </c>
    </row>
    <row r="465" spans="1:7">
      <c r="A465" s="58">
        <v>176.94197817896682</v>
      </c>
      <c r="B465" s="58">
        <v>177.19160006568171</v>
      </c>
      <c r="C465" s="58">
        <v>164.80036960915567</v>
      </c>
      <c r="D465" s="58">
        <v>168.94409292862247</v>
      </c>
      <c r="E465" s="58">
        <v>2760008.3833472803</v>
      </c>
      <c r="F465" s="58" t="s">
        <v>447</v>
      </c>
      <c r="G465" s="25">
        <f t="shared" si="19"/>
        <v>4.7340425531914754E-2</v>
      </c>
    </row>
    <row r="466" spans="1:7">
      <c r="A466" s="58">
        <v>165.81882690695232</v>
      </c>
      <c r="B466" s="58">
        <v>172.48872371997359</v>
      </c>
      <c r="C466" s="58">
        <v>164.44091409228625</v>
      </c>
      <c r="D466" s="58">
        <v>168.40490965331836</v>
      </c>
      <c r="E466" s="58">
        <v>3317860.1079400904</v>
      </c>
      <c r="F466" s="58" t="s">
        <v>448</v>
      </c>
      <c r="G466" s="25">
        <f t="shared" si="19"/>
        <v>-1.5356338195185559E-2</v>
      </c>
    </row>
    <row r="467" spans="1:7">
      <c r="A467" s="58">
        <v>164.10142832635404</v>
      </c>
      <c r="B467" s="58">
        <v>166.21322948796183</v>
      </c>
      <c r="C467" s="58">
        <v>159.75800749751534</v>
      </c>
      <c r="D467" s="58">
        <v>162.83334914184252</v>
      </c>
      <c r="E467" s="58">
        <v>2804272.3304931535</v>
      </c>
      <c r="F467" s="58" t="s">
        <v>449</v>
      </c>
      <c r="G467" s="25">
        <f t="shared" si="19"/>
        <v>7.7875889134166876E-3</v>
      </c>
    </row>
    <row r="468" spans="1:7">
      <c r="A468" s="58">
        <v>161.99461960248055</v>
      </c>
      <c r="B468" s="58">
        <v>165.13985537508788</v>
      </c>
      <c r="C468" s="58">
        <v>149.7831169043892</v>
      </c>
      <c r="D468" s="58">
        <v>152.17449457911766</v>
      </c>
      <c r="E468" s="58">
        <v>3706056.2363937115</v>
      </c>
      <c r="F468" s="58" t="s">
        <v>450</v>
      </c>
      <c r="G468" s="25">
        <f t="shared" si="19"/>
        <v>6.4532003543190886E-2</v>
      </c>
    </row>
    <row r="469" spans="1:7">
      <c r="A469" s="58">
        <v>164.48085359416061</v>
      </c>
      <c r="B469" s="58">
        <v>169.73289809064144</v>
      </c>
      <c r="C469" s="58">
        <v>161.25573881780454</v>
      </c>
      <c r="D469" s="58">
        <v>168.52472815894149</v>
      </c>
      <c r="E469" s="58">
        <v>3319507.5996941677</v>
      </c>
      <c r="F469" s="58" t="s">
        <v>451</v>
      </c>
      <c r="G469" s="25">
        <f t="shared" si="19"/>
        <v>-2.399573409171718E-2</v>
      </c>
    </row>
    <row r="470" spans="1:7">
      <c r="A470" s="58">
        <v>173.76678777995372</v>
      </c>
      <c r="B470" s="58">
        <v>183.58192036558233</v>
      </c>
      <c r="C470" s="58">
        <v>171.55014542592568</v>
      </c>
      <c r="D470" s="58">
        <v>181.62488477373776</v>
      </c>
      <c r="E470" s="58">
        <v>3712379.800488085</v>
      </c>
      <c r="F470" s="58" t="s">
        <v>452</v>
      </c>
      <c r="G470" s="25">
        <f t="shared" si="19"/>
        <v>-4.3265530511270023E-2</v>
      </c>
    </row>
    <row r="471" spans="1:7">
      <c r="A471" s="58">
        <v>177.97042035223208</v>
      </c>
      <c r="B471" s="58">
        <v>179.98237275915392</v>
      </c>
      <c r="C471" s="58">
        <v>170.99099239968439</v>
      </c>
      <c r="D471" s="58">
        <v>170.99099239968439</v>
      </c>
      <c r="E471" s="58">
        <v>4062644.559522904</v>
      </c>
      <c r="F471" s="58" t="s">
        <v>453</v>
      </c>
      <c r="G471" s="25">
        <f t="shared" si="19"/>
        <v>4.0817518248175144E-2</v>
      </c>
    </row>
    <row r="472" spans="1:7">
      <c r="A472" s="58">
        <v>162.45392387403589</v>
      </c>
      <c r="B472" s="58">
        <v>173.80672728182807</v>
      </c>
      <c r="C472" s="58">
        <v>162.20430198732103</v>
      </c>
      <c r="D472" s="58">
        <v>172.66845147840829</v>
      </c>
      <c r="E472" s="58">
        <v>2643328.9111130643</v>
      </c>
      <c r="F472" s="58" t="s">
        <v>454</v>
      </c>
      <c r="G472" s="25">
        <f t="shared" si="19"/>
        <v>-5.9156884288440459E-2</v>
      </c>
    </row>
    <row r="473" spans="1:7">
      <c r="A473" s="58">
        <v>171.78978243717197</v>
      </c>
      <c r="B473" s="58">
        <v>174.50566856462973</v>
      </c>
      <c r="C473" s="58">
        <v>169.5931098340811</v>
      </c>
      <c r="D473" s="58">
        <v>174.05634916854294</v>
      </c>
      <c r="E473" s="58">
        <v>1760629.8701764578</v>
      </c>
      <c r="F473" s="58" t="s">
        <v>455</v>
      </c>
      <c r="G473" s="25">
        <f t="shared" si="19"/>
        <v>-1.3022028453418821E-2</v>
      </c>
    </row>
    <row r="474" spans="1:7">
      <c r="A474" s="58">
        <v>172.84817923684301</v>
      </c>
      <c r="B474" s="58">
        <v>173.71237020864987</v>
      </c>
      <c r="C474" s="58">
        <v>163.44242654542677</v>
      </c>
      <c r="D474" s="58">
        <v>168.20521214394645</v>
      </c>
      <c r="E474" s="58">
        <v>3877784.9680532287</v>
      </c>
      <c r="F474" s="58" t="s">
        <v>456</v>
      </c>
      <c r="G474" s="25">
        <f t="shared" si="19"/>
        <v>2.7602991808144406E-2</v>
      </c>
    </row>
    <row r="475" spans="1:7">
      <c r="A475" s="58">
        <v>159.75800749751534</v>
      </c>
      <c r="B475" s="58">
        <v>166.0384941672614</v>
      </c>
      <c r="C475" s="58">
        <v>156.17343720428983</v>
      </c>
      <c r="D475" s="58">
        <v>165.74893277867216</v>
      </c>
      <c r="E475" s="58">
        <v>5170989.8798834747</v>
      </c>
      <c r="F475" s="58" t="s">
        <v>457</v>
      </c>
      <c r="G475" s="25">
        <f t="shared" si="19"/>
        <v>-3.6144578313253017E-2</v>
      </c>
    </row>
    <row r="476" spans="1:7">
      <c r="A476" s="58">
        <v>162.6536213834078</v>
      </c>
      <c r="B476" s="58">
        <v>172.03940432388683</v>
      </c>
      <c r="C476" s="58">
        <v>162.48387850044168</v>
      </c>
      <c r="D476" s="58">
        <v>167.08690609146385</v>
      </c>
      <c r="E476" s="58">
        <v>5540512.7659329772</v>
      </c>
      <c r="F476" s="58" t="s">
        <v>458</v>
      </c>
      <c r="G476" s="25">
        <f t="shared" si="19"/>
        <v>-2.6532807457870233E-2</v>
      </c>
    </row>
    <row r="477" spans="1:7">
      <c r="A477" s="58">
        <v>170.2321418640712</v>
      </c>
      <c r="B477" s="58">
        <v>170.7513553884381</v>
      </c>
      <c r="C477" s="58">
        <v>165.96860003898124</v>
      </c>
      <c r="D477" s="58">
        <v>166.74742032553164</v>
      </c>
      <c r="E477" s="58">
        <v>3226644.1480751261</v>
      </c>
      <c r="F477" s="58" t="s">
        <v>459</v>
      </c>
      <c r="G477" s="25">
        <f t="shared" si="19"/>
        <v>2.0898203592814468E-2</v>
      </c>
    </row>
    <row r="478" spans="1:7">
      <c r="A478" s="58">
        <v>166.50778331428535</v>
      </c>
      <c r="B478" s="58">
        <v>167.99552975910598</v>
      </c>
      <c r="C478" s="58">
        <v>163.43633577139093</v>
      </c>
      <c r="D478" s="58">
        <v>166.12835804647875</v>
      </c>
      <c r="E478" s="58">
        <v>1741241.5462450383</v>
      </c>
      <c r="F478" s="58" t="s">
        <v>460</v>
      </c>
      <c r="G478" s="25">
        <f t="shared" si="19"/>
        <v>2.2839283567737123E-3</v>
      </c>
    </row>
    <row r="479" spans="1:7">
      <c r="A479" s="58">
        <v>163.09295590402596</v>
      </c>
      <c r="B479" s="58">
        <v>163.44242654542677</v>
      </c>
      <c r="C479" s="58">
        <v>158.86935358081041</v>
      </c>
      <c r="D479" s="58">
        <v>161.75498259123427</v>
      </c>
      <c r="E479" s="58">
        <v>2551651.2529510609</v>
      </c>
      <c r="F479" s="58" t="s">
        <v>461</v>
      </c>
      <c r="G479" s="25">
        <f t="shared" si="19"/>
        <v>8.271604938271615E-3</v>
      </c>
    </row>
    <row r="480" spans="1:7">
      <c r="A480" s="58">
        <v>161.24575394233597</v>
      </c>
      <c r="B480" s="58">
        <v>171.19068990905626</v>
      </c>
      <c r="C480" s="58">
        <v>159.18886959580544</v>
      </c>
      <c r="D480" s="58">
        <v>167.74590787239109</v>
      </c>
      <c r="E480" s="58">
        <v>4743726.6642912189</v>
      </c>
      <c r="F480" s="58" t="s">
        <v>462</v>
      </c>
      <c r="G480" s="25">
        <f t="shared" si="19"/>
        <v>-3.874999999999984E-2</v>
      </c>
    </row>
    <row r="481" spans="1:7">
      <c r="A481" s="58">
        <v>165.57918989570607</v>
      </c>
      <c r="B481" s="58">
        <v>179.92745594407663</v>
      </c>
      <c r="C481" s="58">
        <v>162.6536213834078</v>
      </c>
      <c r="D481" s="58">
        <v>179.92745594407663</v>
      </c>
      <c r="E481" s="58">
        <v>6042895.5964226993</v>
      </c>
      <c r="F481" s="58" t="s">
        <v>463</v>
      </c>
      <c r="G481" s="25">
        <f t="shared" si="19"/>
        <v>-7.9744728079911065E-2</v>
      </c>
    </row>
    <row r="482" spans="1:7">
      <c r="A482" s="58">
        <v>182.4636143130997</v>
      </c>
      <c r="B482" s="58">
        <v>183.61187499198809</v>
      </c>
      <c r="C482" s="58">
        <v>177.91051109942052</v>
      </c>
      <c r="D482" s="58">
        <v>178.50960362753619</v>
      </c>
      <c r="E482" s="58">
        <v>1792453.0011708718</v>
      </c>
      <c r="F482" s="58" t="s">
        <v>464</v>
      </c>
      <c r="G482" s="25">
        <f t="shared" si="19"/>
        <v>2.21501286497372E-2</v>
      </c>
    </row>
    <row r="483" spans="1:7">
      <c r="A483" s="58">
        <v>177.1716303147445</v>
      </c>
      <c r="B483" s="58">
        <v>181.53492104576571</v>
      </c>
      <c r="C483" s="58">
        <v>176.23305202069659</v>
      </c>
      <c r="D483" s="58">
        <v>179.96739544595104</v>
      </c>
      <c r="E483" s="58">
        <v>3031198.5457601021</v>
      </c>
      <c r="F483" s="58" t="s">
        <v>465</v>
      </c>
      <c r="G483" s="25">
        <f t="shared" si="19"/>
        <v>-1.5534842432312623E-2</v>
      </c>
    </row>
    <row r="484" spans="1:7">
      <c r="A484" s="58">
        <v>180.17707783079149</v>
      </c>
      <c r="B484" s="58">
        <v>184.05220800015312</v>
      </c>
      <c r="C484" s="58">
        <v>174.13622817229171</v>
      </c>
      <c r="D484" s="58">
        <v>177.68085896364283</v>
      </c>
      <c r="E484" s="58">
        <v>1606338.5117268141</v>
      </c>
      <c r="F484" s="58" t="s">
        <v>466</v>
      </c>
      <c r="G484" s="25">
        <f t="shared" si="19"/>
        <v>1.404889013767896E-2</v>
      </c>
    </row>
    <row r="485" spans="1:7">
      <c r="A485" s="58">
        <v>176.43274953006849</v>
      </c>
      <c r="B485" s="58">
        <v>182.88297908278068</v>
      </c>
      <c r="C485" s="58">
        <v>176.28297639803958</v>
      </c>
      <c r="D485" s="58">
        <v>180.72624598156423</v>
      </c>
      <c r="E485" s="58">
        <v>2578553.9420076134</v>
      </c>
      <c r="F485" s="58" t="s">
        <v>467</v>
      </c>
      <c r="G485" s="25">
        <f t="shared" si="19"/>
        <v>-2.375690607734815E-2</v>
      </c>
    </row>
    <row r="486" spans="1:7">
      <c r="A486" s="58">
        <v>179.45816679705268</v>
      </c>
      <c r="B486" s="58">
        <v>179.52806092533288</v>
      </c>
      <c r="C486" s="58">
        <v>174.33592568166361</v>
      </c>
      <c r="D486" s="58">
        <v>174.66542657212725</v>
      </c>
      <c r="E486" s="58">
        <v>1838450.5703388166</v>
      </c>
      <c r="F486" s="58" t="s">
        <v>468</v>
      </c>
      <c r="G486" s="25">
        <f t="shared" si="19"/>
        <v>2.743954724747022E-2</v>
      </c>
    </row>
    <row r="487" spans="1:7">
      <c r="A487" s="58">
        <v>172.71837585575125</v>
      </c>
      <c r="B487" s="58">
        <v>174.56557781744129</v>
      </c>
      <c r="C487" s="58">
        <v>172.33895058794465</v>
      </c>
      <c r="D487" s="58">
        <v>174.01640966666858</v>
      </c>
      <c r="E487" s="58">
        <v>1803793.152618543</v>
      </c>
      <c r="F487" s="58" t="s">
        <v>469</v>
      </c>
      <c r="G487" s="25">
        <f t="shared" si="19"/>
        <v>-7.4592609593758796E-3</v>
      </c>
    </row>
    <row r="488" spans="1:7">
      <c r="A488" s="58">
        <v>174.10627354588593</v>
      </c>
      <c r="B488" s="58">
        <v>178.32987586910147</v>
      </c>
      <c r="C488" s="58">
        <v>173.90657603651402</v>
      </c>
      <c r="D488" s="58">
        <v>176.54258316022305</v>
      </c>
      <c r="E488" s="58">
        <v>1661856.4800523641</v>
      </c>
      <c r="F488" s="58" t="s">
        <v>470</v>
      </c>
      <c r="G488" s="25">
        <f t="shared" si="19"/>
        <v>-1.3800124427351457E-2</v>
      </c>
    </row>
    <row r="489" spans="1:7">
      <c r="A489" s="58">
        <v>175.96346038304455</v>
      </c>
      <c r="B489" s="58">
        <v>177.1716303147445</v>
      </c>
      <c r="C489" s="58">
        <v>171.00097727515296</v>
      </c>
      <c r="D489" s="58">
        <v>171.24061428639925</v>
      </c>
      <c r="E489" s="58">
        <v>1632053.4042968401</v>
      </c>
      <c r="F489" s="58" t="s">
        <v>471</v>
      </c>
      <c r="G489" s="25">
        <f t="shared" si="19"/>
        <v>2.7580174927113621E-2</v>
      </c>
    </row>
    <row r="490" spans="1:7">
      <c r="A490" s="58">
        <v>172.41882959169342</v>
      </c>
      <c r="B490" s="58">
        <v>174.5156534400983</v>
      </c>
      <c r="C490" s="58">
        <v>168.92412317768529</v>
      </c>
      <c r="D490" s="58">
        <v>169.842731720796</v>
      </c>
      <c r="E490" s="58">
        <v>1319146.1467324425</v>
      </c>
      <c r="F490" s="58" t="s">
        <v>472</v>
      </c>
      <c r="G490" s="25">
        <f t="shared" si="19"/>
        <v>1.5167548500881756E-2</v>
      </c>
    </row>
    <row r="491" spans="1:7">
      <c r="A491" s="58">
        <v>169.55317033220675</v>
      </c>
      <c r="B491" s="58">
        <v>171.7198883088918</v>
      </c>
      <c r="C491" s="58">
        <v>165.15982512602505</v>
      </c>
      <c r="D491" s="58">
        <v>165.15982512602505</v>
      </c>
      <c r="E491" s="58">
        <v>2451147.2453491278</v>
      </c>
      <c r="F491" s="58" t="s">
        <v>473</v>
      </c>
      <c r="G491" s="25">
        <f t="shared" si="19"/>
        <v>2.6600568284868009E-2</v>
      </c>
    </row>
    <row r="492" spans="1:7">
      <c r="A492" s="58">
        <v>167.26663384989857</v>
      </c>
      <c r="B492" s="58">
        <v>170.9410680223414</v>
      </c>
      <c r="C492" s="58">
        <v>164.87026373743583</v>
      </c>
      <c r="D492" s="58">
        <v>170.74137051296952</v>
      </c>
      <c r="E492" s="58">
        <v>2752498.0242811241</v>
      </c>
      <c r="F492" s="58" t="s">
        <v>474</v>
      </c>
      <c r="G492" s="25">
        <f t="shared" si="19"/>
        <v>-2.0350877192982453E-2</v>
      </c>
    </row>
    <row r="493" spans="1:7">
      <c r="A493" s="58">
        <v>171.25059916186783</v>
      </c>
      <c r="B493" s="58">
        <v>176.03335451132472</v>
      </c>
      <c r="C493" s="58">
        <v>166.92215564623206</v>
      </c>
      <c r="D493" s="58">
        <v>174.53562319103551</v>
      </c>
      <c r="E493" s="58">
        <v>3789285.1161743184</v>
      </c>
      <c r="F493" s="58" t="s">
        <v>475</v>
      </c>
      <c r="G493" s="25">
        <f t="shared" si="19"/>
        <v>-1.8821510297483024E-2</v>
      </c>
    </row>
    <row r="494" spans="1:7">
      <c r="A494" s="58">
        <v>176.01338476038751</v>
      </c>
      <c r="B494" s="58">
        <v>179.00175813938321</v>
      </c>
      <c r="C494" s="58">
        <v>172.98796749340332</v>
      </c>
      <c r="D494" s="58">
        <v>178.12019348426099</v>
      </c>
      <c r="E494" s="58">
        <v>2545112.3631867012</v>
      </c>
      <c r="F494" s="58" t="s">
        <v>476</v>
      </c>
      <c r="G494" s="25">
        <f t="shared" si="19"/>
        <v>-1.1828017265541835E-2</v>
      </c>
    </row>
    <row r="495" spans="1:7">
      <c r="A495" s="58">
        <v>179.72775843470475</v>
      </c>
      <c r="B495" s="58">
        <v>181.45014945303734</v>
      </c>
      <c r="C495" s="58">
        <v>177.35135807317923</v>
      </c>
      <c r="D495" s="58">
        <v>180.61641235140968</v>
      </c>
      <c r="E495" s="58">
        <v>2287414.6074066646</v>
      </c>
      <c r="F495" s="58" t="s">
        <v>477</v>
      </c>
      <c r="G495" s="25">
        <f t="shared" si="19"/>
        <v>-4.9201171982973246E-3</v>
      </c>
    </row>
    <row r="496" spans="1:7">
      <c r="A496" s="58">
        <v>181.17556537765097</v>
      </c>
      <c r="B496" s="58">
        <v>181.22548975499396</v>
      </c>
      <c r="C496" s="58">
        <v>176.00339988491893</v>
      </c>
      <c r="D496" s="58">
        <v>179.52806092533288</v>
      </c>
      <c r="E496" s="58">
        <v>2557898.7019248819</v>
      </c>
      <c r="F496" s="58" t="s">
        <v>478</v>
      </c>
      <c r="G496" s="25">
        <f t="shared" si="19"/>
        <v>9.1768631813122781E-3</v>
      </c>
    </row>
    <row r="497" spans="1:7">
      <c r="A497" s="58">
        <v>177.87057159754613</v>
      </c>
      <c r="B497" s="58">
        <v>178.87904401987421</v>
      </c>
      <c r="C497" s="58">
        <v>174.50566856462973</v>
      </c>
      <c r="D497" s="58">
        <v>176.28297639803958</v>
      </c>
      <c r="E497" s="58">
        <v>2556758.9781460734</v>
      </c>
      <c r="F497" s="58" t="s">
        <v>479</v>
      </c>
      <c r="G497" s="25">
        <f t="shared" si="19"/>
        <v>9.0059473237042997E-3</v>
      </c>
    </row>
    <row r="498" spans="1:7">
      <c r="A498" s="58">
        <v>175.46421660961479</v>
      </c>
      <c r="B498" s="58">
        <v>176.91202355256104</v>
      </c>
      <c r="C498" s="58">
        <v>170.14227798485385</v>
      </c>
      <c r="D498" s="58">
        <v>176.83214454881227</v>
      </c>
      <c r="E498" s="58">
        <v>3882826.5932751293</v>
      </c>
      <c r="F498" s="58" t="s">
        <v>480</v>
      </c>
      <c r="G498" s="25">
        <f t="shared" si="19"/>
        <v>-7.7357425183511852E-3</v>
      </c>
    </row>
    <row r="499" spans="1:7">
      <c r="A499" s="58">
        <v>176.91202355256104</v>
      </c>
      <c r="B499" s="58">
        <v>185.21943994243185</v>
      </c>
      <c r="C499" s="58">
        <v>174.83017701735903</v>
      </c>
      <c r="D499" s="58">
        <v>178.20007248800977</v>
      </c>
      <c r="E499" s="58">
        <v>4011371.0106829349</v>
      </c>
      <c r="F499" s="58" t="s">
        <v>481</v>
      </c>
      <c r="G499" s="25">
        <f t="shared" si="19"/>
        <v>-7.2281055639603631E-3</v>
      </c>
    </row>
    <row r="500" spans="1:7">
      <c r="A500" s="58">
        <v>179.29840878955517</v>
      </c>
      <c r="B500" s="58">
        <v>179.97738032141962</v>
      </c>
      <c r="C500" s="58">
        <v>166.07843366913579</v>
      </c>
      <c r="D500" s="58">
        <v>167.68599861957952</v>
      </c>
      <c r="E500" s="58">
        <v>3370015.9912696294</v>
      </c>
      <c r="F500" s="58" t="s">
        <v>482</v>
      </c>
      <c r="G500" s="25">
        <f t="shared" si="19"/>
        <v>6.9250922948672189E-2</v>
      </c>
    </row>
    <row r="501" spans="1:7">
      <c r="A501" s="58">
        <v>168.50475840800428</v>
      </c>
      <c r="B501" s="58">
        <v>171.62003955420585</v>
      </c>
      <c r="C501" s="58">
        <v>165.8987059107011</v>
      </c>
      <c r="D501" s="58">
        <v>169.49326107939518</v>
      </c>
      <c r="E501" s="58">
        <v>2808443.6394024133</v>
      </c>
      <c r="F501" s="58" t="s">
        <v>483</v>
      </c>
      <c r="G501" s="25">
        <f t="shared" si="19"/>
        <v>-5.8321060382917622E-3</v>
      </c>
    </row>
    <row r="502" spans="1:7">
      <c r="A502" s="58">
        <v>169.91262584907614</v>
      </c>
      <c r="B502" s="58">
        <v>174.5156534400983</v>
      </c>
      <c r="C502" s="58">
        <v>165.94863028804403</v>
      </c>
      <c r="D502" s="58">
        <v>173.82669703276528</v>
      </c>
      <c r="E502" s="58">
        <v>3133080.637649945</v>
      </c>
      <c r="F502" s="58" t="s">
        <v>484</v>
      </c>
      <c r="G502" s="25">
        <f t="shared" si="19"/>
        <v>-2.2517088862082923E-2</v>
      </c>
    </row>
    <row r="503" spans="1:7">
      <c r="A503" s="58">
        <v>175.90355113023296</v>
      </c>
      <c r="B503" s="58">
        <v>181.68479402654933</v>
      </c>
      <c r="C503" s="58">
        <v>172.57858759919094</v>
      </c>
      <c r="D503" s="58">
        <v>179.52806092533288</v>
      </c>
      <c r="E503" s="58">
        <v>3467402.2834731168</v>
      </c>
      <c r="F503" s="58" t="s">
        <v>485</v>
      </c>
      <c r="G503" s="25">
        <f t="shared" si="19"/>
        <v>-2.0189098998887878E-2</v>
      </c>
    </row>
    <row r="504" spans="1:7">
      <c r="A504" s="58">
        <v>177.25150931849328</v>
      </c>
      <c r="B504" s="58">
        <v>178.94893814815435</v>
      </c>
      <c r="C504" s="58">
        <v>170.89613608273274</v>
      </c>
      <c r="D504" s="58">
        <v>171.28055378827361</v>
      </c>
      <c r="E504" s="58">
        <v>4022584.9712728471</v>
      </c>
      <c r="F504" s="58" t="s">
        <v>486</v>
      </c>
      <c r="G504" s="25">
        <f t="shared" si="19"/>
        <v>3.4860673895301675E-2</v>
      </c>
    </row>
    <row r="505" spans="1:7">
      <c r="A505" s="58">
        <v>167.97556000816877</v>
      </c>
      <c r="B505" s="58">
        <v>168.2850911476952</v>
      </c>
      <c r="C505" s="58">
        <v>163.0530164021516</v>
      </c>
      <c r="D505" s="58">
        <v>165.24968900524243</v>
      </c>
      <c r="E505" s="58">
        <v>2039206.2038271651</v>
      </c>
      <c r="F505" s="58" t="s">
        <v>487</v>
      </c>
      <c r="G505" s="25">
        <f t="shared" ref="G505:G556" si="20">A505/D505-1</f>
        <v>1.6495468277945458E-2</v>
      </c>
    </row>
    <row r="506" spans="1:7">
      <c r="A506" s="58">
        <v>166.38796480866222</v>
      </c>
      <c r="B506" s="58">
        <v>169.74288296611005</v>
      </c>
      <c r="C506" s="58">
        <v>160.35550244555603</v>
      </c>
      <c r="D506" s="58">
        <v>160.9761623046839</v>
      </c>
      <c r="E506" s="58">
        <v>4230702.7396452222</v>
      </c>
      <c r="F506" s="58" t="s">
        <v>488</v>
      </c>
      <c r="G506" s="25">
        <f t="shared" si="20"/>
        <v>3.361865773477235E-2</v>
      </c>
    </row>
    <row r="507" spans="1:7">
      <c r="A507" s="58">
        <v>161.83486159498304</v>
      </c>
      <c r="B507" s="58">
        <v>165.50929576742587</v>
      </c>
      <c r="C507" s="58">
        <v>158.79945945253024</v>
      </c>
      <c r="D507" s="58">
        <v>159.25876372408561</v>
      </c>
      <c r="E507" s="58">
        <v>4857643.9588611517</v>
      </c>
      <c r="F507" s="58" t="s">
        <v>489</v>
      </c>
      <c r="G507" s="25">
        <f t="shared" si="20"/>
        <v>1.617554858934156E-2</v>
      </c>
    </row>
    <row r="508" spans="1:7">
      <c r="A508" s="58">
        <v>160.06753863704176</v>
      </c>
      <c r="B508" s="58">
        <v>163.88176106604493</v>
      </c>
      <c r="C508" s="58">
        <v>155.26481353664772</v>
      </c>
      <c r="D508" s="58">
        <v>163.00309202480861</v>
      </c>
      <c r="E508" s="58">
        <v>5256968.9191514347</v>
      </c>
      <c r="F508" s="58" t="s">
        <v>490</v>
      </c>
      <c r="G508" s="25">
        <f t="shared" si="20"/>
        <v>-1.8009188361408857E-2</v>
      </c>
    </row>
    <row r="509" spans="1:7">
      <c r="A509" s="58">
        <v>163.2427290360549</v>
      </c>
      <c r="B509" s="58">
        <v>168.04545413644894</v>
      </c>
      <c r="C509" s="58">
        <v>162.22427173825824</v>
      </c>
      <c r="D509" s="58">
        <v>164.84030911103005</v>
      </c>
      <c r="E509" s="58">
        <v>8017669.3491869019</v>
      </c>
      <c r="F509" s="58" t="s">
        <v>491</v>
      </c>
      <c r="G509" s="25">
        <f t="shared" si="20"/>
        <v>-9.6916833242474132E-3</v>
      </c>
    </row>
    <row r="510" spans="1:7">
      <c r="A510" s="58">
        <v>162.7934096399681</v>
      </c>
      <c r="B510" s="58">
        <v>169.15377531346294</v>
      </c>
      <c r="C510" s="58">
        <v>161.08599593483845</v>
      </c>
      <c r="D510" s="58">
        <v>168.0953785137919</v>
      </c>
      <c r="E510" s="58">
        <v>5287780.5202542879</v>
      </c>
      <c r="F510" s="58" t="s">
        <v>492</v>
      </c>
      <c r="G510" s="25">
        <f t="shared" si="20"/>
        <v>-3.154143154143163E-2</v>
      </c>
    </row>
    <row r="511" spans="1:7">
      <c r="A511" s="58">
        <v>170.11232335844804</v>
      </c>
      <c r="B511" s="58">
        <v>178.72927088784527</v>
      </c>
      <c r="C511" s="58">
        <v>166.18826729929032</v>
      </c>
      <c r="D511" s="58">
        <v>178.65937675956513</v>
      </c>
      <c r="E511" s="58">
        <v>3439967.7900874368</v>
      </c>
      <c r="F511" s="58" t="s">
        <v>493</v>
      </c>
      <c r="G511" s="25">
        <f t="shared" si="20"/>
        <v>-4.7839937405689481E-2</v>
      </c>
    </row>
    <row r="512" spans="1:7">
      <c r="A512" s="58">
        <v>175.63395949258091</v>
      </c>
      <c r="B512" s="58">
        <v>179.49311386119277</v>
      </c>
      <c r="C512" s="58">
        <v>165.14984025055648</v>
      </c>
      <c r="D512" s="58">
        <v>176.83214454881227</v>
      </c>
      <c r="E512" s="58">
        <v>5463166.7837593313</v>
      </c>
      <c r="F512" s="58" t="s">
        <v>494</v>
      </c>
      <c r="G512" s="25">
        <f t="shared" si="20"/>
        <v>-6.7758328627892661E-3</v>
      </c>
    </row>
    <row r="513" spans="1:7">
      <c r="A513" s="58">
        <v>174.81519970415616</v>
      </c>
      <c r="B513" s="58">
        <v>177.5410707070825</v>
      </c>
      <c r="C513" s="58">
        <v>174.23607692697766</v>
      </c>
      <c r="D513" s="58">
        <v>176.70234116772056</v>
      </c>
      <c r="E513" s="58">
        <v>2046227.8236981905</v>
      </c>
      <c r="F513" s="58" t="s">
        <v>495</v>
      </c>
      <c r="G513" s="25">
        <f t="shared" si="20"/>
        <v>-1.0679776233259886E-2</v>
      </c>
    </row>
    <row r="514" spans="1:7">
      <c r="A514" s="58">
        <v>177.05181180912138</v>
      </c>
      <c r="B514" s="58">
        <v>178.41973974831885</v>
      </c>
      <c r="C514" s="58">
        <v>173.83288765555582</v>
      </c>
      <c r="D514" s="58">
        <v>175.73380824726686</v>
      </c>
      <c r="E514" s="58">
        <v>1540039.2371808123</v>
      </c>
      <c r="F514" s="58" t="s">
        <v>496</v>
      </c>
      <c r="G514" s="25">
        <f t="shared" si="20"/>
        <v>7.5000000000000622E-3</v>
      </c>
    </row>
    <row r="515" spans="1:7">
      <c r="A515" s="58">
        <v>177.82064722020317</v>
      </c>
      <c r="B515" s="58">
        <v>182.50355381497408</v>
      </c>
      <c r="C515" s="58">
        <v>176.51262853381726</v>
      </c>
      <c r="D515" s="58">
        <v>178.07026910691803</v>
      </c>
      <c r="E515" s="58">
        <v>2636736.9410672663</v>
      </c>
      <c r="F515" s="58" t="s">
        <v>497</v>
      </c>
      <c r="G515" s="25">
        <f t="shared" si="20"/>
        <v>-1.401816754513785E-3</v>
      </c>
    </row>
    <row r="516" spans="1:7">
      <c r="A516" s="58">
        <v>177.16164543927593</v>
      </c>
      <c r="B516" s="58">
        <v>177.50063196143469</v>
      </c>
      <c r="C516" s="58">
        <v>161.84484647045164</v>
      </c>
      <c r="D516" s="58">
        <v>162.56375750419045</v>
      </c>
      <c r="E516" s="58">
        <v>4300556.3900181055</v>
      </c>
      <c r="F516" s="58" t="s">
        <v>498</v>
      </c>
      <c r="G516" s="25">
        <f t="shared" si="20"/>
        <v>8.9797923960444725E-2</v>
      </c>
    </row>
    <row r="517" spans="1:7">
      <c r="A517" s="58">
        <v>161.42548170077063</v>
      </c>
      <c r="B517" s="58">
        <v>169.74288296611005</v>
      </c>
      <c r="C517" s="58">
        <v>161.19582956499298</v>
      </c>
      <c r="D517" s="58">
        <v>166.16829754835311</v>
      </c>
      <c r="E517" s="58">
        <v>3143757.7863370082</v>
      </c>
      <c r="F517" s="58" t="s">
        <v>499</v>
      </c>
      <c r="G517" s="25">
        <f t="shared" si="20"/>
        <v>-2.8542242518928007E-2</v>
      </c>
    </row>
    <row r="518" spans="1:7">
      <c r="A518" s="58">
        <v>163.60218455292429</v>
      </c>
      <c r="B518" s="58">
        <v>167.10687584240105</v>
      </c>
      <c r="C518" s="58">
        <v>162.75347013809375</v>
      </c>
      <c r="D518" s="58">
        <v>164.04151907354245</v>
      </c>
      <c r="E518" s="58">
        <v>2021926.068432118</v>
      </c>
      <c r="F518" s="58" t="s">
        <v>500</v>
      </c>
      <c r="G518" s="25">
        <f t="shared" si="20"/>
        <v>-2.6781910037129153E-3</v>
      </c>
    </row>
    <row r="519" spans="1:7">
      <c r="A519" s="58">
        <v>163.68206355667306</v>
      </c>
      <c r="B519" s="58">
        <v>164.24121658291438</v>
      </c>
      <c r="C519" s="58">
        <v>158.82941407893603</v>
      </c>
      <c r="D519" s="58">
        <v>159.99764450876162</v>
      </c>
      <c r="E519" s="58">
        <v>1948415.8877284518</v>
      </c>
      <c r="F519" s="58" t="s">
        <v>501</v>
      </c>
      <c r="G519" s="25">
        <f t="shared" si="20"/>
        <v>2.3027958062905585E-2</v>
      </c>
    </row>
    <row r="520" spans="1:7">
      <c r="A520" s="58">
        <v>160.70657066703183</v>
      </c>
      <c r="B520" s="58">
        <v>164.05150394901108</v>
      </c>
      <c r="C520" s="58">
        <v>159.96768988235584</v>
      </c>
      <c r="D520" s="58">
        <v>162.81337939090531</v>
      </c>
      <c r="E520" s="58">
        <v>1738751.7805911559</v>
      </c>
      <c r="F520" s="58" t="s">
        <v>502</v>
      </c>
      <c r="G520" s="25">
        <f t="shared" si="20"/>
        <v>-1.2940022077762792E-2</v>
      </c>
    </row>
    <row r="521" spans="1:7">
      <c r="A521" s="58">
        <v>162.37404487028715</v>
      </c>
      <c r="B521" s="58">
        <v>167.38645235552167</v>
      </c>
      <c r="C521" s="58">
        <v>160.69658579156322</v>
      </c>
      <c r="D521" s="58">
        <v>166.62760181990848</v>
      </c>
      <c r="E521" s="58">
        <v>1940087.2911163496</v>
      </c>
      <c r="F521" s="58" t="s">
        <v>503</v>
      </c>
      <c r="G521" s="25">
        <f t="shared" si="20"/>
        <v>-2.5527325023969261E-2</v>
      </c>
    </row>
    <row r="522" spans="1:7">
      <c r="A522" s="58">
        <v>166.14832779741596</v>
      </c>
      <c r="B522" s="58">
        <v>169.74288296611005</v>
      </c>
      <c r="C522" s="58">
        <v>166.09840342007297</v>
      </c>
      <c r="D522" s="58">
        <v>167.7758624987969</v>
      </c>
      <c r="E522" s="58">
        <v>1606825.2478924566</v>
      </c>
      <c r="F522" s="58" t="s">
        <v>504</v>
      </c>
      <c r="G522" s="25">
        <f t="shared" si="20"/>
        <v>-9.7006486936856984E-3</v>
      </c>
    </row>
    <row r="523" spans="1:7">
      <c r="A523" s="58">
        <v>167.61610449129938</v>
      </c>
      <c r="B523" s="58">
        <v>172.08932870122979</v>
      </c>
      <c r="C523" s="58">
        <v>166.70348687346981</v>
      </c>
      <c r="D523" s="58">
        <v>168.10536338926053</v>
      </c>
      <c r="E523" s="58">
        <v>2575920.9597453219</v>
      </c>
      <c r="F523" s="58" t="s">
        <v>505</v>
      </c>
      <c r="G523" s="25">
        <f t="shared" si="20"/>
        <v>-2.9104300308862019E-3</v>
      </c>
    </row>
    <row r="524" spans="1:7">
      <c r="A524" s="58">
        <v>165.37949238633414</v>
      </c>
      <c r="B524" s="58">
        <v>166.30309336717917</v>
      </c>
      <c r="C524" s="58">
        <v>158.61973169409555</v>
      </c>
      <c r="D524" s="58">
        <v>160.44696390484836</v>
      </c>
      <c r="E524" s="58">
        <v>3861259.9747752482</v>
      </c>
      <c r="F524" s="58" t="s">
        <v>506</v>
      </c>
      <c r="G524" s="25">
        <f t="shared" si="20"/>
        <v>3.0742423299520816E-2</v>
      </c>
    </row>
    <row r="525" spans="1:7">
      <c r="A525" s="58">
        <v>161.28569344421032</v>
      </c>
      <c r="B525" s="58">
        <v>167.29658847630435</v>
      </c>
      <c r="C525" s="58">
        <v>159.93773525595003</v>
      </c>
      <c r="D525" s="58">
        <v>164.75044523181268</v>
      </c>
      <c r="E525" s="58">
        <v>4420483.7745675026</v>
      </c>
      <c r="F525" s="58" t="s">
        <v>507</v>
      </c>
      <c r="G525" s="25">
        <f t="shared" si="20"/>
        <v>-2.1030303030302955E-2</v>
      </c>
    </row>
    <row r="526" spans="1:7">
      <c r="A526" s="58">
        <v>167.01701196318371</v>
      </c>
      <c r="B526" s="58">
        <v>170.54167300359762</v>
      </c>
      <c r="C526" s="58">
        <v>165.73894790320358</v>
      </c>
      <c r="D526" s="58">
        <v>168.74439541925057</v>
      </c>
      <c r="E526" s="58">
        <v>3464862.4420820284</v>
      </c>
      <c r="F526" s="58" t="s">
        <v>508</v>
      </c>
      <c r="G526" s="25">
        <f t="shared" si="20"/>
        <v>-1.0236686390532435E-2</v>
      </c>
    </row>
    <row r="527" spans="1:7">
      <c r="A527" s="58">
        <v>166.14832779741596</v>
      </c>
      <c r="B527" s="58">
        <v>168.46481890612992</v>
      </c>
      <c r="C527" s="58">
        <v>164.40097459041189</v>
      </c>
      <c r="D527" s="58">
        <v>164.75044523181268</v>
      </c>
      <c r="E527" s="58">
        <v>4028662.1627401672</v>
      </c>
      <c r="F527" s="58" t="s">
        <v>509</v>
      </c>
      <c r="G527" s="25">
        <f t="shared" si="20"/>
        <v>8.4848484848485395E-3</v>
      </c>
    </row>
    <row r="528" spans="1:7">
      <c r="A528" s="58">
        <v>163.75195768495323</v>
      </c>
      <c r="B528" s="58">
        <v>166.75740520100021</v>
      </c>
      <c r="C528" s="58">
        <v>162.97812983613713</v>
      </c>
      <c r="D528" s="58">
        <v>166.74742032553164</v>
      </c>
      <c r="E528" s="58">
        <v>3685257.7797025708</v>
      </c>
      <c r="F528" s="58" t="s">
        <v>510</v>
      </c>
      <c r="G528" s="25">
        <f t="shared" si="20"/>
        <v>-1.7964071856287456E-2</v>
      </c>
    </row>
    <row r="529" spans="1:7">
      <c r="A529" s="58">
        <v>167.10687584240105</v>
      </c>
      <c r="B529" s="58">
        <v>173.23758938011818</v>
      </c>
      <c r="C529" s="58">
        <v>166.91217077076342</v>
      </c>
      <c r="D529" s="58">
        <v>168.40490965331836</v>
      </c>
      <c r="E529" s="58">
        <v>2888518.7492537862</v>
      </c>
      <c r="F529" s="58" t="s">
        <v>511</v>
      </c>
      <c r="G529" s="25">
        <f t="shared" si="20"/>
        <v>-7.7078145381239693E-3</v>
      </c>
    </row>
    <row r="530" spans="1:7">
      <c r="A530" s="58">
        <v>168.88418367581087</v>
      </c>
      <c r="B530" s="58">
        <v>170.91111339593562</v>
      </c>
      <c r="C530" s="58">
        <v>164.26118633385153</v>
      </c>
      <c r="D530" s="58">
        <v>166.90717833302915</v>
      </c>
      <c r="E530" s="58">
        <v>4013113.6463377038</v>
      </c>
      <c r="F530" s="58" t="s">
        <v>512</v>
      </c>
      <c r="G530" s="25">
        <f t="shared" si="20"/>
        <v>1.1844938980617226E-2</v>
      </c>
    </row>
    <row r="531" spans="1:7">
      <c r="A531" s="58">
        <v>166.00853954085562</v>
      </c>
      <c r="B531" s="58">
        <v>166.91716320849773</v>
      </c>
      <c r="C531" s="58">
        <v>154.9053580197783</v>
      </c>
      <c r="D531" s="58">
        <v>155.39461691773943</v>
      </c>
      <c r="E531" s="58">
        <v>4642155.0419720542</v>
      </c>
      <c r="F531" s="58" t="s">
        <v>513</v>
      </c>
      <c r="G531" s="25">
        <f t="shared" si="20"/>
        <v>6.8303026408790268E-2</v>
      </c>
    </row>
    <row r="532" spans="1:7">
      <c r="A532" s="58">
        <v>153.5973393333924</v>
      </c>
      <c r="B532" s="58">
        <v>155.20490428383616</v>
      </c>
      <c r="C532" s="58">
        <v>151.42952302040578</v>
      </c>
      <c r="D532" s="58">
        <v>153.29779306933455</v>
      </c>
      <c r="E532" s="58">
        <v>2534574.4250490703</v>
      </c>
      <c r="F532" s="58" t="s">
        <v>514</v>
      </c>
      <c r="G532" s="25">
        <f t="shared" si="20"/>
        <v>1.9540155018564764E-3</v>
      </c>
    </row>
    <row r="533" spans="1:7">
      <c r="A533" s="58">
        <v>151.44060623217592</v>
      </c>
      <c r="B533" s="58">
        <v>156.46299859287907</v>
      </c>
      <c r="C533" s="58">
        <v>149.19470819302495</v>
      </c>
      <c r="D533" s="58">
        <v>153.95679485026182</v>
      </c>
      <c r="E533" s="58">
        <v>3402605.2810432953</v>
      </c>
      <c r="F533" s="58" t="s">
        <v>515</v>
      </c>
      <c r="G533" s="25">
        <f t="shared" si="20"/>
        <v>-1.6343472339321763E-2</v>
      </c>
    </row>
    <row r="534" spans="1:7">
      <c r="A534" s="58">
        <v>153.47752082776927</v>
      </c>
      <c r="B534" s="58">
        <v>162.8533188927797</v>
      </c>
      <c r="C534" s="58">
        <v>152.01972900935442</v>
      </c>
      <c r="D534" s="58">
        <v>157.90082066035671</v>
      </c>
      <c r="E534" s="58">
        <v>3495361.5705847158</v>
      </c>
      <c r="F534" s="58" t="s">
        <v>516</v>
      </c>
      <c r="G534" s="25">
        <f t="shared" si="20"/>
        <v>-2.8013152902491401E-2</v>
      </c>
    </row>
    <row r="535" spans="1:7">
      <c r="A535" s="58">
        <v>158.76950482612446</v>
      </c>
      <c r="B535" s="58">
        <v>159.30868810142857</v>
      </c>
      <c r="C535" s="58">
        <v>153.34771744667754</v>
      </c>
      <c r="D535" s="58">
        <v>153.34771744667754</v>
      </c>
      <c r="E535" s="58">
        <v>5946208.3615106074</v>
      </c>
      <c r="F535" s="58" t="s">
        <v>517</v>
      </c>
      <c r="G535" s="25">
        <f t="shared" si="20"/>
        <v>3.5356166167469727E-2</v>
      </c>
    </row>
    <row r="536" spans="1:7">
      <c r="A536" s="58">
        <v>152.83848879777921</v>
      </c>
      <c r="B536" s="58">
        <v>157.01216674365179</v>
      </c>
      <c r="C536" s="58">
        <v>149.9728295382925</v>
      </c>
      <c r="D536" s="58">
        <v>153.40762669948907</v>
      </c>
      <c r="E536" s="58">
        <v>4236923.1477209516</v>
      </c>
      <c r="F536" s="58" t="s">
        <v>518</v>
      </c>
      <c r="G536" s="25">
        <f t="shared" si="20"/>
        <v>-3.7099713616243202E-3</v>
      </c>
    </row>
    <row r="537" spans="1:7">
      <c r="A537" s="58">
        <v>148.08568807472813</v>
      </c>
      <c r="B537" s="58">
        <v>151.90989537919987</v>
      </c>
      <c r="C537" s="58">
        <v>138.46276434186998</v>
      </c>
      <c r="D537" s="58">
        <v>142.78371920090433</v>
      </c>
      <c r="E537" s="58">
        <v>6078457.3819569135</v>
      </c>
      <c r="F537" s="58" t="s">
        <v>519</v>
      </c>
      <c r="G537" s="25">
        <f t="shared" si="20"/>
        <v>3.7132867132867231E-2</v>
      </c>
    </row>
    <row r="538" spans="1:7">
      <c r="A538" s="58">
        <v>145.95890959991746</v>
      </c>
      <c r="B538" s="58">
        <v>149.67328327423468</v>
      </c>
      <c r="C538" s="58">
        <v>144.13167738916462</v>
      </c>
      <c r="D538" s="58">
        <v>146.77766938834222</v>
      </c>
      <c r="E538" s="58">
        <v>4691708.989996369</v>
      </c>
      <c r="F538" s="58" t="s">
        <v>520</v>
      </c>
      <c r="G538" s="25">
        <f t="shared" si="20"/>
        <v>-5.5782312925168887E-3</v>
      </c>
    </row>
    <row r="539" spans="1:7">
      <c r="A539" s="58">
        <v>147.60641405223558</v>
      </c>
      <c r="B539" s="58">
        <v>148.12562757660248</v>
      </c>
      <c r="C539" s="58">
        <v>137.66147808551526</v>
      </c>
      <c r="D539" s="58">
        <v>138.25058573816233</v>
      </c>
      <c r="E539" s="58">
        <v>4689907.2649716968</v>
      </c>
      <c r="F539" s="58" t="s">
        <v>521</v>
      </c>
      <c r="G539" s="25">
        <f t="shared" si="20"/>
        <v>6.7672974144157294E-2</v>
      </c>
    </row>
    <row r="540" spans="1:7">
      <c r="A540" s="58">
        <v>136.48326278022105</v>
      </c>
      <c r="B540" s="58">
        <v>136.93258217630782</v>
      </c>
      <c r="C540" s="58">
        <v>131.9101898156047</v>
      </c>
      <c r="D540" s="58">
        <v>135.31503235039548</v>
      </c>
      <c r="E540" s="58">
        <v>2438792.559465663</v>
      </c>
      <c r="F540" s="58" t="s">
        <v>522</v>
      </c>
      <c r="G540" s="25">
        <f t="shared" si="20"/>
        <v>8.6334120425028971E-3</v>
      </c>
    </row>
    <row r="541" spans="1:7">
      <c r="A541" s="58">
        <v>134.8956675807145</v>
      </c>
      <c r="B541" s="58">
        <v>140.37736421297302</v>
      </c>
      <c r="C541" s="58">
        <v>134.7009625090769</v>
      </c>
      <c r="D541" s="58">
        <v>137.04241580646237</v>
      </c>
      <c r="E541" s="58">
        <v>4525607.7696840614</v>
      </c>
      <c r="F541" s="58" t="s">
        <v>523</v>
      </c>
      <c r="G541" s="25">
        <f t="shared" si="20"/>
        <v>-1.5664845173042008E-2</v>
      </c>
    </row>
    <row r="542" spans="1:7">
      <c r="A542" s="58">
        <v>137.01246118005659</v>
      </c>
      <c r="B542" s="58">
        <v>138.20066136081937</v>
      </c>
      <c r="C542" s="58">
        <v>135.22516847117814</v>
      </c>
      <c r="D542" s="58">
        <v>137.9410545986359</v>
      </c>
      <c r="E542" s="58">
        <v>5029875.4509222182</v>
      </c>
      <c r="F542" s="58" t="s">
        <v>524</v>
      </c>
      <c r="G542" s="25">
        <f t="shared" si="20"/>
        <v>-6.7318132464712077E-3</v>
      </c>
    </row>
    <row r="543" spans="1:7">
      <c r="A543" s="58">
        <v>134.54619693931369</v>
      </c>
      <c r="B543" s="58">
        <v>137.97100922504168</v>
      </c>
      <c r="C543" s="58">
        <v>131.05149052530555</v>
      </c>
      <c r="D543" s="58">
        <v>131.84029568732453</v>
      </c>
      <c r="E543" s="58">
        <v>6163876.5744829113</v>
      </c>
      <c r="F543" s="58" t="s">
        <v>525</v>
      </c>
      <c r="G543" s="25">
        <f t="shared" si="20"/>
        <v>2.0524083611026978E-2</v>
      </c>
    </row>
    <row r="544" spans="1:7">
      <c r="A544" s="58">
        <v>129.87327522001135</v>
      </c>
      <c r="B544" s="58">
        <v>132.84876810965261</v>
      </c>
      <c r="C544" s="58">
        <v>128.05602788472714</v>
      </c>
      <c r="D544" s="58">
        <v>132.2995999588799</v>
      </c>
      <c r="E544" s="58">
        <v>5879822.9566966109</v>
      </c>
      <c r="F544" s="58" t="s">
        <v>526</v>
      </c>
      <c r="G544" s="25">
        <f t="shared" si="20"/>
        <v>-1.8339622641509679E-2</v>
      </c>
    </row>
    <row r="545" spans="1:7">
      <c r="A545" s="58">
        <v>131.55073429873528</v>
      </c>
      <c r="B545" s="58">
        <v>135.11533484102358</v>
      </c>
      <c r="C545" s="58">
        <v>129.65360795970227</v>
      </c>
      <c r="D545" s="58">
        <v>134.39642380728478</v>
      </c>
      <c r="E545" s="58">
        <v>3730533.2567400048</v>
      </c>
      <c r="F545" s="58" t="s">
        <v>527</v>
      </c>
      <c r="G545" s="25">
        <f t="shared" si="20"/>
        <v>-2.117384843982173E-2</v>
      </c>
    </row>
    <row r="546" spans="1:7">
      <c r="A546" s="58">
        <v>133.7973312791691</v>
      </c>
      <c r="B546" s="58">
        <v>137.90111509676154</v>
      </c>
      <c r="C546" s="58">
        <v>133.35300432081664</v>
      </c>
      <c r="D546" s="58">
        <v>134.79581882602855</v>
      </c>
      <c r="E546" s="58">
        <v>3770949.3842389686</v>
      </c>
      <c r="F546" s="58" t="s">
        <v>528</v>
      </c>
      <c r="G546" s="25">
        <f t="shared" si="20"/>
        <v>-7.4074074074073071E-3</v>
      </c>
    </row>
    <row r="547" spans="1:7">
      <c r="A547" s="58">
        <v>136.36344427459792</v>
      </c>
      <c r="B547" s="58">
        <v>139.10928502846147</v>
      </c>
      <c r="C547" s="58">
        <v>136.20368626710041</v>
      </c>
      <c r="D547" s="58">
        <v>138.98946652283834</v>
      </c>
      <c r="E547" s="58">
        <v>5335011.9555869885</v>
      </c>
      <c r="F547" s="58" t="s">
        <v>529</v>
      </c>
      <c r="G547" s="25">
        <f t="shared" si="20"/>
        <v>-1.889367816091958E-2</v>
      </c>
    </row>
    <row r="548" spans="1:7">
      <c r="A548" s="58">
        <v>138.16072185894498</v>
      </c>
      <c r="B548" s="58">
        <v>139.71836243204575</v>
      </c>
      <c r="C548" s="58">
        <v>128.74498429206017</v>
      </c>
      <c r="D548" s="58">
        <v>129.30413731830149</v>
      </c>
      <c r="E548" s="58">
        <v>8389497.7221773695</v>
      </c>
      <c r="F548" s="58" t="s">
        <v>530</v>
      </c>
      <c r="G548" s="25">
        <f t="shared" si="20"/>
        <v>6.8494208494208397E-2</v>
      </c>
    </row>
    <row r="549" spans="1:7">
      <c r="A549" s="58">
        <v>131.97009906841626</v>
      </c>
      <c r="B549" s="58">
        <v>133.3979362604253</v>
      </c>
      <c r="C549" s="58">
        <v>128.05602788472714</v>
      </c>
      <c r="D549" s="58">
        <v>130.67206525749896</v>
      </c>
      <c r="E549" s="58">
        <v>9157373.0977006145</v>
      </c>
      <c r="F549" s="58" t="s">
        <v>531</v>
      </c>
      <c r="G549" s="25">
        <f t="shared" si="20"/>
        <v>9.933521815542079E-3</v>
      </c>
    </row>
    <row r="550" spans="1:7">
      <c r="A550" s="58">
        <v>129.76344158985682</v>
      </c>
      <c r="B550" s="58">
        <v>131.75043180810715</v>
      </c>
      <c r="C550" s="58">
        <v>125.669642647733</v>
      </c>
      <c r="D550" s="58">
        <v>125.93923428538506</v>
      </c>
      <c r="E550" s="58">
        <v>12213511.363618795</v>
      </c>
      <c r="F550" s="58" t="s">
        <v>532</v>
      </c>
      <c r="G550" s="25">
        <f t="shared" si="20"/>
        <v>3.0365495916911067E-2</v>
      </c>
    </row>
    <row r="551" spans="1:7">
      <c r="A551" s="58">
        <v>122.51442199965707</v>
      </c>
      <c r="B551" s="58">
        <v>127.98613375644697</v>
      </c>
      <c r="C551" s="58">
        <v>118.82001807627702</v>
      </c>
      <c r="D551" s="58">
        <v>125.3101871308636</v>
      </c>
      <c r="E551" s="58">
        <v>16079106.895721339</v>
      </c>
      <c r="F551" s="58" t="s">
        <v>533</v>
      </c>
      <c r="G551" s="25">
        <f t="shared" si="20"/>
        <v>-2.2310756972111601E-2</v>
      </c>
    </row>
    <row r="552" spans="1:7">
      <c r="A552" s="58">
        <v>125.8693401571049</v>
      </c>
      <c r="B552" s="58">
        <v>139.13923965486725</v>
      </c>
      <c r="C552" s="58">
        <v>125.07055011961732</v>
      </c>
      <c r="D552" s="58">
        <v>135.79430637288803</v>
      </c>
      <c r="E552" s="58">
        <v>14229265.096682901</v>
      </c>
      <c r="F552" s="58" t="s">
        <v>534</v>
      </c>
      <c r="G552" s="25">
        <f t="shared" si="20"/>
        <v>-7.3088235294117565E-2</v>
      </c>
    </row>
    <row r="553" spans="1:7">
      <c r="A553" s="58">
        <v>137.13227968567972</v>
      </c>
      <c r="B553" s="58">
        <v>143.78220674776381</v>
      </c>
      <c r="C553" s="58">
        <v>135.59460886351616</v>
      </c>
      <c r="D553" s="58">
        <v>142.0847779181027</v>
      </c>
      <c r="E553" s="58">
        <v>8880295.0301071107</v>
      </c>
      <c r="F553" s="58" t="s">
        <v>535</v>
      </c>
      <c r="G553" s="25">
        <f t="shared" si="20"/>
        <v>-3.4855938158819488E-2</v>
      </c>
    </row>
    <row r="554" spans="1:7">
      <c r="A554" s="58">
        <v>139.78825656032592</v>
      </c>
      <c r="B554" s="58">
        <v>152.24938114513211</v>
      </c>
      <c r="C554" s="58">
        <v>138.43031349659702</v>
      </c>
      <c r="D554" s="58">
        <v>142.63394606887539</v>
      </c>
      <c r="E554" s="58">
        <v>18273762.209042348</v>
      </c>
      <c r="F554" s="58" t="s">
        <v>536</v>
      </c>
      <c r="G554" s="25">
        <f t="shared" si="20"/>
        <v>-1.9950997549877392E-2</v>
      </c>
    </row>
    <row r="555" spans="1:7">
      <c r="A555" s="58">
        <v>141.80520140498206</v>
      </c>
      <c r="B555" s="58">
        <v>144.11170763822744</v>
      </c>
      <c r="C555" s="58">
        <v>136.86268804802765</v>
      </c>
      <c r="D555" s="58">
        <v>140.79672898265397</v>
      </c>
      <c r="E555" s="58">
        <v>1031048.4124093861</v>
      </c>
      <c r="F555" s="58" t="s">
        <v>537</v>
      </c>
      <c r="G555" s="25">
        <f t="shared" si="20"/>
        <v>7.1626125806680818E-3</v>
      </c>
    </row>
    <row r="556" spans="1:7">
      <c r="A556" s="58">
        <v>136.54317203303265</v>
      </c>
      <c r="B556" s="58">
        <v>137.72138733832682</v>
      </c>
      <c r="C556" s="58">
        <v>129.76344158985682</v>
      </c>
      <c r="D556" s="58">
        <v>137.72138733832682</v>
      </c>
      <c r="E556" s="58">
        <v>2242446.5953956749</v>
      </c>
      <c r="F556" s="58" t="s">
        <v>538</v>
      </c>
      <c r="G556" s="25">
        <f t="shared" si="20"/>
        <v>-8.5550641629812407E-3</v>
      </c>
    </row>
    <row r="557" spans="1:7">
      <c r="A557" s="58">
        <v>131.05149052530555</v>
      </c>
      <c r="B557" s="58">
        <v>134.79581882602855</v>
      </c>
      <c r="C557" s="58">
        <v>114.82606788883915</v>
      </c>
      <c r="D557" s="58">
        <v>114.82606788883915</v>
      </c>
      <c r="E557" s="58">
        <v>4967923.7518804409</v>
      </c>
      <c r="F557" s="58" t="s">
        <v>539</v>
      </c>
      <c r="G557" s="25">
        <f>A557/D557-1</f>
        <v>0.14130434782608692</v>
      </c>
    </row>
    <row r="558" spans="1:7">
      <c r="G558" s="25"/>
    </row>
    <row r="559" spans="1:7">
      <c r="G559" s="25"/>
    </row>
    <row r="560" spans="1:7">
      <c r="G560" s="25"/>
    </row>
    <row r="561" spans="7:7">
      <c r="G561" s="25"/>
    </row>
    <row r="562" spans="7:7">
      <c r="G562" s="25"/>
    </row>
    <row r="563" spans="7:7">
      <c r="G563" s="25"/>
    </row>
    <row r="564" spans="7:7">
      <c r="G564" s="25"/>
    </row>
    <row r="565" spans="7:7">
      <c r="G565" s="25"/>
    </row>
    <row r="566" spans="7:7">
      <c r="G566" s="25"/>
    </row>
    <row r="567" spans="7:7">
      <c r="G567" s="25"/>
    </row>
    <row r="568" spans="7:7">
      <c r="G568" s="25"/>
    </row>
    <row r="569" spans="7:7">
      <c r="G569" s="25"/>
    </row>
    <row r="570" spans="7:7">
      <c r="G570" s="25"/>
    </row>
    <row r="571" spans="7:7">
      <c r="G571" s="25"/>
    </row>
    <row r="572" spans="7:7">
      <c r="G572" s="25"/>
    </row>
    <row r="573" spans="7:7">
      <c r="G573" s="25"/>
    </row>
    <row r="574" spans="7:7">
      <c r="G574" s="25"/>
    </row>
    <row r="575" spans="7:7">
      <c r="G575" s="25"/>
    </row>
    <row r="576" spans="7:7">
      <c r="G576" s="25"/>
    </row>
    <row r="577" spans="7:7">
      <c r="G577" s="25"/>
    </row>
    <row r="578" spans="7:7">
      <c r="G578" s="25"/>
    </row>
    <row r="579" spans="7:7">
      <c r="G579" s="25"/>
    </row>
    <row r="580" spans="7:7">
      <c r="G580" s="25"/>
    </row>
    <row r="581" spans="7:7">
      <c r="G581" s="25"/>
    </row>
    <row r="582" spans="7:7">
      <c r="G582" s="25"/>
    </row>
    <row r="583" spans="7:7">
      <c r="G583" s="25"/>
    </row>
    <row r="584" spans="7:7">
      <c r="G584" s="25"/>
    </row>
    <row r="585" spans="7:7">
      <c r="G585" s="25"/>
    </row>
    <row r="586" spans="7:7">
      <c r="G586" s="25"/>
    </row>
    <row r="587" spans="7:7">
      <c r="G587" s="25"/>
    </row>
    <row r="588" spans="7:7">
      <c r="G588" s="25"/>
    </row>
    <row r="589" spans="7:7">
      <c r="G589" s="25"/>
    </row>
    <row r="590" spans="7:7">
      <c r="G590" s="25"/>
    </row>
    <row r="591" spans="7:7">
      <c r="G591" s="25"/>
    </row>
    <row r="592" spans="7:7">
      <c r="G592" s="25"/>
    </row>
    <row r="593" spans="7:7">
      <c r="G593" s="25"/>
    </row>
    <row r="594" spans="7:7">
      <c r="G594" s="25"/>
    </row>
    <row r="595" spans="7:7">
      <c r="G595" s="25"/>
    </row>
    <row r="596" spans="7:7">
      <c r="G596" s="25"/>
    </row>
    <row r="597" spans="7:7">
      <c r="G597" s="25"/>
    </row>
    <row r="598" spans="7:7">
      <c r="G598" s="25"/>
    </row>
    <row r="599" spans="7:7">
      <c r="G599" s="25"/>
    </row>
    <row r="600" spans="7:7">
      <c r="G600" s="25"/>
    </row>
    <row r="601" spans="7:7">
      <c r="G601" s="25"/>
    </row>
    <row r="602" spans="7:7">
      <c r="G602" s="25"/>
    </row>
    <row r="603" spans="7:7">
      <c r="G603" s="25"/>
    </row>
    <row r="604" spans="7:7">
      <c r="G604" s="25"/>
    </row>
    <row r="605" spans="7:7">
      <c r="G605" s="25"/>
    </row>
    <row r="606" spans="7:7">
      <c r="G606" s="25"/>
    </row>
    <row r="607" spans="7:7">
      <c r="G607" s="25"/>
    </row>
    <row r="608" spans="7:7">
      <c r="G608" s="25"/>
    </row>
    <row r="609" spans="7:7">
      <c r="G609" s="25"/>
    </row>
    <row r="610" spans="7:7">
      <c r="G610" s="25"/>
    </row>
    <row r="611" spans="7:7">
      <c r="G611" s="25"/>
    </row>
    <row r="612" spans="7:7">
      <c r="G612" s="25"/>
    </row>
    <row r="613" spans="7:7">
      <c r="G613" s="25"/>
    </row>
    <row r="614" spans="7:7">
      <c r="G614" s="25"/>
    </row>
    <row r="615" spans="7:7">
      <c r="G615" s="25"/>
    </row>
    <row r="616" spans="7:7">
      <c r="G616" s="25"/>
    </row>
    <row r="617" spans="7:7">
      <c r="G617" s="25"/>
    </row>
    <row r="618" spans="7:7">
      <c r="G618" s="25"/>
    </row>
    <row r="619" spans="7:7">
      <c r="G619" s="25"/>
    </row>
    <row r="620" spans="7:7">
      <c r="G620" s="25"/>
    </row>
    <row r="621" spans="7:7">
      <c r="G621" s="25"/>
    </row>
    <row r="622" spans="7:7">
      <c r="G622" s="25"/>
    </row>
    <row r="623" spans="7:7">
      <c r="G623" s="25"/>
    </row>
    <row r="624" spans="7:7">
      <c r="G624" s="25"/>
    </row>
    <row r="625" spans="7:7">
      <c r="G625" s="25"/>
    </row>
    <row r="626" spans="7:7">
      <c r="G626" s="25"/>
    </row>
    <row r="627" spans="7:7">
      <c r="G627" s="25"/>
    </row>
    <row r="628" spans="7:7">
      <c r="G628" s="25"/>
    </row>
    <row r="629" spans="7:7">
      <c r="G629" s="25"/>
    </row>
    <row r="630" spans="7:7">
      <c r="G630" s="25"/>
    </row>
    <row r="631" spans="7:7">
      <c r="G631" s="25"/>
    </row>
    <row r="632" spans="7:7">
      <c r="G632" s="25"/>
    </row>
    <row r="633" spans="7:7">
      <c r="G633" s="25"/>
    </row>
    <row r="634" spans="7:7">
      <c r="G634" s="25"/>
    </row>
    <row r="635" spans="7:7">
      <c r="G635" s="25"/>
    </row>
    <row r="636" spans="7:7">
      <c r="G636" s="25"/>
    </row>
    <row r="637" spans="7:7">
      <c r="G637" s="25"/>
    </row>
    <row r="638" spans="7:7">
      <c r="G638" s="25"/>
    </row>
    <row r="639" spans="7:7">
      <c r="G639" s="25"/>
    </row>
    <row r="640" spans="7:7">
      <c r="G640" s="25"/>
    </row>
    <row r="641" spans="7:7">
      <c r="G641" s="25"/>
    </row>
    <row r="642" spans="7:7">
      <c r="G642" s="25"/>
    </row>
    <row r="643" spans="7:7">
      <c r="G643" s="25"/>
    </row>
    <row r="644" spans="7:7">
      <c r="G644" s="25"/>
    </row>
    <row r="645" spans="7:7">
      <c r="G645" s="25"/>
    </row>
    <row r="646" spans="7:7">
      <c r="G646" s="25"/>
    </row>
    <row r="647" spans="7:7">
      <c r="G647" s="25"/>
    </row>
    <row r="648" spans="7:7">
      <c r="G648" s="25"/>
    </row>
    <row r="649" spans="7:7">
      <c r="G649" s="25"/>
    </row>
    <row r="650" spans="7:7">
      <c r="G650" s="25"/>
    </row>
    <row r="651" spans="7:7">
      <c r="G651" s="25"/>
    </row>
    <row r="652" spans="7:7">
      <c r="G652" s="25"/>
    </row>
    <row r="653" spans="7:7">
      <c r="G653" s="25"/>
    </row>
    <row r="654" spans="7:7">
      <c r="G654" s="25"/>
    </row>
    <row r="655" spans="7:7">
      <c r="G655" s="25"/>
    </row>
    <row r="656" spans="7:7">
      <c r="G656" s="25"/>
    </row>
    <row r="657" spans="7:7">
      <c r="G657" s="25"/>
    </row>
    <row r="658" spans="7:7">
      <c r="G658" s="25"/>
    </row>
    <row r="659" spans="7:7">
      <c r="G659" s="25"/>
    </row>
    <row r="660" spans="7:7">
      <c r="G660" s="25"/>
    </row>
    <row r="661" spans="7:7">
      <c r="G661" s="25"/>
    </row>
    <row r="662" spans="7:7">
      <c r="G662" s="25"/>
    </row>
    <row r="663" spans="7:7">
      <c r="G663" s="25"/>
    </row>
    <row r="664" spans="7:7">
      <c r="G664" s="25"/>
    </row>
    <row r="665" spans="7:7">
      <c r="G665" s="25"/>
    </row>
    <row r="666" spans="7:7">
      <c r="G666" s="25"/>
    </row>
    <row r="667" spans="7:7">
      <c r="G667" s="25"/>
    </row>
    <row r="668" spans="7:7">
      <c r="G668" s="25"/>
    </row>
    <row r="669" spans="7:7">
      <c r="G669" s="25"/>
    </row>
    <row r="670" spans="7:7">
      <c r="G670" s="25"/>
    </row>
    <row r="671" spans="7:7">
      <c r="G671" s="25"/>
    </row>
    <row r="672" spans="7:7">
      <c r="G672" s="25"/>
    </row>
    <row r="673" spans="7:7">
      <c r="G673" s="25"/>
    </row>
    <row r="674" spans="7:7">
      <c r="G674" s="25"/>
    </row>
    <row r="675" spans="7:7">
      <c r="G675" s="25"/>
    </row>
    <row r="676" spans="7:7">
      <c r="G676" s="25"/>
    </row>
    <row r="677" spans="7:7">
      <c r="G677" s="25"/>
    </row>
    <row r="678" spans="7:7">
      <c r="G678" s="25"/>
    </row>
    <row r="679" spans="7:7">
      <c r="G679" s="25"/>
    </row>
    <row r="680" spans="7:7">
      <c r="G680" s="25"/>
    </row>
    <row r="681" spans="7:7">
      <c r="G681" s="25"/>
    </row>
    <row r="682" spans="7:7">
      <c r="G682" s="25"/>
    </row>
    <row r="683" spans="7:7">
      <c r="G683" s="25"/>
    </row>
    <row r="684" spans="7:7">
      <c r="G684" s="25"/>
    </row>
    <row r="685" spans="7:7">
      <c r="G685" s="25"/>
    </row>
    <row r="686" spans="7:7">
      <c r="G686" s="25"/>
    </row>
    <row r="687" spans="7:7">
      <c r="G687" s="25"/>
    </row>
    <row r="688" spans="7:7">
      <c r="G688" s="25"/>
    </row>
    <row r="689" spans="7:7">
      <c r="G689" s="25"/>
    </row>
    <row r="690" spans="7:7">
      <c r="G690" s="25"/>
    </row>
    <row r="691" spans="7:7">
      <c r="G691" s="25"/>
    </row>
    <row r="692" spans="7:7">
      <c r="G692" s="25"/>
    </row>
    <row r="693" spans="7:7">
      <c r="G693" s="25"/>
    </row>
    <row r="694" spans="7:7">
      <c r="G694" s="25"/>
    </row>
    <row r="695" spans="7:7">
      <c r="G695" s="25"/>
    </row>
    <row r="696" spans="7:7">
      <c r="G696" s="25"/>
    </row>
    <row r="697" spans="7:7">
      <c r="G697" s="25"/>
    </row>
    <row r="698" spans="7:7">
      <c r="G698" s="25"/>
    </row>
    <row r="699" spans="7:7">
      <c r="G699" s="25"/>
    </row>
    <row r="700" spans="7:7">
      <c r="G700" s="25"/>
    </row>
    <row r="701" spans="7:7">
      <c r="G701" s="25"/>
    </row>
    <row r="702" spans="7:7">
      <c r="G702" s="25"/>
    </row>
    <row r="703" spans="7:7">
      <c r="G703" s="25"/>
    </row>
    <row r="704" spans="7:7">
      <c r="G704" s="25"/>
    </row>
    <row r="705" spans="7:7">
      <c r="G705" s="25"/>
    </row>
    <row r="706" spans="7:7">
      <c r="G706" s="25"/>
    </row>
    <row r="707" spans="7:7">
      <c r="G707" s="25"/>
    </row>
    <row r="708" spans="7:7">
      <c r="G708" s="25"/>
    </row>
    <row r="709" spans="7:7">
      <c r="G709" s="25"/>
    </row>
    <row r="710" spans="7:7">
      <c r="G710" s="25"/>
    </row>
    <row r="711" spans="7:7">
      <c r="G711" s="25"/>
    </row>
    <row r="712" spans="7:7">
      <c r="G712" s="25"/>
    </row>
    <row r="713" spans="7:7">
      <c r="G713" s="25"/>
    </row>
    <row r="714" spans="7:7">
      <c r="G714" s="25"/>
    </row>
    <row r="715" spans="7:7">
      <c r="G715" s="25"/>
    </row>
    <row r="716" spans="7:7">
      <c r="G716" s="25"/>
    </row>
    <row r="717" spans="7:7">
      <c r="G717" s="25"/>
    </row>
    <row r="718" spans="7:7">
      <c r="G718" s="25"/>
    </row>
    <row r="719" spans="7:7">
      <c r="G719" s="25"/>
    </row>
    <row r="720" spans="7:7">
      <c r="G720" s="25"/>
    </row>
    <row r="721" spans="7:7">
      <c r="G721" s="25"/>
    </row>
    <row r="722" spans="7:7">
      <c r="G722" s="25"/>
    </row>
    <row r="723" spans="7:7">
      <c r="G723" s="25"/>
    </row>
    <row r="724" spans="7:7">
      <c r="G724" s="25"/>
    </row>
    <row r="725" spans="7:7">
      <c r="G725" s="25"/>
    </row>
    <row r="726" spans="7:7">
      <c r="G726" s="25"/>
    </row>
    <row r="727" spans="7:7">
      <c r="G727" s="25"/>
    </row>
    <row r="728" spans="7:7">
      <c r="G728" s="25"/>
    </row>
    <row r="729" spans="7:7">
      <c r="G729" s="25"/>
    </row>
    <row r="730" spans="7:7">
      <c r="G730" s="25"/>
    </row>
    <row r="731" spans="7:7">
      <c r="G731" s="25"/>
    </row>
    <row r="732" spans="7:7">
      <c r="G732" s="25"/>
    </row>
    <row r="733" spans="7:7">
      <c r="G733" s="25"/>
    </row>
    <row r="734" spans="7:7">
      <c r="G734" s="25"/>
    </row>
    <row r="735" spans="7:7">
      <c r="G735" s="25"/>
    </row>
    <row r="736" spans="7:7">
      <c r="G736" s="25"/>
    </row>
    <row r="737" spans="7:7">
      <c r="G737" s="25"/>
    </row>
    <row r="738" spans="7:7">
      <c r="G738" s="25"/>
    </row>
    <row r="739" spans="7:7">
      <c r="G739" s="25"/>
    </row>
    <row r="740" spans="7:7">
      <c r="G740" s="25"/>
    </row>
    <row r="741" spans="7:7">
      <c r="G741" s="25"/>
    </row>
    <row r="742" spans="7:7">
      <c r="G742" s="25"/>
    </row>
    <row r="743" spans="7:7">
      <c r="G743" s="25"/>
    </row>
    <row r="744" spans="7:7">
      <c r="G744" s="25"/>
    </row>
    <row r="745" spans="7:7">
      <c r="G745" s="25"/>
    </row>
    <row r="746" spans="7:7">
      <c r="G746" s="25"/>
    </row>
    <row r="747" spans="7:7">
      <c r="G747" s="25"/>
    </row>
    <row r="748" spans="7:7">
      <c r="G748" s="25"/>
    </row>
    <row r="749" spans="7:7">
      <c r="G749" s="25"/>
    </row>
    <row r="750" spans="7:7">
      <c r="G750" s="25"/>
    </row>
    <row r="751" spans="7:7">
      <c r="G751" s="25"/>
    </row>
    <row r="752" spans="7:7">
      <c r="G752" s="25"/>
    </row>
    <row r="753" spans="7:7">
      <c r="G753" s="25"/>
    </row>
    <row r="754" spans="7:7">
      <c r="G754" s="25"/>
    </row>
    <row r="755" spans="7:7">
      <c r="G755" s="25"/>
    </row>
    <row r="756" spans="7:7">
      <c r="G756" s="25"/>
    </row>
    <row r="757" spans="7:7">
      <c r="G757" s="25"/>
    </row>
    <row r="758" spans="7:7">
      <c r="G758" s="25"/>
    </row>
    <row r="759" spans="7:7">
      <c r="G759" s="25"/>
    </row>
    <row r="760" spans="7:7">
      <c r="G760" s="25"/>
    </row>
    <row r="761" spans="7:7">
      <c r="G761" s="25"/>
    </row>
    <row r="762" spans="7:7">
      <c r="G762" s="25"/>
    </row>
    <row r="763" spans="7:7">
      <c r="G763" s="25"/>
    </row>
    <row r="764" spans="7:7">
      <c r="G764" s="25"/>
    </row>
    <row r="765" spans="7:7">
      <c r="G765" s="25"/>
    </row>
    <row r="766" spans="7:7">
      <c r="G766" s="25"/>
    </row>
    <row r="767" spans="7:7">
      <c r="G767" s="25"/>
    </row>
    <row r="768" spans="7:7">
      <c r="G768" s="25"/>
    </row>
    <row r="769" spans="7:7">
      <c r="G769" s="25"/>
    </row>
    <row r="770" spans="7:7">
      <c r="G770" s="25"/>
    </row>
    <row r="771" spans="7:7">
      <c r="G771" s="25"/>
    </row>
    <row r="772" spans="7:7">
      <c r="G772" s="25"/>
    </row>
    <row r="773" spans="7:7">
      <c r="G773" s="25"/>
    </row>
    <row r="774" spans="7:7">
      <c r="G774" s="25"/>
    </row>
    <row r="775" spans="7:7">
      <c r="G775" s="25"/>
    </row>
    <row r="776" spans="7:7">
      <c r="G776" s="25"/>
    </row>
    <row r="777" spans="7:7">
      <c r="G777" s="25"/>
    </row>
    <row r="778" spans="7:7">
      <c r="G778" s="25"/>
    </row>
    <row r="779" spans="7:7">
      <c r="G779" s="25"/>
    </row>
    <row r="780" spans="7:7">
      <c r="G780" s="25"/>
    </row>
    <row r="781" spans="7:7">
      <c r="G781" s="25"/>
    </row>
    <row r="782" spans="7:7">
      <c r="G782" s="25"/>
    </row>
    <row r="783" spans="7:7">
      <c r="G783" s="25"/>
    </row>
    <row r="784" spans="7:7">
      <c r="G784" s="25"/>
    </row>
    <row r="785" spans="7:7">
      <c r="G785" s="25"/>
    </row>
    <row r="786" spans="7:7">
      <c r="G786" s="25"/>
    </row>
    <row r="787" spans="7:7">
      <c r="G787" s="25"/>
    </row>
    <row r="788" spans="7:7">
      <c r="G788" s="25"/>
    </row>
    <row r="789" spans="7:7">
      <c r="G789" s="25"/>
    </row>
    <row r="790" spans="7:7">
      <c r="G790" s="25"/>
    </row>
    <row r="791" spans="7:7">
      <c r="G791" s="25"/>
    </row>
    <row r="792" spans="7:7">
      <c r="G792" s="25"/>
    </row>
    <row r="793" spans="7:7">
      <c r="G793" s="25"/>
    </row>
    <row r="794" spans="7:7">
      <c r="G794" s="25"/>
    </row>
    <row r="795" spans="7:7">
      <c r="G795" s="25"/>
    </row>
    <row r="796" spans="7:7">
      <c r="G796" s="25"/>
    </row>
    <row r="797" spans="7:7">
      <c r="G797" s="25"/>
    </row>
    <row r="798" spans="7:7">
      <c r="G798" s="25"/>
    </row>
    <row r="799" spans="7:7">
      <c r="G799" s="25"/>
    </row>
    <row r="800" spans="7:7">
      <c r="G800" s="25"/>
    </row>
    <row r="801" spans="7:7">
      <c r="G801" s="25"/>
    </row>
    <row r="802" spans="7:7">
      <c r="G802" s="25"/>
    </row>
    <row r="803" spans="7:7">
      <c r="G803" s="25"/>
    </row>
    <row r="804" spans="7:7">
      <c r="G804" s="25"/>
    </row>
    <row r="805" spans="7:7">
      <c r="G805" s="25"/>
    </row>
    <row r="806" spans="7:7">
      <c r="G806" s="25"/>
    </row>
    <row r="807" spans="7:7">
      <c r="G807" s="25"/>
    </row>
    <row r="808" spans="7:7">
      <c r="G808" s="25"/>
    </row>
    <row r="809" spans="7:7">
      <c r="G809" s="25"/>
    </row>
    <row r="810" spans="7:7">
      <c r="G810" s="25"/>
    </row>
    <row r="811" spans="7:7">
      <c r="G811" s="25"/>
    </row>
    <row r="812" spans="7:7">
      <c r="G812" s="25"/>
    </row>
    <row r="813" spans="7:7">
      <c r="G813" s="25"/>
    </row>
    <row r="814" spans="7:7">
      <c r="G814" s="25"/>
    </row>
    <row r="815" spans="7:7">
      <c r="G815" s="25"/>
    </row>
    <row r="816" spans="7:7">
      <c r="G816" s="25"/>
    </row>
    <row r="817" spans="7:7">
      <c r="G817" s="25"/>
    </row>
    <row r="818" spans="7:7">
      <c r="G818" s="25"/>
    </row>
    <row r="819" spans="7:7">
      <c r="G819" s="25"/>
    </row>
    <row r="820" spans="7:7">
      <c r="G820" s="25"/>
    </row>
    <row r="821" spans="7:7">
      <c r="G821" s="25"/>
    </row>
    <row r="822" spans="7:7">
      <c r="G822" s="25"/>
    </row>
    <row r="823" spans="7:7">
      <c r="G823" s="25"/>
    </row>
    <row r="824" spans="7:7">
      <c r="G824" s="25"/>
    </row>
    <row r="825" spans="7:7">
      <c r="G825" s="25"/>
    </row>
    <row r="826" spans="7:7">
      <c r="G826" s="25"/>
    </row>
    <row r="827" spans="7:7">
      <c r="G827" s="25"/>
    </row>
    <row r="828" spans="7:7">
      <c r="G828" s="25"/>
    </row>
    <row r="829" spans="7:7">
      <c r="G829" s="25"/>
    </row>
    <row r="830" spans="7:7">
      <c r="G830" s="25"/>
    </row>
    <row r="831" spans="7:7">
      <c r="G831" s="25"/>
    </row>
    <row r="832" spans="7:7">
      <c r="G832" s="25"/>
    </row>
    <row r="833" spans="7:7">
      <c r="G833" s="25"/>
    </row>
    <row r="834" spans="7:7">
      <c r="G834" s="25"/>
    </row>
    <row r="835" spans="7:7">
      <c r="G835" s="25"/>
    </row>
    <row r="836" spans="7:7">
      <c r="G836" s="25"/>
    </row>
    <row r="837" spans="7:7">
      <c r="G837" s="25"/>
    </row>
    <row r="838" spans="7:7">
      <c r="G838" s="25"/>
    </row>
    <row r="839" spans="7:7">
      <c r="G839" s="25"/>
    </row>
    <row r="840" spans="7:7">
      <c r="G840" s="25"/>
    </row>
    <row r="841" spans="7:7">
      <c r="G841" s="25"/>
    </row>
    <row r="842" spans="7:7">
      <c r="G842" s="25"/>
    </row>
    <row r="843" spans="7:7">
      <c r="G843" s="25"/>
    </row>
    <row r="844" spans="7:7">
      <c r="G844" s="25"/>
    </row>
    <row r="845" spans="7:7">
      <c r="G845" s="25"/>
    </row>
    <row r="846" spans="7:7">
      <c r="G846" s="25"/>
    </row>
    <row r="847" spans="7:7">
      <c r="G847" s="25"/>
    </row>
    <row r="848" spans="7:7">
      <c r="G848" s="25"/>
    </row>
    <row r="849" spans="7:7">
      <c r="G849" s="25"/>
    </row>
    <row r="850" spans="7:7">
      <c r="G850" s="25"/>
    </row>
    <row r="851" spans="7:7">
      <c r="G851" s="25"/>
    </row>
    <row r="852" spans="7:7">
      <c r="G852" s="25"/>
    </row>
    <row r="853" spans="7:7">
      <c r="G853" s="25"/>
    </row>
    <row r="854" spans="7:7">
      <c r="G854" s="25"/>
    </row>
    <row r="855" spans="7:7">
      <c r="G855" s="25"/>
    </row>
    <row r="856" spans="7:7">
      <c r="G856" s="25"/>
    </row>
    <row r="857" spans="7:7">
      <c r="G857" s="25"/>
    </row>
    <row r="858" spans="7:7">
      <c r="G858" s="25"/>
    </row>
    <row r="859" spans="7:7">
      <c r="G859" s="25"/>
    </row>
    <row r="860" spans="7:7">
      <c r="G860" s="25"/>
    </row>
    <row r="861" spans="7:7">
      <c r="G861" s="25"/>
    </row>
    <row r="862" spans="7:7">
      <c r="G862" s="25"/>
    </row>
    <row r="863" spans="7:7">
      <c r="G863" s="25"/>
    </row>
    <row r="864" spans="7:7">
      <c r="G864" s="25"/>
    </row>
    <row r="865" spans="7:7">
      <c r="G865" s="25"/>
    </row>
    <row r="866" spans="7:7">
      <c r="G866" s="25"/>
    </row>
    <row r="867" spans="7:7">
      <c r="G867" s="25"/>
    </row>
    <row r="868" spans="7:7">
      <c r="G868" s="25"/>
    </row>
    <row r="869" spans="7:7">
      <c r="G869" s="25"/>
    </row>
    <row r="870" spans="7:7">
      <c r="G870" s="25"/>
    </row>
    <row r="871" spans="7:7">
      <c r="G871" s="25"/>
    </row>
    <row r="872" spans="7:7">
      <c r="G872" s="25"/>
    </row>
    <row r="873" spans="7:7">
      <c r="G873" s="25"/>
    </row>
    <row r="874" spans="7:7">
      <c r="G874" s="25"/>
    </row>
    <row r="875" spans="7:7">
      <c r="G875" s="25"/>
    </row>
    <row r="876" spans="7:7">
      <c r="G876" s="25"/>
    </row>
    <row r="877" spans="7:7">
      <c r="G877" s="25"/>
    </row>
    <row r="878" spans="7:7">
      <c r="G878" s="25"/>
    </row>
    <row r="879" spans="7:7">
      <c r="G879" s="25"/>
    </row>
    <row r="880" spans="7:7">
      <c r="G880" s="25"/>
    </row>
    <row r="881" spans="7:7">
      <c r="G881" s="25"/>
    </row>
    <row r="882" spans="7:7">
      <c r="G882" s="25"/>
    </row>
    <row r="883" spans="7:7">
      <c r="G883" s="25"/>
    </row>
    <row r="884" spans="7:7">
      <c r="G884" s="25"/>
    </row>
    <row r="885" spans="7:7">
      <c r="G885" s="25"/>
    </row>
    <row r="886" spans="7:7">
      <c r="G886" s="25"/>
    </row>
    <row r="887" spans="7:7">
      <c r="G887" s="25"/>
    </row>
    <row r="888" spans="7:7">
      <c r="G888" s="25"/>
    </row>
    <row r="889" spans="7:7">
      <c r="G889" s="25"/>
    </row>
    <row r="890" spans="7:7">
      <c r="G890" s="25"/>
    </row>
    <row r="891" spans="7:7">
      <c r="G891" s="25"/>
    </row>
    <row r="892" spans="7:7">
      <c r="G892" s="25"/>
    </row>
    <row r="893" spans="7:7">
      <c r="G893" s="25"/>
    </row>
    <row r="894" spans="7:7">
      <c r="G894" s="25"/>
    </row>
    <row r="895" spans="7:7">
      <c r="G895" s="25"/>
    </row>
    <row r="896" spans="7:7">
      <c r="G896" s="25"/>
    </row>
    <row r="897" spans="7:7">
      <c r="G897" s="25"/>
    </row>
    <row r="898" spans="7:7">
      <c r="G898" s="25"/>
    </row>
    <row r="899" spans="7:7">
      <c r="G899" s="25"/>
    </row>
    <row r="900" spans="7:7">
      <c r="G900" s="25"/>
    </row>
    <row r="901" spans="7:7">
      <c r="G901" s="25"/>
    </row>
    <row r="902" spans="7:7">
      <c r="G902" s="25"/>
    </row>
    <row r="903" spans="7:7">
      <c r="G903" s="25"/>
    </row>
    <row r="904" spans="7:7">
      <c r="G904" s="25"/>
    </row>
    <row r="905" spans="7:7">
      <c r="G905" s="25"/>
    </row>
    <row r="906" spans="7:7">
      <c r="G906" s="25"/>
    </row>
    <row r="907" spans="7:7">
      <c r="G907" s="25"/>
    </row>
    <row r="908" spans="7:7">
      <c r="G908" s="25"/>
    </row>
    <row r="909" spans="7:7">
      <c r="G909" s="25"/>
    </row>
    <row r="910" spans="7:7">
      <c r="G910" s="25"/>
    </row>
    <row r="911" spans="7:7">
      <c r="G911" s="25"/>
    </row>
    <row r="912" spans="7:7">
      <c r="G912" s="25"/>
    </row>
    <row r="913" spans="7:7">
      <c r="G913" s="25"/>
    </row>
    <row r="914" spans="7:7">
      <c r="G914" s="25"/>
    </row>
    <row r="915" spans="7:7">
      <c r="G915" s="25"/>
    </row>
    <row r="916" spans="7:7">
      <c r="G916" s="25"/>
    </row>
    <row r="917" spans="7:7">
      <c r="G917" s="25"/>
    </row>
    <row r="918" spans="7:7">
      <c r="G918" s="25"/>
    </row>
    <row r="919" spans="7:7">
      <c r="G919" s="25"/>
    </row>
    <row r="920" spans="7:7">
      <c r="G920" s="25"/>
    </row>
    <row r="921" spans="7:7">
      <c r="G921" s="25"/>
    </row>
    <row r="922" spans="7:7">
      <c r="G922" s="25"/>
    </row>
    <row r="923" spans="7:7">
      <c r="G923" s="25"/>
    </row>
    <row r="924" spans="7:7">
      <c r="G924" s="25"/>
    </row>
    <row r="925" spans="7:7">
      <c r="G925" s="25"/>
    </row>
    <row r="926" spans="7:7">
      <c r="G926" s="25"/>
    </row>
    <row r="927" spans="7:7">
      <c r="G927" s="25"/>
    </row>
    <row r="928" spans="7:7">
      <c r="G928" s="25"/>
    </row>
    <row r="929" spans="7:7">
      <c r="G929" s="25"/>
    </row>
    <row r="930" spans="7:7">
      <c r="G930" s="25"/>
    </row>
    <row r="931" spans="7:7">
      <c r="G931" s="25"/>
    </row>
    <row r="932" spans="7:7">
      <c r="G932" s="25"/>
    </row>
    <row r="933" spans="7:7">
      <c r="G933" s="25"/>
    </row>
    <row r="934" spans="7:7">
      <c r="G934" s="25"/>
    </row>
    <row r="935" spans="7:7">
      <c r="G935" s="25"/>
    </row>
    <row r="936" spans="7:7">
      <c r="G936" s="25"/>
    </row>
    <row r="937" spans="7:7">
      <c r="G937" s="25"/>
    </row>
    <row r="938" spans="7:7">
      <c r="G938" s="25"/>
    </row>
    <row r="939" spans="7:7">
      <c r="G939" s="25"/>
    </row>
    <row r="940" spans="7:7">
      <c r="G940" s="25"/>
    </row>
    <row r="941" spans="7:7">
      <c r="G941" s="25"/>
    </row>
    <row r="942" spans="7:7">
      <c r="G942" s="25"/>
    </row>
    <row r="943" spans="7:7">
      <c r="G943" s="25"/>
    </row>
    <row r="944" spans="7:7">
      <c r="G944" s="25"/>
    </row>
    <row r="945" spans="7:7">
      <c r="G945" s="25"/>
    </row>
    <row r="946" spans="7:7">
      <c r="G946" s="25"/>
    </row>
    <row r="947" spans="7:7">
      <c r="G947" s="25"/>
    </row>
    <row r="948" spans="7:7">
      <c r="G948" s="25"/>
    </row>
    <row r="949" spans="7:7">
      <c r="G949" s="25"/>
    </row>
    <row r="950" spans="7:7">
      <c r="G950" s="25"/>
    </row>
    <row r="951" spans="7:7">
      <c r="G951" s="25"/>
    </row>
    <row r="952" spans="7:7">
      <c r="G952" s="25"/>
    </row>
    <row r="953" spans="7:7">
      <c r="G953" s="25"/>
    </row>
    <row r="954" spans="7:7">
      <c r="G954" s="25"/>
    </row>
    <row r="955" spans="7:7">
      <c r="G955" s="25"/>
    </row>
    <row r="956" spans="7:7">
      <c r="G956" s="25"/>
    </row>
    <row r="957" spans="7:7">
      <c r="G957" s="25"/>
    </row>
    <row r="958" spans="7:7">
      <c r="G958" s="25"/>
    </row>
    <row r="959" spans="7:7">
      <c r="G959" s="25"/>
    </row>
    <row r="960" spans="7:7">
      <c r="G960" s="25"/>
    </row>
    <row r="961" spans="7:7">
      <c r="G961" s="25"/>
    </row>
    <row r="962" spans="7:7">
      <c r="G962" s="25"/>
    </row>
    <row r="963" spans="7:7">
      <c r="G963" s="25"/>
    </row>
    <row r="964" spans="7:7">
      <c r="G964" s="25"/>
    </row>
    <row r="965" spans="7:7">
      <c r="G965" s="25"/>
    </row>
    <row r="966" spans="7:7">
      <c r="G966" s="25"/>
    </row>
    <row r="967" spans="7:7">
      <c r="G967" s="25"/>
    </row>
    <row r="968" spans="7:7">
      <c r="G968" s="25"/>
    </row>
    <row r="969" spans="7:7">
      <c r="G969" s="25"/>
    </row>
    <row r="970" spans="7:7">
      <c r="G970" s="25"/>
    </row>
    <row r="971" spans="7:7">
      <c r="G971" s="25"/>
    </row>
    <row r="972" spans="7:7">
      <c r="G972" s="25"/>
    </row>
    <row r="973" spans="7:7">
      <c r="G973" s="25"/>
    </row>
    <row r="974" spans="7:7">
      <c r="G974" s="25"/>
    </row>
    <row r="975" spans="7:7">
      <c r="G975" s="25"/>
    </row>
    <row r="976" spans="7:7">
      <c r="G976" s="25"/>
    </row>
    <row r="977" spans="7:7">
      <c r="G977" s="25"/>
    </row>
    <row r="978" spans="7:7">
      <c r="G978" s="25"/>
    </row>
    <row r="979" spans="7:7">
      <c r="G979" s="25"/>
    </row>
    <row r="980" spans="7:7">
      <c r="G980" s="25"/>
    </row>
    <row r="981" spans="7:7">
      <c r="G981" s="25"/>
    </row>
    <row r="982" spans="7:7">
      <c r="G982" s="25"/>
    </row>
    <row r="983" spans="7:7">
      <c r="G983" s="25"/>
    </row>
    <row r="984" spans="7:7">
      <c r="G984" s="25"/>
    </row>
    <row r="985" spans="7:7">
      <c r="G985" s="25"/>
    </row>
    <row r="986" spans="7:7">
      <c r="G986" s="25"/>
    </row>
    <row r="987" spans="7:7">
      <c r="G987" s="25"/>
    </row>
    <row r="988" spans="7:7">
      <c r="G988" s="25"/>
    </row>
    <row r="989" spans="7:7">
      <c r="G989" s="25"/>
    </row>
    <row r="990" spans="7:7">
      <c r="G990" s="25"/>
    </row>
    <row r="991" spans="7:7">
      <c r="G991" s="25"/>
    </row>
    <row r="992" spans="7:7">
      <c r="G992" s="25"/>
    </row>
    <row r="993" spans="7:7">
      <c r="G993" s="25"/>
    </row>
    <row r="994" spans="7:7">
      <c r="G994" s="25"/>
    </row>
    <row r="995" spans="7:7">
      <c r="G995" s="25"/>
    </row>
    <row r="996" spans="7:7">
      <c r="G996" s="25"/>
    </row>
    <row r="997" spans="7:7">
      <c r="G997" s="25"/>
    </row>
    <row r="998" spans="7:7">
      <c r="G998" s="25"/>
    </row>
    <row r="999" spans="7:7">
      <c r="G999" s="25"/>
    </row>
    <row r="1000" spans="7:7">
      <c r="G1000" s="25"/>
    </row>
    <row r="1001" spans="7:7">
      <c r="G1001" s="25"/>
    </row>
    <row r="1002" spans="7:7">
      <c r="G1002" s="25"/>
    </row>
    <row r="1003" spans="7:7">
      <c r="G1003" s="25"/>
    </row>
    <row r="1004" spans="7:7">
      <c r="G1004" s="25"/>
    </row>
    <row r="1005" spans="7:7">
      <c r="G1005" s="25"/>
    </row>
    <row r="1006" spans="7:7">
      <c r="G1006" s="25"/>
    </row>
    <row r="1007" spans="7:7">
      <c r="G1007" s="25"/>
    </row>
    <row r="1008" spans="7:7">
      <c r="G1008" s="25"/>
    </row>
    <row r="1009" spans="7:7">
      <c r="G1009" s="25"/>
    </row>
    <row r="1010" spans="7:7">
      <c r="G1010" s="25"/>
    </row>
    <row r="1011" spans="7:7">
      <c r="G1011" s="25"/>
    </row>
    <row r="1012" spans="7:7">
      <c r="G1012" s="25"/>
    </row>
    <row r="1013" spans="7:7">
      <c r="G1013" s="25"/>
    </row>
    <row r="1014" spans="7:7">
      <c r="G1014" s="25"/>
    </row>
    <row r="1015" spans="7:7">
      <c r="G1015" s="25"/>
    </row>
    <row r="1016" spans="7:7">
      <c r="G1016" s="25"/>
    </row>
    <row r="1017" spans="7:7">
      <c r="G1017" s="25"/>
    </row>
    <row r="1018" spans="7:7">
      <c r="G1018" s="25"/>
    </row>
    <row r="1019" spans="7:7">
      <c r="G1019" s="25"/>
    </row>
    <row r="1020" spans="7:7">
      <c r="G1020" s="25"/>
    </row>
    <row r="1021" spans="7:7">
      <c r="G1021" s="25"/>
    </row>
    <row r="1022" spans="7:7">
      <c r="G1022" s="25"/>
    </row>
    <row r="1023" spans="7:7">
      <c r="G1023" s="25"/>
    </row>
    <row r="1024" spans="7:7">
      <c r="G1024" s="25"/>
    </row>
    <row r="1025" spans="7:7">
      <c r="G1025" s="25"/>
    </row>
    <row r="1026" spans="7:7">
      <c r="G1026" s="25"/>
    </row>
    <row r="1027" spans="7:7">
      <c r="G1027" s="25"/>
    </row>
    <row r="1028" spans="7:7">
      <c r="G1028" s="25"/>
    </row>
    <row r="1029" spans="7:7">
      <c r="G1029" s="25"/>
    </row>
    <row r="1030" spans="7:7">
      <c r="G1030" s="25"/>
    </row>
    <row r="1031" spans="7:7">
      <c r="G1031" s="25"/>
    </row>
    <row r="1032" spans="7:7">
      <c r="G1032" s="25"/>
    </row>
    <row r="1033" spans="7:7">
      <c r="G1033" s="25"/>
    </row>
    <row r="1034" spans="7:7">
      <c r="G1034" s="25"/>
    </row>
    <row r="1035" spans="7:7">
      <c r="G1035" s="25"/>
    </row>
    <row r="1036" spans="7:7">
      <c r="G1036" s="25"/>
    </row>
    <row r="1037" spans="7:7">
      <c r="G1037" s="25"/>
    </row>
    <row r="1038" spans="7:7">
      <c r="G1038" s="25"/>
    </row>
    <row r="1039" spans="7:7">
      <c r="G1039" s="25"/>
    </row>
    <row r="1040" spans="7:7">
      <c r="G1040" s="25"/>
    </row>
    <row r="1041" spans="7:7">
      <c r="G1041" s="25"/>
    </row>
    <row r="1042" spans="7:7">
      <c r="G1042" s="25"/>
    </row>
    <row r="1043" spans="7:7">
      <c r="G1043" s="25"/>
    </row>
    <row r="1044" spans="7:7">
      <c r="G1044" s="25"/>
    </row>
    <row r="1045" spans="7:7">
      <c r="G1045" s="25"/>
    </row>
    <row r="1046" spans="7:7">
      <c r="G1046" s="25"/>
    </row>
    <row r="1047" spans="7:7">
      <c r="G1047" s="25"/>
    </row>
    <row r="1048" spans="7:7">
      <c r="G1048" s="25"/>
    </row>
    <row r="1049" spans="7:7">
      <c r="G1049" s="25"/>
    </row>
    <row r="1050" spans="7:7">
      <c r="G1050" s="25"/>
    </row>
    <row r="1051" spans="7:7">
      <c r="G1051" s="25"/>
    </row>
    <row r="1052" spans="7:7">
      <c r="G1052" s="25"/>
    </row>
    <row r="1053" spans="7:7">
      <c r="G1053" s="25"/>
    </row>
    <row r="1054" spans="7:7">
      <c r="G1054" s="25"/>
    </row>
    <row r="1055" spans="7:7">
      <c r="G1055" s="25"/>
    </row>
    <row r="1056" spans="7:7">
      <c r="G1056" s="25"/>
    </row>
    <row r="1057" spans="7:7">
      <c r="G1057" s="25"/>
    </row>
    <row r="1058" spans="7:7">
      <c r="G1058" s="25"/>
    </row>
    <row r="1059" spans="7:7">
      <c r="G1059" s="25"/>
    </row>
    <row r="1060" spans="7:7">
      <c r="G1060" s="25"/>
    </row>
    <row r="1061" spans="7:7">
      <c r="G1061" s="25"/>
    </row>
    <row r="1062" spans="7:7">
      <c r="G1062" s="25"/>
    </row>
    <row r="1063" spans="7:7">
      <c r="G1063" s="25"/>
    </row>
    <row r="1064" spans="7:7">
      <c r="G1064" s="25"/>
    </row>
    <row r="1065" spans="7:7">
      <c r="G1065" s="25"/>
    </row>
    <row r="1066" spans="7:7">
      <c r="G1066" s="25"/>
    </row>
    <row r="1067" spans="7:7">
      <c r="G1067" s="25"/>
    </row>
    <row r="1068" spans="7:7">
      <c r="G1068" s="25"/>
    </row>
    <row r="1069" spans="7:7">
      <c r="G1069" s="25"/>
    </row>
    <row r="1070" spans="7:7">
      <c r="G1070" s="25"/>
    </row>
    <row r="1071" spans="7:7">
      <c r="G1071" s="25"/>
    </row>
    <row r="1072" spans="7:7">
      <c r="G1072" s="25"/>
    </row>
    <row r="1073" spans="7:7">
      <c r="G1073" s="25"/>
    </row>
    <row r="1074" spans="7:7">
      <c r="G1074" s="25"/>
    </row>
    <row r="1075" spans="7:7">
      <c r="G1075" s="25"/>
    </row>
    <row r="1076" spans="7:7">
      <c r="G1076" s="25"/>
    </row>
    <row r="1077" spans="7:7">
      <c r="G1077" s="25"/>
    </row>
    <row r="1078" spans="7:7">
      <c r="G1078" s="25"/>
    </row>
    <row r="1079" spans="7:7">
      <c r="G1079" s="25"/>
    </row>
    <row r="1080" spans="7:7">
      <c r="G1080" s="25"/>
    </row>
    <row r="1081" spans="7:7">
      <c r="G1081" s="25"/>
    </row>
    <row r="1082" spans="7:7">
      <c r="G1082" s="25"/>
    </row>
    <row r="1083" spans="7:7">
      <c r="G1083" s="25"/>
    </row>
    <row r="1084" spans="7:7">
      <c r="G1084" s="25"/>
    </row>
    <row r="1085" spans="7:7">
      <c r="G1085" s="25"/>
    </row>
    <row r="1086" spans="7:7">
      <c r="G1086" s="25"/>
    </row>
    <row r="1087" spans="7:7">
      <c r="G1087" s="25"/>
    </row>
    <row r="1088" spans="7:7">
      <c r="G1088" s="25"/>
    </row>
    <row r="1089" spans="7:7">
      <c r="G1089" s="25"/>
    </row>
    <row r="1090" spans="7:7">
      <c r="G1090" s="25"/>
    </row>
    <row r="1091" spans="7:7">
      <c r="G1091" s="25"/>
    </row>
    <row r="1092" spans="7:7">
      <c r="G1092" s="25"/>
    </row>
    <row r="1093" spans="7:7">
      <c r="G1093" s="25"/>
    </row>
    <row r="1094" spans="7:7">
      <c r="G1094" s="25"/>
    </row>
    <row r="1095" spans="7:7">
      <c r="G1095" s="25"/>
    </row>
    <row r="1096" spans="7:7">
      <c r="G1096" s="25"/>
    </row>
    <row r="1097" spans="7:7">
      <c r="G1097" s="25"/>
    </row>
    <row r="1098" spans="7:7">
      <c r="G1098" s="25"/>
    </row>
    <row r="1099" spans="7:7">
      <c r="G1099" s="25"/>
    </row>
    <row r="1100" spans="7:7">
      <c r="G1100" s="25"/>
    </row>
    <row r="1101" spans="7:7">
      <c r="G1101" s="25"/>
    </row>
    <row r="1102" spans="7:7">
      <c r="G1102" s="25"/>
    </row>
    <row r="1103" spans="7:7">
      <c r="G1103" s="25"/>
    </row>
    <row r="1104" spans="7:7">
      <c r="G1104" s="25"/>
    </row>
    <row r="1105" spans="7:7">
      <c r="G1105" s="25"/>
    </row>
    <row r="1106" spans="7:7">
      <c r="G1106" s="25"/>
    </row>
    <row r="1107" spans="7:7">
      <c r="G1107" s="25"/>
    </row>
    <row r="1108" spans="7:7">
      <c r="G1108" s="25"/>
    </row>
    <row r="1109" spans="7:7">
      <c r="G1109" s="25"/>
    </row>
    <row r="1110" spans="7:7">
      <c r="G1110" s="25"/>
    </row>
    <row r="1111" spans="7:7">
      <c r="G1111" s="25"/>
    </row>
    <row r="1112" spans="7:7">
      <c r="G1112" s="25"/>
    </row>
    <row r="1113" spans="7:7">
      <c r="G1113" s="25"/>
    </row>
    <row r="1114" spans="7:7">
      <c r="G1114" s="25"/>
    </row>
    <row r="1115" spans="7:7">
      <c r="G1115" s="25"/>
    </row>
    <row r="1116" spans="7:7">
      <c r="G1116" s="25"/>
    </row>
    <row r="1117" spans="7:7">
      <c r="G1117" s="25"/>
    </row>
    <row r="1118" spans="7:7">
      <c r="G1118" s="25"/>
    </row>
    <row r="1119" spans="7:7">
      <c r="G1119" s="25"/>
    </row>
    <row r="1120" spans="7:7">
      <c r="G1120" s="25"/>
    </row>
    <row r="1121" spans="7:7">
      <c r="G1121" s="25"/>
    </row>
    <row r="1122" spans="7:7">
      <c r="G1122" s="25"/>
    </row>
    <row r="1123" spans="7:7">
      <c r="G1123" s="25"/>
    </row>
    <row r="1124" spans="7:7">
      <c r="G1124" s="25"/>
    </row>
    <row r="1125" spans="7:7">
      <c r="G1125" s="25"/>
    </row>
    <row r="1126" spans="7:7">
      <c r="G1126" s="25"/>
    </row>
    <row r="1127" spans="7:7">
      <c r="G1127" s="25"/>
    </row>
    <row r="1128" spans="7:7">
      <c r="G1128" s="25"/>
    </row>
    <row r="1129" spans="7:7">
      <c r="G1129" s="25"/>
    </row>
    <row r="1130" spans="7:7">
      <c r="G1130" s="25"/>
    </row>
    <row r="1131" spans="7:7">
      <c r="G1131" s="25"/>
    </row>
    <row r="1132" spans="7:7">
      <c r="G1132" s="25"/>
    </row>
    <row r="1133" spans="7:7">
      <c r="G1133" s="25"/>
    </row>
    <row r="1134" spans="7:7">
      <c r="G1134" s="25"/>
    </row>
    <row r="1135" spans="7:7">
      <c r="G1135" s="25"/>
    </row>
    <row r="1136" spans="7:7">
      <c r="G1136" s="25"/>
    </row>
    <row r="1137" spans="7:7">
      <c r="G1137" s="25"/>
    </row>
    <row r="1138" spans="7:7">
      <c r="G1138" s="25"/>
    </row>
    <row r="1139" spans="7:7">
      <c r="G1139" s="25"/>
    </row>
    <row r="1140" spans="7:7">
      <c r="G1140" s="25"/>
    </row>
    <row r="1141" spans="7:7">
      <c r="G1141" s="25"/>
    </row>
    <row r="1142" spans="7:7">
      <c r="G1142" s="25"/>
    </row>
    <row r="1143" spans="7:7">
      <c r="G1143" s="25"/>
    </row>
    <row r="1144" spans="7:7">
      <c r="G1144" s="25"/>
    </row>
    <row r="1145" spans="7:7">
      <c r="G1145" s="25"/>
    </row>
    <row r="1146" spans="7:7">
      <c r="G1146" s="25"/>
    </row>
    <row r="1147" spans="7:7">
      <c r="G1147" s="25"/>
    </row>
    <row r="1148" spans="7:7">
      <c r="G1148" s="25"/>
    </row>
    <row r="1149" spans="7:7">
      <c r="G1149" s="25"/>
    </row>
    <row r="1150" spans="7:7">
      <c r="G1150" s="25"/>
    </row>
    <row r="1151" spans="7:7">
      <c r="G1151" s="25"/>
    </row>
    <row r="1152" spans="7:7">
      <c r="G1152" s="25"/>
    </row>
    <row r="1153" spans="7:7">
      <c r="G1153" s="25"/>
    </row>
    <row r="1154" spans="7:7">
      <c r="G1154" s="25"/>
    </row>
    <row r="1155" spans="7:7">
      <c r="G1155" s="25"/>
    </row>
    <row r="1156" spans="7:7">
      <c r="G1156" s="25"/>
    </row>
    <row r="1157" spans="7:7">
      <c r="G1157" s="25"/>
    </row>
    <row r="1158" spans="7:7">
      <c r="G1158" s="25"/>
    </row>
    <row r="1159" spans="7:7">
      <c r="G1159" s="25"/>
    </row>
    <row r="1160" spans="7:7">
      <c r="G1160" s="25"/>
    </row>
    <row r="1161" spans="7:7">
      <c r="G1161" s="25"/>
    </row>
    <row r="1162" spans="7:7">
      <c r="G1162" s="25"/>
    </row>
    <row r="1163" spans="7:7">
      <c r="G1163" s="25"/>
    </row>
    <row r="1164" spans="7:7">
      <c r="G1164" s="25"/>
    </row>
    <row r="1165" spans="7:7">
      <c r="G1165" s="25"/>
    </row>
    <row r="1166" spans="7:7">
      <c r="G1166" s="25"/>
    </row>
    <row r="1167" spans="7:7">
      <c r="G1167" s="25"/>
    </row>
    <row r="1168" spans="7:7">
      <c r="G1168" s="25"/>
    </row>
    <row r="1169" spans="7:7">
      <c r="G1169" s="25"/>
    </row>
    <row r="1170" spans="7:7">
      <c r="G1170" s="25"/>
    </row>
    <row r="1171" spans="7:7">
      <c r="G1171" s="25"/>
    </row>
    <row r="1172" spans="7:7">
      <c r="G1172" s="25"/>
    </row>
    <row r="1173" spans="7:7">
      <c r="G1173" s="25"/>
    </row>
    <row r="1174" spans="7:7">
      <c r="G1174" s="25"/>
    </row>
    <row r="1175" spans="7:7">
      <c r="G1175" s="25"/>
    </row>
    <row r="1176" spans="7:7">
      <c r="G1176" s="25"/>
    </row>
    <row r="1177" spans="7:7">
      <c r="G1177" s="25"/>
    </row>
    <row r="1178" spans="7:7">
      <c r="G1178" s="25"/>
    </row>
    <row r="1179" spans="7:7">
      <c r="G1179" s="25"/>
    </row>
    <row r="1180" spans="7:7">
      <c r="G1180" s="25"/>
    </row>
    <row r="1181" spans="7:7">
      <c r="G1181" s="25"/>
    </row>
    <row r="1182" spans="7:7">
      <c r="G1182" s="25"/>
    </row>
    <row r="1183" spans="7:7">
      <c r="G1183" s="25"/>
    </row>
    <row r="1184" spans="7:7">
      <c r="G1184" s="25"/>
    </row>
    <row r="1185" spans="7:7">
      <c r="G1185" s="25"/>
    </row>
    <row r="1186" spans="7:7">
      <c r="G1186" s="25"/>
    </row>
    <row r="1187" spans="7:7">
      <c r="G1187" s="25"/>
    </row>
    <row r="1188" spans="7:7">
      <c r="G1188" s="25"/>
    </row>
    <row r="1189" spans="7:7">
      <c r="G1189" s="25"/>
    </row>
    <row r="1190" spans="7:7">
      <c r="G1190" s="25"/>
    </row>
    <row r="1191" spans="7:7">
      <c r="G1191" s="25"/>
    </row>
    <row r="1192" spans="7:7">
      <c r="G1192" s="25"/>
    </row>
    <row r="1193" spans="7:7">
      <c r="G1193" s="25"/>
    </row>
    <row r="1194" spans="7:7">
      <c r="G1194" s="25"/>
    </row>
    <row r="1195" spans="7:7">
      <c r="G1195" s="25"/>
    </row>
    <row r="1196" spans="7:7">
      <c r="G1196" s="25"/>
    </row>
    <row r="1197" spans="7:7">
      <c r="G1197" s="25"/>
    </row>
    <row r="1198" spans="7:7">
      <c r="G1198" s="25"/>
    </row>
    <row r="1199" spans="7:7">
      <c r="G1199" s="25"/>
    </row>
    <row r="1200" spans="7:7">
      <c r="G1200" s="25"/>
    </row>
    <row r="1201" spans="7:7">
      <c r="G1201" s="25"/>
    </row>
    <row r="1202" spans="7:7">
      <c r="G1202" s="25"/>
    </row>
    <row r="1203" spans="7:7">
      <c r="G1203" s="25"/>
    </row>
    <row r="1204" spans="7:7">
      <c r="G1204" s="25"/>
    </row>
    <row r="1205" spans="7:7">
      <c r="G1205" s="25"/>
    </row>
    <row r="1206" spans="7:7">
      <c r="G1206" s="25"/>
    </row>
    <row r="1207" spans="7:7">
      <c r="G1207" s="25"/>
    </row>
    <row r="1208" spans="7:7">
      <c r="G1208" s="25"/>
    </row>
    <row r="1209" spans="7:7">
      <c r="G1209" s="25"/>
    </row>
    <row r="1210" spans="7:7">
      <c r="G1210" s="25"/>
    </row>
    <row r="1211" spans="7:7">
      <c r="G1211" s="25"/>
    </row>
    <row r="1212" spans="7:7">
      <c r="G1212" s="25"/>
    </row>
    <row r="1213" spans="7:7">
      <c r="G1213" s="25"/>
    </row>
    <row r="1214" spans="7:7">
      <c r="G1214" s="25"/>
    </row>
    <row r="1215" spans="7:7">
      <c r="G1215" s="25"/>
    </row>
    <row r="1216" spans="7:7">
      <c r="G1216" s="25"/>
    </row>
    <row r="1217" spans="7:7">
      <c r="G1217" s="25"/>
    </row>
    <row r="1218" spans="7:7">
      <c r="G1218" s="25"/>
    </row>
    <row r="1219" spans="7:7">
      <c r="G1219" s="25"/>
    </row>
    <row r="1220" spans="7:7">
      <c r="G1220" s="25"/>
    </row>
    <row r="1221" spans="7:7">
      <c r="G1221" s="25"/>
    </row>
    <row r="1222" spans="7:7">
      <c r="G1222" s="25"/>
    </row>
    <row r="1223" spans="7:7">
      <c r="G1223" s="25"/>
    </row>
    <row r="1224" spans="7:7">
      <c r="G1224" s="25"/>
    </row>
    <row r="1225" spans="7:7">
      <c r="G1225" s="25"/>
    </row>
    <row r="1226" spans="7:7">
      <c r="G1226" s="25"/>
    </row>
    <row r="1227" spans="7:7">
      <c r="G1227" s="25"/>
    </row>
    <row r="1228" spans="7:7">
      <c r="G1228" s="25"/>
    </row>
    <row r="1229" spans="7:7">
      <c r="G1229" s="25"/>
    </row>
    <row r="1230" spans="7:7">
      <c r="G1230" s="25"/>
    </row>
    <row r="1231" spans="7:7">
      <c r="G1231" s="25"/>
    </row>
    <row r="1232" spans="7:7">
      <c r="G1232" s="25"/>
    </row>
    <row r="1233" spans="7:7">
      <c r="G1233" s="25"/>
    </row>
    <row r="1234" spans="7:7">
      <c r="G1234" s="25"/>
    </row>
    <row r="1235" spans="7:7">
      <c r="G1235" s="25"/>
    </row>
    <row r="1236" spans="7:7">
      <c r="G1236" s="25"/>
    </row>
    <row r="1237" spans="7:7">
      <c r="G1237" s="25"/>
    </row>
    <row r="1238" spans="7:7">
      <c r="G1238" s="25"/>
    </row>
    <row r="1239" spans="7:7">
      <c r="G1239" s="25"/>
    </row>
    <row r="1240" spans="7:7">
      <c r="G1240" s="25"/>
    </row>
    <row r="1241" spans="7:7">
      <c r="G1241" s="25"/>
    </row>
    <row r="1242" spans="7:7">
      <c r="G1242" s="25"/>
    </row>
    <row r="1243" spans="7:7">
      <c r="G1243" s="25"/>
    </row>
    <row r="1244" spans="7:7">
      <c r="G1244" s="25"/>
    </row>
    <row r="1245" spans="7:7">
      <c r="G1245" s="25"/>
    </row>
    <row r="1246" spans="7:7">
      <c r="G1246" s="25"/>
    </row>
    <row r="1247" spans="7:7">
      <c r="G1247" s="25"/>
    </row>
    <row r="1248" spans="7:7">
      <c r="G1248" s="25"/>
    </row>
    <row r="1249" spans="7:7">
      <c r="G1249" s="25"/>
    </row>
    <row r="1250" spans="7:7">
      <c r="G1250" s="25"/>
    </row>
    <row r="1251" spans="7:7">
      <c r="G1251" s="25"/>
    </row>
    <row r="1252" spans="7:7">
      <c r="G1252" s="25"/>
    </row>
    <row r="1253" spans="7:7">
      <c r="G1253" s="25"/>
    </row>
    <row r="1254" spans="7:7">
      <c r="G1254" s="25"/>
    </row>
    <row r="1255" spans="7:7">
      <c r="G1255" s="25"/>
    </row>
    <row r="1256" spans="7:7">
      <c r="G1256" s="25"/>
    </row>
    <row r="1257" spans="7:7">
      <c r="G1257" s="25"/>
    </row>
    <row r="1258" spans="7:7">
      <c r="G1258" s="25"/>
    </row>
    <row r="1259" spans="7:7">
      <c r="G1259" s="25"/>
    </row>
    <row r="1260" spans="7:7">
      <c r="G1260" s="25"/>
    </row>
    <row r="1261" spans="7:7">
      <c r="G1261" s="25"/>
    </row>
    <row r="1262" spans="7:7">
      <c r="G1262" s="25"/>
    </row>
    <row r="1263" spans="7:7">
      <c r="G1263" s="25"/>
    </row>
    <row r="1264" spans="7:7">
      <c r="G1264" s="25"/>
    </row>
    <row r="1265" spans="7:7">
      <c r="G1265" s="25"/>
    </row>
    <row r="1266" spans="7:7">
      <c r="G1266" s="25"/>
    </row>
    <row r="1267" spans="7:7">
      <c r="G1267" s="25"/>
    </row>
    <row r="1268" spans="7:7">
      <c r="G1268" s="25"/>
    </row>
    <row r="1269" spans="7:7">
      <c r="G1269" s="25"/>
    </row>
    <row r="1270" spans="7:7">
      <c r="G1270" s="25"/>
    </row>
    <row r="1271" spans="7:7">
      <c r="G1271" s="25"/>
    </row>
    <row r="1272" spans="7:7">
      <c r="G1272" s="25"/>
    </row>
    <row r="1273" spans="7:7">
      <c r="G1273" s="25"/>
    </row>
    <row r="1274" spans="7:7">
      <c r="G1274" s="25"/>
    </row>
    <row r="1275" spans="7:7">
      <c r="G1275" s="25"/>
    </row>
    <row r="1276" spans="7:7">
      <c r="G1276" s="25"/>
    </row>
    <row r="1277" spans="7:7">
      <c r="G1277" s="25"/>
    </row>
    <row r="1278" spans="7:7">
      <c r="G1278" s="25"/>
    </row>
    <row r="1279" spans="7:7">
      <c r="G1279" s="25"/>
    </row>
    <row r="1280" spans="7:7">
      <c r="G1280" s="25"/>
    </row>
    <row r="1281" spans="7:7">
      <c r="G1281" s="25"/>
    </row>
    <row r="1282" spans="7:7">
      <c r="G1282" s="25"/>
    </row>
    <row r="1283" spans="7:7">
      <c r="G1283" s="25"/>
    </row>
    <row r="1284" spans="7:7">
      <c r="G1284" s="25"/>
    </row>
    <row r="1285" spans="7:7">
      <c r="G1285" s="25"/>
    </row>
    <row r="1286" spans="7:7">
      <c r="G1286" s="25"/>
    </row>
    <row r="1287" spans="7:7">
      <c r="G1287" s="25"/>
    </row>
    <row r="1288" spans="7:7">
      <c r="G1288" s="25"/>
    </row>
    <row r="1289" spans="7:7">
      <c r="G1289" s="25"/>
    </row>
    <row r="1290" spans="7:7">
      <c r="G1290" s="25"/>
    </row>
    <row r="1291" spans="7:7">
      <c r="G1291" s="25"/>
    </row>
    <row r="1292" spans="7:7">
      <c r="G1292" s="25"/>
    </row>
    <row r="1293" spans="7:7">
      <c r="G1293" s="25"/>
    </row>
    <row r="1294" spans="7:7">
      <c r="G1294" s="25"/>
    </row>
    <row r="1295" spans="7:7">
      <c r="G1295" s="25"/>
    </row>
    <row r="1296" spans="7:7">
      <c r="G1296" s="25"/>
    </row>
    <row r="1297" spans="7:7">
      <c r="G1297" s="25"/>
    </row>
    <row r="1298" spans="7:7">
      <c r="G1298" s="25"/>
    </row>
    <row r="1299" spans="7:7">
      <c r="G1299" s="25"/>
    </row>
    <row r="1300" spans="7:7">
      <c r="G1300" s="25"/>
    </row>
    <row r="1301" spans="7:7">
      <c r="G1301" s="25"/>
    </row>
    <row r="1302" spans="7:7">
      <c r="G1302" s="25"/>
    </row>
    <row r="1303" spans="7:7">
      <c r="G1303" s="25"/>
    </row>
    <row r="1304" spans="7:7">
      <c r="G1304" s="25"/>
    </row>
    <row r="1305" spans="7:7">
      <c r="G1305" s="25"/>
    </row>
    <row r="1306" spans="7:7">
      <c r="G1306" s="25"/>
    </row>
    <row r="1307" spans="7:7">
      <c r="G1307" s="25"/>
    </row>
    <row r="1308" spans="7:7">
      <c r="G1308" s="25"/>
    </row>
    <row r="1309" spans="7:7">
      <c r="G1309" s="25"/>
    </row>
    <row r="1310" spans="7:7">
      <c r="G1310" s="25"/>
    </row>
    <row r="1311" spans="7:7">
      <c r="G1311" s="25"/>
    </row>
    <row r="1312" spans="7:7">
      <c r="G1312" s="25"/>
    </row>
    <row r="1313" spans="7:7">
      <c r="G1313" s="25"/>
    </row>
    <row r="1314" spans="7:7">
      <c r="G1314" s="25"/>
    </row>
    <row r="1315" spans="7:7">
      <c r="G1315" s="25"/>
    </row>
    <row r="1316" spans="7:7">
      <c r="G1316" s="25"/>
    </row>
    <row r="1317" spans="7:7">
      <c r="G1317" s="25"/>
    </row>
    <row r="1318" spans="7:7">
      <c r="G1318" s="25"/>
    </row>
    <row r="1319" spans="7:7">
      <c r="G1319" s="25"/>
    </row>
    <row r="1320" spans="7:7">
      <c r="G1320" s="25"/>
    </row>
    <row r="1321" spans="7:7">
      <c r="G1321" s="25"/>
    </row>
    <row r="1322" spans="7:7">
      <c r="G1322" s="25"/>
    </row>
    <row r="1323" spans="7:7">
      <c r="G1323" s="25"/>
    </row>
    <row r="1324" spans="7:7">
      <c r="G1324" s="25"/>
    </row>
    <row r="1325" spans="7:7">
      <c r="G1325" s="25"/>
    </row>
    <row r="1326" spans="7:7">
      <c r="G1326" s="25"/>
    </row>
    <row r="1327" spans="7:7">
      <c r="G1327" s="25"/>
    </row>
    <row r="1328" spans="7:7">
      <c r="G1328" s="25"/>
    </row>
    <row r="1329" spans="7:7">
      <c r="G1329" s="25"/>
    </row>
    <row r="1330" spans="7:7">
      <c r="G1330" s="25"/>
    </row>
    <row r="1331" spans="7:7">
      <c r="G1331" s="25"/>
    </row>
    <row r="1332" spans="7:7">
      <c r="G1332" s="25"/>
    </row>
    <row r="1333" spans="7:7">
      <c r="G1333" s="25"/>
    </row>
    <row r="1334" spans="7:7">
      <c r="G1334" s="25"/>
    </row>
    <row r="1335" spans="7:7">
      <c r="G1335" s="25"/>
    </row>
    <row r="1336" spans="7:7">
      <c r="G1336" s="25"/>
    </row>
    <row r="1337" spans="7:7">
      <c r="G1337" s="25"/>
    </row>
    <row r="1338" spans="7:7">
      <c r="G1338" s="25"/>
    </row>
    <row r="1339" spans="7:7">
      <c r="G1339" s="25"/>
    </row>
    <row r="1340" spans="7:7">
      <c r="G1340" s="25"/>
    </row>
    <row r="1341" spans="7:7">
      <c r="G1341" s="25"/>
    </row>
    <row r="1342" spans="7:7">
      <c r="G1342" s="25"/>
    </row>
    <row r="1343" spans="7:7">
      <c r="G1343" s="25"/>
    </row>
    <row r="1344" spans="7:7">
      <c r="G1344" s="25"/>
    </row>
    <row r="1345" spans="7:7">
      <c r="G1345" s="25"/>
    </row>
    <row r="1346" spans="7:7">
      <c r="G1346" s="25"/>
    </row>
    <row r="1347" spans="7:7">
      <c r="G1347" s="25"/>
    </row>
    <row r="1348" spans="7:7">
      <c r="G1348" s="25"/>
    </row>
    <row r="1349" spans="7:7">
      <c r="G1349" s="25"/>
    </row>
    <row r="1350" spans="7:7">
      <c r="G1350" s="25"/>
    </row>
    <row r="1351" spans="7:7">
      <c r="G1351" s="25"/>
    </row>
    <row r="1352" spans="7:7">
      <c r="G1352" s="25"/>
    </row>
    <row r="1353" spans="7:7">
      <c r="G1353" s="25"/>
    </row>
    <row r="1354" spans="7:7">
      <c r="G1354" s="25"/>
    </row>
    <row r="1355" spans="7:7">
      <c r="G1355" s="25"/>
    </row>
    <row r="1356" spans="7:7">
      <c r="G1356" s="25"/>
    </row>
    <row r="1357" spans="7:7">
      <c r="G1357" s="25"/>
    </row>
    <row r="1358" spans="7:7">
      <c r="G1358" s="25"/>
    </row>
    <row r="1359" spans="7:7">
      <c r="G1359" s="25"/>
    </row>
    <row r="1360" spans="7:7">
      <c r="G1360" s="25"/>
    </row>
    <row r="1361" spans="7:7">
      <c r="G1361" s="25"/>
    </row>
    <row r="1362" spans="7:7">
      <c r="G1362" s="25"/>
    </row>
    <row r="1363" spans="7:7">
      <c r="G1363" s="25"/>
    </row>
    <row r="1364" spans="7:7">
      <c r="G1364" s="25"/>
    </row>
    <row r="1365" spans="7:7">
      <c r="G1365" s="25"/>
    </row>
    <row r="1366" spans="7:7">
      <c r="G1366" s="25"/>
    </row>
    <row r="1367" spans="7:7">
      <c r="G1367" s="25"/>
    </row>
    <row r="1368" spans="7:7">
      <c r="G1368" s="25"/>
    </row>
    <row r="1369" spans="7:7">
      <c r="G1369" s="25"/>
    </row>
    <row r="1370" spans="7:7">
      <c r="G1370" s="25"/>
    </row>
    <row r="1371" spans="7:7">
      <c r="G1371" s="25"/>
    </row>
    <row r="1372" spans="7:7">
      <c r="G1372" s="25"/>
    </row>
    <row r="1373" spans="7:7">
      <c r="G1373" s="25"/>
    </row>
    <row r="1374" spans="7:7">
      <c r="G1374" s="25"/>
    </row>
    <row r="1375" spans="7:7">
      <c r="G1375" s="25"/>
    </row>
    <row r="1376" spans="7:7">
      <c r="G1376" s="25"/>
    </row>
    <row r="1377" spans="7:7">
      <c r="G1377" s="25"/>
    </row>
    <row r="1378" spans="7:7">
      <c r="G1378" s="25"/>
    </row>
    <row r="1379" spans="7:7">
      <c r="G1379" s="25"/>
    </row>
    <row r="1380" spans="7:7">
      <c r="G1380" s="25"/>
    </row>
    <row r="1381" spans="7:7">
      <c r="G1381" s="25"/>
    </row>
    <row r="1382" spans="7:7">
      <c r="G1382" s="25"/>
    </row>
    <row r="1383" spans="7:7">
      <c r="G1383" s="25"/>
    </row>
    <row r="1384" spans="7:7">
      <c r="G1384" s="25"/>
    </row>
    <row r="1385" spans="7:7">
      <c r="G1385" s="25"/>
    </row>
    <row r="1386" spans="7:7">
      <c r="G1386" s="25"/>
    </row>
    <row r="1387" spans="7:7">
      <c r="G1387" s="25"/>
    </row>
    <row r="1388" spans="7:7">
      <c r="G1388" s="25"/>
    </row>
    <row r="1389" spans="7:7">
      <c r="G1389" s="25"/>
    </row>
    <row r="1390" spans="7:7">
      <c r="G1390" s="25"/>
    </row>
    <row r="1391" spans="7:7">
      <c r="G1391" s="25"/>
    </row>
    <row r="1392" spans="7:7">
      <c r="G1392" s="25"/>
    </row>
    <row r="1393" spans="7:7">
      <c r="G1393" s="25"/>
    </row>
    <row r="1394" spans="7:7">
      <c r="G1394" s="25"/>
    </row>
    <row r="1395" spans="7:7">
      <c r="G1395" s="25"/>
    </row>
    <row r="1396" spans="7:7">
      <c r="G1396" s="25"/>
    </row>
    <row r="1397" spans="7:7">
      <c r="G1397" s="25"/>
    </row>
    <row r="1398" spans="7:7">
      <c r="G1398" s="25"/>
    </row>
    <row r="1399" spans="7:7">
      <c r="G1399" s="25"/>
    </row>
    <row r="1400" spans="7:7">
      <c r="G1400" s="25"/>
    </row>
    <row r="1401" spans="7:7">
      <c r="G1401" s="25"/>
    </row>
    <row r="1402" spans="7:7">
      <c r="G1402" s="25"/>
    </row>
    <row r="1403" spans="7:7">
      <c r="G1403" s="25"/>
    </row>
    <row r="1404" spans="7:7">
      <c r="G1404" s="25"/>
    </row>
    <row r="1405" spans="7:7">
      <c r="G1405" s="25"/>
    </row>
    <row r="1406" spans="7:7">
      <c r="G1406" s="25"/>
    </row>
    <row r="1407" spans="7:7">
      <c r="G1407" s="25"/>
    </row>
    <row r="1408" spans="7:7">
      <c r="G1408" s="25"/>
    </row>
    <row r="1409" spans="7:7">
      <c r="G1409" s="25"/>
    </row>
    <row r="1410" spans="7:7">
      <c r="G1410" s="25"/>
    </row>
    <row r="1411" spans="7:7">
      <c r="G1411" s="25"/>
    </row>
    <row r="1412" spans="7:7">
      <c r="G1412" s="25"/>
    </row>
    <row r="1413" spans="7:7">
      <c r="G1413" s="25"/>
    </row>
    <row r="1414" spans="7:7">
      <c r="G1414" s="25"/>
    </row>
    <row r="1415" spans="7:7">
      <c r="G1415" s="25"/>
    </row>
    <row r="1416" spans="7:7">
      <c r="G1416" s="25"/>
    </row>
    <row r="1417" spans="7:7">
      <c r="G1417" s="25"/>
    </row>
    <row r="1418" spans="7:7">
      <c r="G1418" s="25"/>
    </row>
    <row r="1419" spans="7:7">
      <c r="G1419" s="25"/>
    </row>
    <row r="1420" spans="7:7">
      <c r="G1420" s="25"/>
    </row>
    <row r="1421" spans="7:7">
      <c r="G1421" s="25"/>
    </row>
    <row r="1422" spans="7:7">
      <c r="G1422" s="25"/>
    </row>
    <row r="1423" spans="7:7">
      <c r="G1423" s="25"/>
    </row>
    <row r="1424" spans="7:7">
      <c r="G1424" s="25"/>
    </row>
    <row r="1425" spans="7:7">
      <c r="G1425" s="25"/>
    </row>
    <row r="1426" spans="7:7">
      <c r="G1426" s="25"/>
    </row>
    <row r="1427" spans="7:7">
      <c r="G1427" s="25"/>
    </row>
    <row r="1428" spans="7:7">
      <c r="G1428" s="25"/>
    </row>
    <row r="1429" spans="7:7">
      <c r="G1429" s="25"/>
    </row>
    <row r="1430" spans="7:7">
      <c r="G1430" s="25"/>
    </row>
    <row r="1431" spans="7:7">
      <c r="G1431" s="25"/>
    </row>
    <row r="1432" spans="7:7">
      <c r="G1432" s="25"/>
    </row>
    <row r="1433" spans="7:7">
      <c r="G1433" s="25"/>
    </row>
    <row r="1434" spans="7:7">
      <c r="G1434" s="25"/>
    </row>
    <row r="1435" spans="7:7">
      <c r="G1435" s="25"/>
    </row>
    <row r="1436" spans="7:7">
      <c r="G1436" s="25"/>
    </row>
    <row r="1437" spans="7:7">
      <c r="G1437" s="25"/>
    </row>
    <row r="1438" spans="7:7">
      <c r="G1438" s="25"/>
    </row>
    <row r="1439" spans="7:7">
      <c r="G1439" s="25"/>
    </row>
    <row r="1440" spans="7:7">
      <c r="G1440" s="25"/>
    </row>
    <row r="1441" spans="7:7">
      <c r="G1441" s="25"/>
    </row>
    <row r="1442" spans="7:7">
      <c r="G1442" s="25"/>
    </row>
    <row r="1443" spans="7:7">
      <c r="G1443" s="25"/>
    </row>
    <row r="1444" spans="7:7">
      <c r="G1444" s="25"/>
    </row>
    <row r="1445" spans="7:7">
      <c r="G1445" s="25"/>
    </row>
    <row r="1446" spans="7:7">
      <c r="G1446" s="25"/>
    </row>
    <row r="1447" spans="7:7">
      <c r="G1447" s="25"/>
    </row>
    <row r="1448" spans="7:7">
      <c r="G1448" s="25"/>
    </row>
    <row r="1449" spans="7:7">
      <c r="G1449" s="25"/>
    </row>
    <row r="1450" spans="7:7">
      <c r="G1450" s="25"/>
    </row>
    <row r="1451" spans="7:7">
      <c r="G1451" s="25"/>
    </row>
    <row r="1452" spans="7:7">
      <c r="G1452" s="25"/>
    </row>
    <row r="1453" spans="7:7">
      <c r="G1453" s="25"/>
    </row>
    <row r="1454" spans="7:7">
      <c r="G1454" s="25"/>
    </row>
    <row r="1455" spans="7:7">
      <c r="G1455" s="25"/>
    </row>
    <row r="1456" spans="7:7">
      <c r="G1456" s="25"/>
    </row>
    <row r="1457" spans="7:7">
      <c r="G1457" s="25"/>
    </row>
    <row r="1458" spans="7:7">
      <c r="G1458" s="25"/>
    </row>
    <row r="1459" spans="7:7">
      <c r="G1459" s="25"/>
    </row>
    <row r="1460" spans="7:7">
      <c r="G1460" s="25"/>
    </row>
    <row r="1461" spans="7:7">
      <c r="G1461" s="25"/>
    </row>
    <row r="1462" spans="7:7">
      <c r="G1462" s="25"/>
    </row>
    <row r="1463" spans="7:7">
      <c r="G1463" s="25"/>
    </row>
    <row r="1464" spans="7:7">
      <c r="G1464" s="25"/>
    </row>
    <row r="1465" spans="7:7">
      <c r="G1465" s="25"/>
    </row>
    <row r="1466" spans="7:7">
      <c r="G1466" s="25"/>
    </row>
    <row r="1467" spans="7:7">
      <c r="G1467" s="25"/>
    </row>
    <row r="1468" spans="7:7">
      <c r="G1468" s="25"/>
    </row>
    <row r="1469" spans="7:7">
      <c r="G1469" s="25"/>
    </row>
    <row r="1470" spans="7:7">
      <c r="G1470" s="25"/>
    </row>
    <row r="1471" spans="7:7">
      <c r="G1471" s="25"/>
    </row>
    <row r="1472" spans="7:7">
      <c r="G1472" s="25"/>
    </row>
    <row r="1473" spans="7:7">
      <c r="G1473" s="25"/>
    </row>
    <row r="1474" spans="7:7">
      <c r="G1474" s="25"/>
    </row>
    <row r="1475" spans="7:7">
      <c r="G1475" s="25"/>
    </row>
    <row r="1476" spans="7:7">
      <c r="G1476" s="25"/>
    </row>
    <row r="1477" spans="7:7">
      <c r="G1477" s="25"/>
    </row>
    <row r="1478" spans="7:7">
      <c r="G1478" s="25"/>
    </row>
    <row r="1479" spans="7:7">
      <c r="G1479" s="25"/>
    </row>
    <row r="1480" spans="7:7">
      <c r="G1480" s="25"/>
    </row>
    <row r="1481" spans="7:7">
      <c r="G1481" s="25"/>
    </row>
    <row r="1482" spans="7:7">
      <c r="G1482" s="25"/>
    </row>
    <row r="1483" spans="7:7">
      <c r="G1483" s="25"/>
    </row>
    <row r="1484" spans="7:7">
      <c r="G1484" s="25"/>
    </row>
    <row r="1485" spans="7:7">
      <c r="G1485" s="25"/>
    </row>
    <row r="1486" spans="7:7">
      <c r="G1486" s="25"/>
    </row>
    <row r="1487" spans="7:7">
      <c r="G1487" s="25"/>
    </row>
    <row r="1488" spans="7:7">
      <c r="G1488" s="25"/>
    </row>
    <row r="1489" spans="7:7">
      <c r="G1489" s="25"/>
    </row>
    <row r="1490" spans="7:7">
      <c r="G1490" s="25"/>
    </row>
    <row r="1491" spans="7:7">
      <c r="G1491" s="25"/>
    </row>
    <row r="1492" spans="7:7">
      <c r="G1492" s="25"/>
    </row>
    <row r="1493" spans="7:7">
      <c r="G1493" s="25"/>
    </row>
    <row r="1494" spans="7:7">
      <c r="G1494" s="25"/>
    </row>
    <row r="1495" spans="7:7">
      <c r="G1495" s="25"/>
    </row>
    <row r="1496" spans="7:7">
      <c r="G1496" s="25"/>
    </row>
    <row r="1497" spans="7:7">
      <c r="G1497" s="25"/>
    </row>
    <row r="1498" spans="7:7">
      <c r="G1498" s="25"/>
    </row>
    <row r="1499" spans="7:7">
      <c r="G1499" s="25"/>
    </row>
    <row r="1500" spans="7:7">
      <c r="G1500" s="25"/>
    </row>
    <row r="1501" spans="7:7">
      <c r="G1501" s="25"/>
    </row>
    <row r="1502" spans="7:7">
      <c r="G1502" s="25"/>
    </row>
    <row r="1503" spans="7:7">
      <c r="G1503" s="25"/>
    </row>
    <row r="1504" spans="7:7">
      <c r="G1504" s="25"/>
    </row>
    <row r="1505" spans="7:7">
      <c r="G1505" s="25"/>
    </row>
    <row r="1506" spans="7:7">
      <c r="G1506" s="25"/>
    </row>
    <row r="1507" spans="7:7">
      <c r="G1507" s="25"/>
    </row>
    <row r="1508" spans="7:7">
      <c r="G1508" s="25"/>
    </row>
    <row r="1509" spans="7:7">
      <c r="G1509" s="25"/>
    </row>
    <row r="1510" spans="7:7">
      <c r="G1510" s="25"/>
    </row>
    <row r="1511" spans="7:7">
      <c r="G1511" s="25"/>
    </row>
    <row r="1512" spans="7:7">
      <c r="G1512" s="25"/>
    </row>
    <row r="1513" spans="7:7">
      <c r="G1513" s="25"/>
    </row>
    <row r="1514" spans="7:7">
      <c r="G1514" s="25"/>
    </row>
    <row r="1515" spans="7:7">
      <c r="G1515" s="25"/>
    </row>
    <row r="1516" spans="7:7">
      <c r="G1516" s="25"/>
    </row>
    <row r="1517" spans="7:7">
      <c r="G1517" s="25"/>
    </row>
    <row r="1518" spans="7:7">
      <c r="G1518" s="25"/>
    </row>
    <row r="1519" spans="7:7">
      <c r="G1519" s="25"/>
    </row>
    <row r="1520" spans="7:7">
      <c r="G1520" s="25"/>
    </row>
    <row r="1521" spans="7:7">
      <c r="G1521" s="25"/>
    </row>
    <row r="1522" spans="7:7">
      <c r="G1522" s="25"/>
    </row>
    <row r="1523" spans="7:7">
      <c r="G1523" s="25"/>
    </row>
    <row r="1524" spans="7:7">
      <c r="G1524" s="25"/>
    </row>
    <row r="1525" spans="7:7">
      <c r="G1525" s="25"/>
    </row>
    <row r="1526" spans="7:7">
      <c r="G1526" s="25"/>
    </row>
    <row r="1527" spans="7:7">
      <c r="G1527" s="25"/>
    </row>
    <row r="1528" spans="7:7">
      <c r="G1528" s="25"/>
    </row>
    <row r="1529" spans="7:7">
      <c r="G1529" s="25"/>
    </row>
    <row r="1530" spans="7:7">
      <c r="G1530" s="25"/>
    </row>
    <row r="1531" spans="7:7">
      <c r="G1531" s="25"/>
    </row>
    <row r="1532" spans="7:7">
      <c r="G1532" s="25"/>
    </row>
    <row r="1533" spans="7:7">
      <c r="G1533" s="25"/>
    </row>
    <row r="1534" spans="7:7">
      <c r="G1534" s="25"/>
    </row>
    <row r="1535" spans="7:7">
      <c r="G1535" s="25"/>
    </row>
    <row r="1536" spans="7:7">
      <c r="G1536" s="25"/>
    </row>
    <row r="1537" spans="7:7">
      <c r="G1537" s="25"/>
    </row>
    <row r="1538" spans="7:7">
      <c r="G1538" s="25"/>
    </row>
    <row r="1539" spans="7:7">
      <c r="G1539" s="25"/>
    </row>
    <row r="1540" spans="7:7">
      <c r="G1540" s="25"/>
    </row>
    <row r="1541" spans="7:7">
      <c r="G1541" s="25"/>
    </row>
    <row r="1542" spans="7:7">
      <c r="G1542" s="25"/>
    </row>
    <row r="1543" spans="7:7">
      <c r="G1543" s="25"/>
    </row>
    <row r="1544" spans="7:7">
      <c r="G1544" s="25"/>
    </row>
    <row r="1545" spans="7:7">
      <c r="G1545" s="25"/>
    </row>
    <row r="1546" spans="7:7">
      <c r="G1546" s="25"/>
    </row>
    <row r="1547" spans="7:7">
      <c r="G1547" s="25"/>
    </row>
    <row r="1548" spans="7:7">
      <c r="G1548" s="25"/>
    </row>
    <row r="1549" spans="7:7">
      <c r="G1549" s="25"/>
    </row>
    <row r="1550" spans="7:7">
      <c r="G1550" s="25"/>
    </row>
    <row r="1551" spans="7:7">
      <c r="G1551" s="25"/>
    </row>
    <row r="1552" spans="7:7">
      <c r="G1552" s="25"/>
    </row>
    <row r="1553" spans="7:7">
      <c r="G1553" s="25"/>
    </row>
    <row r="1554" spans="7:7">
      <c r="G1554" s="25"/>
    </row>
    <row r="1555" spans="7:7">
      <c r="G1555" s="25"/>
    </row>
  </sheetData>
  <sortState xmlns:xlrd2="http://schemas.microsoft.com/office/spreadsheetml/2017/richdata2" ref="I209:I391">
    <sortCondition ref="I20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11</v>
      </c>
      <c r="C2" s="4"/>
      <c r="D2" s="4"/>
      <c r="E2" s="4"/>
      <c r="F2" s="4"/>
      <c r="G2" s="3" t="s">
        <v>11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12</v>
      </c>
      <c r="C3" s="8"/>
      <c r="D3" s="8"/>
      <c r="E3" s="8"/>
      <c r="F3" s="9"/>
      <c r="G3" s="10" t="s">
        <v>13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12</v>
      </c>
      <c r="C4" s="13"/>
      <c r="D4" s="13"/>
      <c r="E4" s="13"/>
      <c r="F4" s="14"/>
      <c r="G4" s="15" t="s">
        <v>14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12</v>
      </c>
      <c r="C5" s="13"/>
      <c r="D5" s="13"/>
      <c r="E5" s="13"/>
      <c r="F5" s="14"/>
      <c r="G5" s="17" t="s">
        <v>13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12</v>
      </c>
      <c r="C6" s="13"/>
      <c r="D6" s="13"/>
      <c r="E6" s="13"/>
      <c r="F6" s="14"/>
      <c r="G6" s="15" t="s">
        <v>14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12</v>
      </c>
      <c r="C7" s="13"/>
      <c r="D7" s="13"/>
      <c r="E7" s="13"/>
      <c r="F7" s="14"/>
      <c r="G7" s="17" t="s">
        <v>13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12</v>
      </c>
      <c r="C8" s="20"/>
      <c r="D8" s="20"/>
      <c r="E8" s="20"/>
      <c r="F8" s="21"/>
      <c r="G8" s="22" t="s">
        <v>14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</cp:lastModifiedBy>
  <dcterms:created xsi:type="dcterms:W3CDTF">2015-06-05T18:17:20Z</dcterms:created>
  <dcterms:modified xsi:type="dcterms:W3CDTF">2025-12-30T23:31:27Z</dcterms:modified>
</cp:coreProperties>
</file>