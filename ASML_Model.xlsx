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E94BA7B0-40B3-4E64-95FE-112DECAD91D6}" xr6:coauthVersionLast="47" xr6:coauthVersionMax="47" xr10:uidLastSave="{00000000-0000-0000-0000-000000000000}"/>
  <bookViews>
    <workbookView xWindow="2340" yWindow="2340" windowWidth="16050" windowHeight="1329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  <externalReference r:id="rId9"/>
    <externalReference r:id="rId10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26" i="2" l="1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W126" i="2"/>
  <c r="BW125" i="2"/>
  <c r="BW124" i="2"/>
  <c r="BW120" i="2"/>
  <c r="BW122" i="2" s="1"/>
  <c r="BW115" i="2"/>
  <c r="BW114" i="2"/>
  <c r="BW113" i="2"/>
  <c r="BW112" i="2"/>
  <c r="BW111" i="2"/>
  <c r="BW109" i="2"/>
  <c r="BW108" i="2"/>
  <c r="BW97" i="2"/>
  <c r="BW110" i="2" s="1"/>
  <c r="BW95" i="2"/>
  <c r="BW83" i="2"/>
  <c r="BW39" i="2"/>
  <c r="BW38" i="2"/>
  <c r="BW37" i="2"/>
  <c r="BW36" i="2"/>
  <c r="BW25" i="2"/>
  <c r="BW24" i="2"/>
  <c r="BW23" i="2"/>
  <c r="BW22" i="2"/>
  <c r="BW21" i="2"/>
  <c r="BW20" i="2"/>
  <c r="BW19" i="2"/>
  <c r="BW18" i="2"/>
  <c r="BW17" i="2"/>
  <c r="BW16" i="2"/>
  <c r="BW14" i="2"/>
  <c r="BW29" i="2" s="1"/>
  <c r="CZ47" i="2"/>
  <c r="CZ46" i="2"/>
  <c r="CZ34" i="2"/>
  <c r="CZ33" i="2"/>
  <c r="CZ32" i="2"/>
  <c r="CZ31" i="2"/>
  <c r="CZ14" i="2"/>
  <c r="CZ13" i="2"/>
  <c r="DA13" i="2" s="1"/>
  <c r="CZ12" i="2"/>
  <c r="CZ11" i="2"/>
  <c r="CZ10" i="2"/>
  <c r="DA10" i="2" s="1"/>
  <c r="CZ9" i="2"/>
  <c r="CZ8" i="2"/>
  <c r="CZ7" i="2"/>
  <c r="CZ6" i="2"/>
  <c r="DA6" i="2" s="1"/>
  <c r="CZ5" i="2"/>
  <c r="DA5" i="2" s="1"/>
  <c r="CZ4" i="2"/>
  <c r="DA4" i="2" s="1"/>
  <c r="DA12" i="2"/>
  <c r="DA11" i="2"/>
  <c r="DA9" i="2"/>
  <c r="DA8" i="2"/>
  <c r="DA7" i="2"/>
  <c r="DE85" i="2"/>
  <c r="CZ115" i="2"/>
  <c r="CZ114" i="2"/>
  <c r="CZ113" i="2"/>
  <c r="CZ112" i="2"/>
  <c r="CZ111" i="2"/>
  <c r="CZ110" i="2"/>
  <c r="CZ109" i="2"/>
  <c r="CZ108" i="2"/>
  <c r="BV115" i="2"/>
  <c r="BV114" i="2"/>
  <c r="BV113" i="2"/>
  <c r="BV112" i="2"/>
  <c r="BV111" i="2"/>
  <c r="BV110" i="2"/>
  <c r="BV109" i="2"/>
  <c r="BV108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V120" i="2"/>
  <c r="BV97" i="2"/>
  <c r="BV95" i="2"/>
  <c r="BV83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T39" i="2"/>
  <c r="BT38" i="2"/>
  <c r="BT37" i="2"/>
  <c r="BT36" i="2"/>
  <c r="BU39" i="2"/>
  <c r="BU38" i="2"/>
  <c r="BU37" i="2"/>
  <c r="BU36" i="2"/>
  <c r="BV39" i="2"/>
  <c r="BV38" i="2"/>
  <c r="BV37" i="2"/>
  <c r="BV36" i="2"/>
  <c r="C3" i="2" a="1"/>
  <c r="BW46" i="2" l="1"/>
  <c r="BW48" i="2" s="1"/>
  <c r="BW28" i="2"/>
  <c r="BW26" i="2"/>
  <c r="DA14" i="2"/>
  <c r="DA26" i="2" s="1"/>
  <c r="DJ87" i="2"/>
  <c r="DJ85" i="2"/>
  <c r="DE96" i="2"/>
  <c r="DJ79" i="2"/>
  <c r="DJ80" i="2" s="1"/>
  <c r="DG79" i="2"/>
  <c r="CZ74" i="2" l="1"/>
  <c r="DC79" i="2" s="1"/>
  <c r="CZ23" i="2"/>
  <c r="CZ22" i="2"/>
  <c r="CZ21" i="2"/>
  <c r="CZ20" i="2"/>
  <c r="CZ19" i="2"/>
  <c r="CZ3" i="2"/>
  <c r="DA3" i="2" s="1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V122" i="2"/>
  <c r="BU14" i="2"/>
  <c r="BU46" i="2" s="1"/>
  <c r="BU48" i="2" s="1"/>
  <c r="BT14" i="2"/>
  <c r="BT46" i="2" s="1"/>
  <c r="BT48" i="2" s="1"/>
  <c r="BS14" i="2"/>
  <c r="BS46" i="2" s="1"/>
  <c r="BS48" i="2" s="1"/>
  <c r="BR14" i="2"/>
  <c r="BQ14" i="2"/>
  <c r="BQ46" i="2" s="1"/>
  <c r="BP14" i="2"/>
  <c r="BP26" i="2" s="1"/>
  <c r="BO14" i="2"/>
  <c r="BN14" i="2"/>
  <c r="BR26" i="2" s="1"/>
  <c r="BM14" i="2"/>
  <c r="BL14" i="2"/>
  <c r="BK14" i="2"/>
  <c r="BJ14" i="2"/>
  <c r="BI14" i="2"/>
  <c r="BM26" i="2" s="1"/>
  <c r="BH14" i="2"/>
  <c r="BL26" i="2" s="1"/>
  <c r="BG14" i="2"/>
  <c r="BF14" i="2"/>
  <c r="BF26" i="2" s="1"/>
  <c r="BE14" i="2"/>
  <c r="BD14" i="2"/>
  <c r="BC14" i="2"/>
  <c r="BV14" i="2"/>
  <c r="BV26" i="2" s="1"/>
  <c r="BU26" i="2"/>
  <c r="BQ26" i="2"/>
  <c r="BE26" i="2"/>
  <c r="BD26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V25" i="2"/>
  <c r="BV24" i="2"/>
  <c r="BV23" i="2"/>
  <c r="BV22" i="2"/>
  <c r="BV21" i="2"/>
  <c r="BV20" i="2"/>
  <c r="BV19" i="2"/>
  <c r="BV18" i="2"/>
  <c r="BV17" i="2"/>
  <c r="BV16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BR46" i="2"/>
  <c r="BR48" i="2" s="1"/>
  <c r="BN46" i="2"/>
  <c r="BN48" i="2" s="1"/>
  <c r="BM46" i="2"/>
  <c r="BM48" i="2" s="1"/>
  <c r="BL46" i="2"/>
  <c r="BL48" i="2" s="1"/>
  <c r="BJ46" i="2"/>
  <c r="BJ48" i="2" s="1"/>
  <c r="BE46" i="2"/>
  <c r="BE48" i="2" s="1"/>
  <c r="BD46" i="2"/>
  <c r="BD48" i="2" s="1"/>
  <c r="BB46" i="2"/>
  <c r="BB48" i="2" s="1"/>
  <c r="BA46" i="2"/>
  <c r="AZ46" i="2"/>
  <c r="AZ48" i="2" s="1"/>
  <c r="AY46" i="2"/>
  <c r="AY48" i="2" s="1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DB79" i="2" s="1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U14" i="2"/>
  <c r="CT14" i="2"/>
  <c r="CT26" i="2" s="1"/>
  <c r="CS14" i="2"/>
  <c r="CR14" i="2"/>
  <c r="CQ14" i="2"/>
  <c r="CP14" i="2"/>
  <c r="CO14" i="2"/>
  <c r="CN14" i="2"/>
  <c r="CN26" i="2" s="1"/>
  <c r="CM14" i="2"/>
  <c r="CL14" i="2"/>
  <c r="CL26" i="2" s="1"/>
  <c r="CK14" i="2"/>
  <c r="CJ14" i="2"/>
  <c r="CI14" i="2"/>
  <c r="CY13" i="2"/>
  <c r="DB13" i="2" s="1"/>
  <c r="DC13" i="2" s="1"/>
  <c r="DD13" i="2" s="1"/>
  <c r="DE13" i="2" s="1"/>
  <c r="DF13" i="2" s="1"/>
  <c r="DG13" i="2" s="1"/>
  <c r="DH13" i="2" s="1"/>
  <c r="DI13" i="2" s="1"/>
  <c r="DJ13" i="2" s="1"/>
  <c r="CX13" i="2"/>
  <c r="CW13" i="2"/>
  <c r="CW25" i="2" s="1"/>
  <c r="CV13" i="2"/>
  <c r="CU13" i="2"/>
  <c r="CU25" i="2" s="1"/>
  <c r="CT13" i="2"/>
  <c r="CS13" i="2"/>
  <c r="CR13" i="2"/>
  <c r="CQ13" i="2"/>
  <c r="CP13" i="2"/>
  <c r="CO13" i="2"/>
  <c r="CO25" i="2" s="1"/>
  <c r="CN13" i="2"/>
  <c r="CM13" i="2"/>
  <c r="CM25" i="2" s="1"/>
  <c r="CL13" i="2"/>
  <c r="CK13" i="2"/>
  <c r="CJ13" i="2"/>
  <c r="CI13" i="2"/>
  <c r="CY12" i="2"/>
  <c r="DB12" i="2" s="1"/>
  <c r="DC12" i="2" s="1"/>
  <c r="DD12" i="2" s="1"/>
  <c r="DE12" i="2" s="1"/>
  <c r="DF12" i="2" s="1"/>
  <c r="DG12" i="2" s="1"/>
  <c r="DH12" i="2" s="1"/>
  <c r="DI12" i="2" s="1"/>
  <c r="DJ12" i="2" s="1"/>
  <c r="CX12" i="2"/>
  <c r="CX24" i="2" s="1"/>
  <c r="CW12" i="2"/>
  <c r="CV12" i="2"/>
  <c r="CV24" i="2" s="1"/>
  <c r="CU12" i="2"/>
  <c r="CT12" i="2"/>
  <c r="CS12" i="2"/>
  <c r="CR12" i="2"/>
  <c r="CQ12" i="2"/>
  <c r="CQ24" i="2" s="1"/>
  <c r="CP12" i="2"/>
  <c r="CP24" i="2" s="1"/>
  <c r="CO12" i="2"/>
  <c r="CO24" i="2" s="1"/>
  <c r="CN12" i="2"/>
  <c r="CN24" i="2" s="1"/>
  <c r="CM12" i="2"/>
  <c r="CL12" i="2"/>
  <c r="CK12" i="2"/>
  <c r="CJ12" i="2"/>
  <c r="CI12" i="2"/>
  <c r="CY11" i="2"/>
  <c r="DB11" i="2" s="1"/>
  <c r="DC11" i="2" s="1"/>
  <c r="DD11" i="2" s="1"/>
  <c r="DE11" i="2" s="1"/>
  <c r="DF11" i="2" s="1"/>
  <c r="DG11" i="2" s="1"/>
  <c r="DH11" i="2" s="1"/>
  <c r="DI11" i="2" s="1"/>
  <c r="DJ11" i="2" s="1"/>
  <c r="CX11" i="2"/>
  <c r="CW11" i="2"/>
  <c r="CW23" i="2" s="1"/>
  <c r="CV11" i="2"/>
  <c r="CU11" i="2"/>
  <c r="CT11" i="2"/>
  <c r="CS11" i="2"/>
  <c r="CR11" i="2"/>
  <c r="CQ11" i="2"/>
  <c r="CQ23" i="2" s="1"/>
  <c r="CP11" i="2"/>
  <c r="CO11" i="2"/>
  <c r="CO23" i="2" s="1"/>
  <c r="CN11" i="2"/>
  <c r="CM11" i="2"/>
  <c r="CL11" i="2"/>
  <c r="CK11" i="2"/>
  <c r="CJ11" i="2"/>
  <c r="CI11" i="2"/>
  <c r="CY10" i="2"/>
  <c r="DB10" i="2" s="1"/>
  <c r="DC10" i="2" s="1"/>
  <c r="DD10" i="2" s="1"/>
  <c r="DE10" i="2" s="1"/>
  <c r="DF10" i="2" s="1"/>
  <c r="DG10" i="2" s="1"/>
  <c r="DH10" i="2" s="1"/>
  <c r="DI10" i="2" s="1"/>
  <c r="DJ10" i="2" s="1"/>
  <c r="CX10" i="2"/>
  <c r="CW10" i="2"/>
  <c r="CW22" i="2" s="1"/>
  <c r="CV10" i="2"/>
  <c r="CU10" i="2"/>
  <c r="CT10" i="2"/>
  <c r="CS10" i="2"/>
  <c r="CR10" i="2"/>
  <c r="CR22" i="2" s="1"/>
  <c r="CQ10" i="2"/>
  <c r="CP10" i="2"/>
  <c r="CP22" i="2" s="1"/>
  <c r="CO10" i="2"/>
  <c r="CO22" i="2" s="1"/>
  <c r="CN10" i="2"/>
  <c r="CM10" i="2"/>
  <c r="CL10" i="2"/>
  <c r="CK10" i="2"/>
  <c r="CJ10" i="2"/>
  <c r="CJ22" i="2" s="1"/>
  <c r="CI10" i="2"/>
  <c r="CY9" i="2"/>
  <c r="DB9" i="2" s="1"/>
  <c r="DC9" i="2" s="1"/>
  <c r="DD9" i="2" s="1"/>
  <c r="DE9" i="2" s="1"/>
  <c r="DF9" i="2" s="1"/>
  <c r="DG9" i="2" s="1"/>
  <c r="DH9" i="2" s="1"/>
  <c r="DI9" i="2" s="1"/>
  <c r="DJ9" i="2" s="1"/>
  <c r="CX9" i="2"/>
  <c r="CW9" i="2"/>
  <c r="CW21" i="2" s="1"/>
  <c r="CV9" i="2"/>
  <c r="CU9" i="2"/>
  <c r="CT9" i="2"/>
  <c r="CS9" i="2"/>
  <c r="CS21" i="2" s="1"/>
  <c r="CR9" i="2"/>
  <c r="CQ9" i="2"/>
  <c r="CQ21" i="2" s="1"/>
  <c r="CP9" i="2"/>
  <c r="CO9" i="2"/>
  <c r="CO21" i="2" s="1"/>
  <c r="CN9" i="2"/>
  <c r="CM9" i="2"/>
  <c r="CL9" i="2"/>
  <c r="CK9" i="2"/>
  <c r="CK21" i="2" s="1"/>
  <c r="CJ9" i="2"/>
  <c r="CI9" i="2"/>
  <c r="CY8" i="2"/>
  <c r="DB8" i="2" s="1"/>
  <c r="DC8" i="2" s="1"/>
  <c r="DD8" i="2" s="1"/>
  <c r="DE8" i="2" s="1"/>
  <c r="DF8" i="2" s="1"/>
  <c r="DG8" i="2" s="1"/>
  <c r="DH8" i="2" s="1"/>
  <c r="DI8" i="2" s="1"/>
  <c r="DJ8" i="2" s="1"/>
  <c r="CX8" i="2"/>
  <c r="CW8" i="2"/>
  <c r="CV8" i="2"/>
  <c r="CU8" i="2"/>
  <c r="CT8" i="2"/>
  <c r="CT20" i="2" s="1"/>
  <c r="CS8" i="2"/>
  <c r="CR8" i="2"/>
  <c r="CR20" i="2" s="1"/>
  <c r="CQ8" i="2"/>
  <c r="CQ20" i="2" s="1"/>
  <c r="CP8" i="2"/>
  <c r="CO8" i="2"/>
  <c r="CN8" i="2"/>
  <c r="CM8" i="2"/>
  <c r="CL8" i="2"/>
  <c r="CL20" i="2" s="1"/>
  <c r="CK8" i="2"/>
  <c r="CJ8" i="2"/>
  <c r="CJ20" i="2" s="1"/>
  <c r="CI8" i="2"/>
  <c r="CY7" i="2"/>
  <c r="DB7" i="2" s="1"/>
  <c r="DC7" i="2" s="1"/>
  <c r="DD7" i="2" s="1"/>
  <c r="DE7" i="2" s="1"/>
  <c r="DF7" i="2" s="1"/>
  <c r="DG7" i="2" s="1"/>
  <c r="DH7" i="2" s="1"/>
  <c r="DI7" i="2" s="1"/>
  <c r="DJ7" i="2" s="1"/>
  <c r="CX7" i="2"/>
  <c r="CW7" i="2"/>
  <c r="CV7" i="2"/>
  <c r="CU7" i="2"/>
  <c r="CU19" i="2" s="1"/>
  <c r="CT7" i="2"/>
  <c r="CS7" i="2"/>
  <c r="CS19" i="2" s="1"/>
  <c r="CR7" i="2"/>
  <c r="CQ7" i="2"/>
  <c r="CP7" i="2"/>
  <c r="CO7" i="2"/>
  <c r="CN7" i="2"/>
  <c r="CM7" i="2"/>
  <c r="CM19" i="2" s="1"/>
  <c r="CL7" i="2"/>
  <c r="CK7" i="2"/>
  <c r="CK19" i="2" s="1"/>
  <c r="CJ7" i="2"/>
  <c r="CI7" i="2"/>
  <c r="CY6" i="2"/>
  <c r="CX6" i="2"/>
  <c r="CW6" i="2"/>
  <c r="CV6" i="2"/>
  <c r="CV18" i="2" s="1"/>
  <c r="CU6" i="2"/>
  <c r="CT6" i="2"/>
  <c r="CT18" i="2" s="1"/>
  <c r="CS6" i="2"/>
  <c r="CS18" i="2" s="1"/>
  <c r="CR6" i="2"/>
  <c r="CQ6" i="2"/>
  <c r="CP6" i="2"/>
  <c r="CO6" i="2"/>
  <c r="CN6" i="2"/>
  <c r="CN18" i="2" s="1"/>
  <c r="CM6" i="2"/>
  <c r="CL6" i="2"/>
  <c r="CL18" i="2" s="1"/>
  <c r="CK6" i="2"/>
  <c r="CK18" i="2" s="1"/>
  <c r="CJ6" i="2"/>
  <c r="CI6" i="2"/>
  <c r="CY5" i="2"/>
  <c r="DB5" i="2" s="1"/>
  <c r="DC5" i="2" s="1"/>
  <c r="DD5" i="2" s="1"/>
  <c r="DE5" i="2" s="1"/>
  <c r="DF5" i="2" s="1"/>
  <c r="DG5" i="2" s="1"/>
  <c r="DH5" i="2" s="1"/>
  <c r="DI5" i="2" s="1"/>
  <c r="DJ5" i="2" s="1"/>
  <c r="CX5" i="2"/>
  <c r="CW5" i="2"/>
  <c r="CW17" i="2" s="1"/>
  <c r="CV5" i="2"/>
  <c r="CU5" i="2"/>
  <c r="CU17" i="2" s="1"/>
  <c r="CT5" i="2"/>
  <c r="CT17" i="2" s="1"/>
  <c r="CS5" i="2"/>
  <c r="CR5" i="2"/>
  <c r="CQ5" i="2"/>
  <c r="CP5" i="2"/>
  <c r="CO5" i="2"/>
  <c r="CO17" i="2" s="1"/>
  <c r="CN5" i="2"/>
  <c r="CM5" i="2"/>
  <c r="CM17" i="2" s="1"/>
  <c r="CL5" i="2"/>
  <c r="CL17" i="2" s="1"/>
  <c r="CK5" i="2"/>
  <c r="CJ5" i="2"/>
  <c r="CI5" i="2"/>
  <c r="CV4" i="2"/>
  <c r="CX4" i="2"/>
  <c r="CY4" i="2"/>
  <c r="DB4" i="2" s="1"/>
  <c r="DC4" i="2" s="1"/>
  <c r="DD4" i="2" s="1"/>
  <c r="DE4" i="2" s="1"/>
  <c r="DF4" i="2" s="1"/>
  <c r="DG4" i="2" s="1"/>
  <c r="DH4" i="2" s="1"/>
  <c r="DI4" i="2" s="1"/>
  <c r="DJ4" i="2" s="1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O187" i="3"/>
  <c r="S213" i="3" s="1"/>
  <c r="S214" i="3" s="1"/>
  <c r="C5" i="1"/>
  <c r="S215" i="3" l="1"/>
  <c r="DE89" i="2" s="1"/>
  <c r="DE91" i="2" s="1"/>
  <c r="C8" i="1"/>
  <c r="DE82" i="2"/>
  <c r="CN17" i="2"/>
  <c r="CV17" i="2"/>
  <c r="CM18" i="2"/>
  <c r="CU18" i="2"/>
  <c r="CL19" i="2"/>
  <c r="CT19" i="2"/>
  <c r="CK20" i="2"/>
  <c r="CS20" i="2"/>
  <c r="CJ21" i="2"/>
  <c r="CR21" i="2"/>
  <c r="CQ22" i="2"/>
  <c r="CP23" i="2"/>
  <c r="CX23" i="2"/>
  <c r="CW24" i="2"/>
  <c r="CN25" i="2"/>
  <c r="CV25" i="2"/>
  <c r="CM26" i="2"/>
  <c r="CU26" i="2"/>
  <c r="CW14" i="2"/>
  <c r="CY14" i="2"/>
  <c r="CZ16" i="2"/>
  <c r="CZ24" i="2"/>
  <c r="CZ17" i="2"/>
  <c r="CZ25" i="2"/>
  <c r="CX17" i="2"/>
  <c r="CN19" i="2"/>
  <c r="CV19" i="2"/>
  <c r="CM20" i="2"/>
  <c r="CU20" i="2"/>
  <c r="CL21" i="2"/>
  <c r="CT21" i="2"/>
  <c r="CK22" i="2"/>
  <c r="CS22" i="2"/>
  <c r="CJ23" i="2"/>
  <c r="CR23" i="2"/>
  <c r="CP25" i="2"/>
  <c r="CX25" i="2"/>
  <c r="CZ18" i="2"/>
  <c r="CZ26" i="2"/>
  <c r="CP17" i="2"/>
  <c r="CW19" i="2"/>
  <c r="BF46" i="2"/>
  <c r="BF48" i="2" s="1"/>
  <c r="BJ26" i="2"/>
  <c r="CO20" i="2"/>
  <c r="CW20" i="2"/>
  <c r="CX14" i="2"/>
  <c r="DE79" i="2"/>
  <c r="DG80" i="2" s="1"/>
  <c r="CZ28" i="2"/>
  <c r="DB3" i="2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CN20" i="2"/>
  <c r="CL22" i="2"/>
  <c r="CR24" i="2"/>
  <c r="CN21" i="2"/>
  <c r="CK24" i="2"/>
  <c r="CQ17" i="2"/>
  <c r="CJ24" i="2"/>
  <c r="CR17" i="2"/>
  <c r="CX19" i="2"/>
  <c r="CM22" i="2"/>
  <c r="CJ25" i="2"/>
  <c r="BH26" i="2"/>
  <c r="CK17" i="2"/>
  <c r="CS17" i="2"/>
  <c r="CJ18" i="2"/>
  <c r="CR18" i="2"/>
  <c r="CQ19" i="2"/>
  <c r="CP20" i="2"/>
  <c r="CX20" i="2"/>
  <c r="CN22" i="2"/>
  <c r="CV22" i="2"/>
  <c r="CM23" i="2"/>
  <c r="CU23" i="2"/>
  <c r="CL24" i="2"/>
  <c r="CT24" i="2"/>
  <c r="CK25" i="2"/>
  <c r="CS25" i="2"/>
  <c r="CJ26" i="2"/>
  <c r="CR26" i="2"/>
  <c r="BG46" i="2"/>
  <c r="BG48" i="2" s="1"/>
  <c r="BP46" i="2"/>
  <c r="BI26" i="2"/>
  <c r="CO19" i="2"/>
  <c r="CP18" i="2"/>
  <c r="CV20" i="2"/>
  <c r="CK23" i="2"/>
  <c r="CP26" i="2"/>
  <c r="BG26" i="2"/>
  <c r="CY18" i="2"/>
  <c r="CU22" i="2"/>
  <c r="CS24" i="2"/>
  <c r="CJ19" i="2"/>
  <c r="CR19" i="2"/>
  <c r="CP21" i="2"/>
  <c r="CX21" i="2"/>
  <c r="CN23" i="2"/>
  <c r="CV23" i="2"/>
  <c r="CM24" i="2"/>
  <c r="CU24" i="2"/>
  <c r="CL25" i="2"/>
  <c r="CT25" i="2"/>
  <c r="CK26" i="2"/>
  <c r="CS26" i="2"/>
  <c r="BH46" i="2"/>
  <c r="BH48" i="2" s="1"/>
  <c r="CV14" i="2"/>
  <c r="CV26" i="2" s="1"/>
  <c r="CP19" i="2"/>
  <c r="CL23" i="2"/>
  <c r="CR25" i="2"/>
  <c r="BO46" i="2"/>
  <c r="BO48" i="2" s="1"/>
  <c r="CX22" i="2"/>
  <c r="BI46" i="2"/>
  <c r="BI48" i="2" s="1"/>
  <c r="CX18" i="2"/>
  <c r="CM21" i="2"/>
  <c r="CT22" i="2"/>
  <c r="CQ25" i="2"/>
  <c r="CQ18" i="2"/>
  <c r="CV21" i="2"/>
  <c r="CT23" i="2"/>
  <c r="CQ26" i="2"/>
  <c r="CU21" i="2"/>
  <c r="CS23" i="2"/>
  <c r="CJ17" i="2"/>
  <c r="BN26" i="2"/>
  <c r="BV29" i="2"/>
  <c r="CW18" i="2"/>
  <c r="CO26" i="2"/>
  <c r="CK16" i="2"/>
  <c r="CY17" i="2"/>
  <c r="CY19" i="2"/>
  <c r="CY20" i="2"/>
  <c r="CY21" i="2"/>
  <c r="CY22" i="2"/>
  <c r="CY23" i="2"/>
  <c r="CY24" i="2"/>
  <c r="CY25" i="2"/>
  <c r="CU46" i="2"/>
  <c r="BC46" i="2"/>
  <c r="CV46" i="2" s="1"/>
  <c r="BK46" i="2"/>
  <c r="BC26" i="2"/>
  <c r="BK26" i="2"/>
  <c r="BS26" i="2"/>
  <c r="BV28" i="2"/>
  <c r="CM16" i="2"/>
  <c r="CU16" i="2"/>
  <c r="BT26" i="2"/>
  <c r="CO18" i="2"/>
  <c r="BO26" i="2"/>
  <c r="BA48" i="2"/>
  <c r="BV46" i="2"/>
  <c r="BV48" i="2" s="1"/>
  <c r="CY26" i="2"/>
  <c r="BQ48" i="2"/>
  <c r="CW46" i="2"/>
  <c r="CX26" i="2"/>
  <c r="CN16" i="2"/>
  <c r="CQ16" i="2"/>
  <c r="CV16" i="2"/>
  <c r="CL16" i="2"/>
  <c r="CT16" i="2"/>
  <c r="CR16" i="2"/>
  <c r="CS16" i="2"/>
  <c r="CJ16" i="2"/>
  <c r="CW16" i="2"/>
  <c r="CO16" i="2"/>
  <c r="CP16" i="2"/>
  <c r="CX16" i="2"/>
  <c r="DB6" i="2"/>
  <c r="DC6" i="2" s="1"/>
  <c r="DD6" i="2" s="1"/>
  <c r="DE6" i="2" s="1"/>
  <c r="DF6" i="2" s="1"/>
  <c r="DG6" i="2" s="1"/>
  <c r="DH6" i="2" s="1"/>
  <c r="DI6" i="2" s="1"/>
  <c r="DJ6" i="2" s="1"/>
  <c r="DJ14" i="2" s="1"/>
  <c r="CY16" i="2"/>
  <c r="CY28" i="2"/>
  <c r="S209" i="3"/>
  <c r="S210" i="3"/>
  <c r="S211" i="3"/>
  <c r="AA232" i="3" s="1"/>
  <c r="S212" i="3"/>
  <c r="DJ81" i="2" l="1"/>
  <c r="DJ82" i="2" s="1"/>
  <c r="DJ84" i="2" s="1"/>
  <c r="DJ86" i="2" s="1"/>
  <c r="DJ88" i="2" s="1"/>
  <c r="DK88" i="2" s="1"/>
  <c r="DI89" i="2" a="1"/>
  <c r="DE84" i="2"/>
  <c r="DE83" i="2"/>
  <c r="BP48" i="2"/>
  <c r="CW26" i="2"/>
  <c r="CY46" i="2"/>
  <c r="BK48" i="2"/>
  <c r="CX46" i="2"/>
  <c r="BC48" i="2"/>
  <c r="DF14" i="2"/>
  <c r="DG14" i="2"/>
  <c r="DI14" i="2"/>
  <c r="DC14" i="2"/>
  <c r="DH14" i="2"/>
  <c r="DD14" i="2"/>
  <c r="DB14" i="2"/>
  <c r="DB26" i="2" s="1"/>
  <c r="DE14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DD26" i="2" l="1"/>
  <c r="DE26" i="2"/>
  <c r="DF26" i="2"/>
  <c r="DE98" i="2"/>
  <c r="DG26" i="2"/>
  <c r="DI26" i="2"/>
  <c r="DH26" i="2"/>
  <c r="DJ26" i="2"/>
  <c r="D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<sst xmlns="http://schemas.openxmlformats.org/spreadsheetml/2006/main" count="246" uniqueCount="211">
  <si>
    <t>[Ticker]</t>
  </si>
  <si>
    <t xml:space="preserve">Price </t>
  </si>
  <si>
    <t>SO</t>
  </si>
  <si>
    <t>MC</t>
  </si>
  <si>
    <t>Cash</t>
  </si>
  <si>
    <t>Debt</t>
  </si>
  <si>
    <t>EV</t>
  </si>
  <si>
    <t>[Company Name]</t>
  </si>
  <si>
    <t>Founded:</t>
  </si>
  <si>
    <t>Headquarters:</t>
  </si>
  <si>
    <t>Current CEO:</t>
  </si>
  <si>
    <t>Employees:</t>
  </si>
  <si>
    <t>Registered Exchange:</t>
  </si>
  <si>
    <t>Investor Relations Contact:</t>
  </si>
  <si>
    <t>SEC filings</t>
  </si>
  <si>
    <t>Godel Terminal</t>
  </si>
  <si>
    <t>Company Overview:</t>
  </si>
  <si>
    <t>[description of business, markets, products, employees, initiatives etc.] (general)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</si>
  <si>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</si>
  <si>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</si>
  <si>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</si>
  <si>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</si>
  <si>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</si>
  <si>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</si>
  <si>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</si>
  <si>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</si>
  <si>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</si>
  <si>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</si>
  <si>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</si>
  <si>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</si>
  <si>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</si>
  <si>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</si>
  <si>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</si>
  <si>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</si>
  <si>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</si>
  <si>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</si>
  <si>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</si>
  <si>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</si>
  <si>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</si>
  <si>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</si>
  <si>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</si>
  <si>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</si>
  <si>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</si>
  <si>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</si>
  <si>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</si>
  <si>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</si>
  <si>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</si>
  <si>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</si>
  <si>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</si>
  <si>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</si>
  <si>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</si>
  <si>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</si>
  <si>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</si>
  <si>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</si>
  <si>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</si>
  <si>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</si>
  <si>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</si>
  <si>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</si>
  <si>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</si>
  <si>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</si>
  <si>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</si>
  <si>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</si>
  <si>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</si>
  <si>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</si>
  <si>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</si>
  <si>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</si>
  <si>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</si>
  <si>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</si>
  <si>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</si>
  <si>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</si>
  <si>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</si>
  <si>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</si>
  <si>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</si>
  <si>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</si>
  <si>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</si>
  <si>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</si>
  <si>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</si>
  <si>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</si>
  <si>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</si>
  <si>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</si>
  <si>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</si>
  <si>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</si>
  <si>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</si>
  <si>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</si>
  <si>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</si>
  <si>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</si>
  <si>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</si>
  <si>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</si>
  <si>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</si>
  <si>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</si>
  <si>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</si>
  <si>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</si>
  <si>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</si>
  <si>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</si>
  <si>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</si>
  <si>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</si>
  <si>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</si>
  <si>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</si>
  <si>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</si>
  <si>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</si>
  <si>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</si>
  <si>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</si>
  <si>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</si>
  <si>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</si>
  <si>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</si>
  <si>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</si>
  <si>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</si>
  <si>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</si>
  <si>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</si>
  <si>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</si>
  <si>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</si>
  <si>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</si>
  <si>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</si>
  <si>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</si>
  <si>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</si>
  <si>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</si>
  <si>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</si>
  <si>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</si>
  <si>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</si>
  <si>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</si>
  <si>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</si>
  <si>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</si>
  <si>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</si>
  <si>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</si>
  <si>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</si>
  <si>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</si>
  <si>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</si>
  <si>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</si>
  <si>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</si>
  <si>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</si>
  <si>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</si>
  <si>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</si>
  <si>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</si>
  <si>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</si>
  <si>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</si>
  <si>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</si>
  <si>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</si>
  <si>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</si>
  <si>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</si>
  <si>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 xml:space="preserve">Sector: </t>
  </si>
  <si>
    <t xml:space="preserve">Industry: </t>
  </si>
  <si>
    <t>https://www.sec.gov/edgar/browse/?CIK=310764&amp;owner=exclude</t>
  </si>
  <si>
    <t>https://abc.xyz/investor/</t>
  </si>
  <si>
    <t>Earnings Calls</t>
  </si>
  <si>
    <t>Equity Analysis</t>
  </si>
  <si>
    <t>https://stockanalysis.com/stocks/googl/</t>
  </si>
  <si>
    <t>https://app.godelterminal.com/</t>
  </si>
  <si>
    <t>[Change for specific company]</t>
  </si>
  <si>
    <t>IPO: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</si>
  <si>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</si>
  <si>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</si>
  <si>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</si>
  <si>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</si>
  <si>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</si>
  <si>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</si>
  <si>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</si>
  <si>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</si>
  <si>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</si>
  <si>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https://www.investing.com/news/transcripts/earnings-call-transcript-teleflex-q2-2025-earnings-beat-boosts-stock-93CH-4163612</t>
  </si>
  <si>
    <t>Company IR Page</t>
  </si>
  <si>
    <t>Company Homepage</t>
  </si>
  <si>
    <t>MacroTrends</t>
  </si>
  <si>
    <t>ROIC, WACC</t>
  </si>
  <si>
    <t>https://www.gurufocus.com/term/wacc/TFX</t>
  </si>
  <si>
    <t>https://www.macrotrends.net/stocks/charts/TFX/teleflex/cash-flow-statement?freq=Q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</si>
  <si>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</si>
  <si>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</si>
  <si>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</si>
  <si>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</si>
  <si>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</si>
  <si>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</si>
  <si>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</si>
  <si>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</si>
  <si>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</si>
  <si>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</si>
  <si>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</si>
  <si>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</si>
  <si>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</si>
  <si>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Fiscal Year: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</si>
  <si>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</si>
  <si>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</si>
  <si>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</si>
  <si>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</si>
  <si>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</si>
  <si>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</si>
  <si>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</si>
  <si>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</si>
  <si>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</si>
  <si>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</si>
  <si>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</si>
  <si>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</si>
  <si>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</si>
  <si>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</si>
  <si>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</si>
  <si>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</si>
  <si>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</si>
  <si>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</si>
  <si>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</si>
  <si>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</si>
  <si>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</si>
  <si>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</si>
  <si>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</si>
  <si>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</si>
  <si>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</si>
  <si>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</si>
  <si>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</si>
  <si>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</si>
  <si>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</si>
  <si>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Q1 2026</t>
  </si>
  <si>
    <t>Q2'26</t>
  </si>
  <si>
    <t>8/13/2026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</si>
</sst>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165" fontId="2" fillId="0" borderId="0" xfId="1" applyNumberFormat="1" applyFont="1"/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1-Day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Return Histogram + Normal Distribution Overlay</a:t>
            </a:r>
          </a:p>
        </c:rich>
      </c:tx>
      <c:layout>
        <c:manualLayout>
          <c:xMode val="edge"/>
          <c:yMode val="edge"/>
          <c:x val="0.20889544553558131"/>
          <c:y val="1.626985346325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(TDY)</a:t>
            </a:r>
            <a:r>
              <a:rPr lang="en-US" baseline="0"/>
              <a:t> Customer Mix Chart: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492641934959"/>
          <c:y val="0.17644407257262365"/>
          <c:w val="0.82176439166326731"/>
          <c:h val="0.73799508851037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[3]Model!$B$21</c:f>
              <c:strCache>
                <c:ptCount val="1"/>
                <c:pt idx="0">
                  <c:v>U.S. Government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[3]Model!$AY$29:$BP$29</c:f>
              <c:numCache>
                <c:formatCode>General</c:formatCode>
                <c:ptCount val="18"/>
                <c:pt idx="0">
                  <c:v>0.23482210446631338</c:v>
                </c:pt>
                <c:pt idx="1">
                  <c:v>0.2532084378226877</c:v>
                </c:pt>
                <c:pt idx="2">
                  <c:v>0.25498679964799065</c:v>
                </c:pt>
                <c:pt idx="3">
                  <c:v>0.25292624453532647</c:v>
                </c:pt>
                <c:pt idx="4">
                  <c:v>0.22518614906383286</c:v>
                </c:pt>
                <c:pt idx="5">
                  <c:v>0.22236260265319013</c:v>
                </c:pt>
                <c:pt idx="6">
                  <c:v>0.25012477718360071</c:v>
                </c:pt>
                <c:pt idx="7">
                  <c:v>0.28252631578947363</c:v>
                </c:pt>
                <c:pt idx="8">
                  <c:v>0.22413154581142142</c:v>
                </c:pt>
                <c:pt idx="9">
                  <c:v>0.22421948912015141</c:v>
                </c:pt>
                <c:pt idx="10">
                  <c:v>0.24897817803948735</c:v>
                </c:pt>
                <c:pt idx="11">
                  <c:v>0.2709179258470345</c:v>
                </c:pt>
                <c:pt idx="12">
                  <c:v>0.25643147803296784</c:v>
                </c:pt>
                <c:pt idx="13">
                  <c:v>0.25071018035277798</c:v>
                </c:pt>
                <c:pt idx="14">
                  <c:v>0.25787593374472229</c:v>
                </c:pt>
                <c:pt idx="15">
                  <c:v>0.25497736153321349</c:v>
                </c:pt>
                <c:pt idx="16">
                  <c:v>0.25966284212550478</c:v>
                </c:pt>
                <c:pt idx="17">
                  <c:v>0.25377443609022554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44D-8805-E34312DE5FF5}"/>
            </c:ext>
          </c:extLst>
        </c:ser>
        <c:ser>
          <c:idx val="1"/>
          <c:order val="1"/>
          <c:tx>
            <c:strRef>
              <c:f>[3]Model!$B$22</c:f>
              <c:strCache>
                <c:ptCount val="1"/>
                <c:pt idx="0">
                  <c:v>Commercial &amp; Other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[3]Model!$AY$30:$BP$30</c:f>
              <c:numCache>
                <c:formatCode>General</c:formatCode>
                <c:ptCount val="18"/>
                <c:pt idx="0">
                  <c:v>0.76517789553368654</c:v>
                </c:pt>
                <c:pt idx="1">
                  <c:v>0.74679156217731235</c:v>
                </c:pt>
                <c:pt idx="2">
                  <c:v>0.74501320035200946</c:v>
                </c:pt>
                <c:pt idx="3">
                  <c:v>0.74707375546467347</c:v>
                </c:pt>
                <c:pt idx="4">
                  <c:v>0.77481385093616717</c:v>
                </c:pt>
                <c:pt idx="5">
                  <c:v>0.77763739734680992</c:v>
                </c:pt>
                <c:pt idx="6">
                  <c:v>0.74987522281639929</c:v>
                </c:pt>
                <c:pt idx="7">
                  <c:v>0.71747368421052637</c:v>
                </c:pt>
                <c:pt idx="8">
                  <c:v>0.77586845418857864</c:v>
                </c:pt>
                <c:pt idx="9">
                  <c:v>0.77578051087984867</c:v>
                </c:pt>
                <c:pt idx="10">
                  <c:v>0.75102182196051259</c:v>
                </c:pt>
                <c:pt idx="11">
                  <c:v>0.72908207415296544</c:v>
                </c:pt>
                <c:pt idx="12">
                  <c:v>0.74356852196703227</c:v>
                </c:pt>
                <c:pt idx="13">
                  <c:v>0.74928981964722208</c:v>
                </c:pt>
                <c:pt idx="14">
                  <c:v>0.74212406625527771</c:v>
                </c:pt>
                <c:pt idx="15">
                  <c:v>0.74502263846678651</c:v>
                </c:pt>
                <c:pt idx="16">
                  <c:v>0.74033715787449528</c:v>
                </c:pt>
                <c:pt idx="17">
                  <c:v>0.74622556390977435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E-444D-8805-E34312DE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718351"/>
        <c:axId val="1852422639"/>
      </c:barChart>
      <c:catAx>
        <c:axId val="185771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22639"/>
        <c:crosses val="autoZero"/>
        <c:auto val="1"/>
        <c:lblAlgn val="ctr"/>
        <c:lblOffset val="100"/>
        <c:noMultiLvlLbl val="0"/>
      </c:catAx>
      <c:valAx>
        <c:axId val="1852422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871452550721"/>
          <c:y val="8.7475275455283039E-2"/>
          <c:w val="0.66562845214696642"/>
          <c:h val="8.290593705958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593911</xdr:colOff>
      <xdr:row>0</xdr:row>
      <xdr:rowOff>0</xdr:rowOff>
    </xdr:from>
    <xdr:to>
      <xdr:col>75</xdr:col>
      <xdr:colOff>593911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7412087" y="0"/>
          <a:ext cx="0" cy="23404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0</xdr:colOff>
      <xdr:row>0</xdr:row>
      <xdr:rowOff>0</xdr:rowOff>
    </xdr:from>
    <xdr:to>
      <xdr:col>105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971706" y="0"/>
          <a:ext cx="0" cy="231491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69</xdr:row>
      <xdr:rowOff>0</xdr:rowOff>
    </xdr:from>
    <xdr:to>
      <xdr:col>39</xdr:col>
      <xdr:colOff>0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5F3C6-E3BA-4823-97B1-522A94E0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Industrials\TDY_Model.xlsx" TargetMode="External"/><Relationship Id="rId1" Type="http://schemas.openxmlformats.org/officeDocument/2006/relationships/externalLinkPath" Target="file:///C:\Users\User\OneDrive\Desktop\Equity%20Research\Models\Industrials\TDY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Economics"/>
      <sheetName val="Management"/>
      <sheetName val="Table Formatting"/>
    </sheetNames>
    <sheetDataSet>
      <sheetData sheetId="0">
        <row r="3">
          <cell r="C3">
            <v>606.80999999999995</v>
          </cell>
        </row>
      </sheetData>
      <sheetData sheetId="1">
        <row r="3">
          <cell r="AY3" t="str">
            <v>Q1 2022</v>
          </cell>
          <cell r="AZ3" t="str">
            <v>Q2 2022</v>
          </cell>
          <cell r="BA3" t="str">
            <v>Q3 2022</v>
          </cell>
          <cell r="BB3" t="str">
            <v>Q4 2022</v>
          </cell>
          <cell r="BC3" t="str">
            <v>Q1 2023</v>
          </cell>
          <cell r="BD3" t="str">
            <v>Q2 2023</v>
          </cell>
          <cell r="BE3" t="str">
            <v>Q3 2023</v>
          </cell>
          <cell r="BF3" t="str">
            <v>Q4 2023</v>
          </cell>
          <cell r="BG3" t="str">
            <v>Q1 2024</v>
          </cell>
          <cell r="BH3" t="str">
            <v>Q2 2024</v>
          </cell>
          <cell r="BI3" t="str">
            <v>Q3 2024</v>
          </cell>
          <cell r="BJ3" t="str">
            <v>Q4 2024</v>
          </cell>
          <cell r="BK3" t="str">
            <v>Q1 2025</v>
          </cell>
          <cell r="BL3" t="str">
            <v>Q2 2025</v>
          </cell>
          <cell r="BM3" t="str">
            <v>Q3 2025</v>
          </cell>
          <cell r="BN3" t="str">
            <v>Q4 2025</v>
          </cell>
          <cell r="BO3" t="str">
            <v>Q1 2026</v>
          </cell>
          <cell r="BP3" t="str">
            <v>Q2 2026</v>
          </cell>
        </row>
        <row r="21">
          <cell r="B21" t="str">
            <v>U.S. Government</v>
          </cell>
        </row>
        <row r="22">
          <cell r="B22" t="str">
            <v xml:space="preserve">Commercial &amp; Other </v>
          </cell>
        </row>
        <row r="29">
          <cell r="AY29">
            <v>0.23482210446631338</v>
          </cell>
          <cell r="AZ29">
            <v>0.2532084378226877</v>
          </cell>
          <cell r="BA29">
            <v>0.25498679964799065</v>
          </cell>
          <cell r="BB29">
            <v>0.25292624453532647</v>
          </cell>
          <cell r="BC29">
            <v>0.22518614906383286</v>
          </cell>
          <cell r="BD29">
            <v>0.22236260265319013</v>
          </cell>
          <cell r="BE29">
            <v>0.25012477718360071</v>
          </cell>
          <cell r="BF29">
            <v>0.28252631578947363</v>
          </cell>
          <cell r="BG29">
            <v>0.22413154581142142</v>
          </cell>
          <cell r="BH29">
            <v>0.22421948912015141</v>
          </cell>
          <cell r="BI29">
            <v>0.24897817803948735</v>
          </cell>
          <cell r="BJ29">
            <v>0.2709179258470345</v>
          </cell>
          <cell r="BK29">
            <v>0.25643147803296784</v>
          </cell>
          <cell r="BL29">
            <v>0.25071018035277798</v>
          </cell>
          <cell r="BM29">
            <v>0.25787593374472229</v>
          </cell>
          <cell r="BN29">
            <v>0.25497736153321349</v>
          </cell>
          <cell r="BO29">
            <v>0.25966284212550478</v>
          </cell>
          <cell r="BP29">
            <v>0.25377443609022554</v>
          </cell>
        </row>
        <row r="30">
          <cell r="AY30">
            <v>0.76517789553368654</v>
          </cell>
          <cell r="AZ30">
            <v>0.74679156217731235</v>
          </cell>
          <cell r="BA30">
            <v>0.74501320035200946</v>
          </cell>
          <cell r="BB30">
            <v>0.74707375546467347</v>
          </cell>
          <cell r="BC30">
            <v>0.77481385093616717</v>
          </cell>
          <cell r="BD30">
            <v>0.77763739734680992</v>
          </cell>
          <cell r="BE30">
            <v>0.74987522281639929</v>
          </cell>
          <cell r="BF30">
            <v>0.71747368421052637</v>
          </cell>
          <cell r="BG30">
            <v>0.77586845418857864</v>
          </cell>
          <cell r="BH30">
            <v>0.77578051087984867</v>
          </cell>
          <cell r="BI30">
            <v>0.75102182196051259</v>
          </cell>
          <cell r="BJ30">
            <v>0.72908207415296544</v>
          </cell>
          <cell r="BK30">
            <v>0.74356852196703227</v>
          </cell>
          <cell r="BL30">
            <v>0.74928981964722208</v>
          </cell>
          <cell r="BM30">
            <v>0.74212406625527771</v>
          </cell>
          <cell r="BN30">
            <v>0.74502263846678651</v>
          </cell>
          <cell r="BO30">
            <v>0.74033715787449528</v>
          </cell>
          <cell r="BP30">
            <v>0.74622556390977435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googl/" TargetMode="Externa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hyperlink" Target="https://www.macrotrends.net/stocks/charts/TFX/teleflex/cash-flow-statement?freq=Q" TargetMode="External"/><Relationship Id="rId5" Type="http://schemas.openxmlformats.org/officeDocument/2006/relationships/hyperlink" Target="https://www.gurufocus.com/term/wacc/TFX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abSelected="1" workbookViewId="0">
      <selection activeCell="A9" sqref="A1:XFD1048576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0</v>
      </c>
    </row>
    <row r="3" spans="2:18">
      <c r="B3" s="1" t="s">
        <v>1</v>
      </c>
      <c r="C3" s="82">
        <v>0</v>
      </c>
      <c r="D3" s="44" t="s">
        <v>210</v>
      </c>
    </row>
    <row r="4" spans="2:18">
      <c r="B4" s="1" t="s">
        <v>2</v>
      </c>
      <c r="C4" s="83">
        <v>0</v>
      </c>
      <c r="D4" s="1" t="s">
        <v>209</v>
      </c>
    </row>
    <row r="5" spans="2:18">
      <c r="B5" s="1" t="s">
        <v>3</v>
      </c>
      <c r="C5" s="84">
        <f>C3*C4</f>
        <v>0</v>
      </c>
    </row>
    <row r="6" spans="2:18">
      <c r="B6" s="1" t="s">
        <v>4</v>
      </c>
      <c r="C6" s="84">
        <v>0</v>
      </c>
      <c r="D6" s="1" t="s">
        <v>209</v>
      </c>
    </row>
    <row r="7" spans="2:18">
      <c r="B7" s="1" t="s">
        <v>5</v>
      </c>
      <c r="C7" s="84">
        <v>0</v>
      </c>
      <c r="D7" s="1" t="s">
        <v>209</v>
      </c>
    </row>
    <row r="8" spans="2:18">
      <c r="B8" s="1" t="s">
        <v>6</v>
      </c>
      <c r="C8" s="84">
        <f>C5-C6+C7</f>
        <v>0</v>
      </c>
    </row>
    <row r="10" spans="2:18" ht="15">
      <c r="B10" s="2" t="s">
        <v>7</v>
      </c>
    </row>
    <row r="12" spans="2:18" ht="15">
      <c r="B12" s="1" t="s">
        <v>150</v>
      </c>
      <c r="F12" s="1" t="s">
        <v>12</v>
      </c>
      <c r="N12" s="1" t="s">
        <v>155</v>
      </c>
      <c r="Q12" s="2" t="s">
        <v>147</v>
      </c>
    </row>
    <row r="13" spans="2:18">
      <c r="B13" s="1" t="s">
        <v>8</v>
      </c>
      <c r="F13" s="1" t="s">
        <v>149</v>
      </c>
      <c r="N13" s="1" t="s">
        <v>14</v>
      </c>
      <c r="Q13" s="45" t="s">
        <v>141</v>
      </c>
    </row>
    <row r="14" spans="2:18">
      <c r="B14" s="1" t="s">
        <v>9</v>
      </c>
      <c r="F14" s="1" t="s">
        <v>13</v>
      </c>
      <c r="N14" s="1" t="s">
        <v>160</v>
      </c>
    </row>
    <row r="15" spans="2:18">
      <c r="B15" s="1" t="s">
        <v>10</v>
      </c>
      <c r="F15" s="1" t="s">
        <v>151</v>
      </c>
      <c r="O15" s="1" t="s">
        <v>159</v>
      </c>
      <c r="R15" s="45" t="s">
        <v>142</v>
      </c>
    </row>
    <row r="16" spans="2:18">
      <c r="B16" s="1" t="s">
        <v>11</v>
      </c>
      <c r="F16" s="1" t="s">
        <v>135</v>
      </c>
      <c r="I16" s="1" t="s">
        <v>136</v>
      </c>
      <c r="N16" s="1" t="s">
        <v>143</v>
      </c>
      <c r="Q16" s="45" t="s">
        <v>158</v>
      </c>
    </row>
    <row r="17" spans="1:17">
      <c r="B17" s="1" t="s">
        <v>140</v>
      </c>
      <c r="N17" s="1" t="s">
        <v>144</v>
      </c>
      <c r="Q17" s="45" t="s">
        <v>145</v>
      </c>
    </row>
    <row r="18" spans="1:17">
      <c r="B18" s="1" t="s">
        <v>139</v>
      </c>
      <c r="N18" s="1" t="s">
        <v>161</v>
      </c>
      <c r="Q18" s="45" t="s">
        <v>164</v>
      </c>
    </row>
    <row r="19" spans="1:17">
      <c r="B19" s="1" t="s">
        <v>148</v>
      </c>
      <c r="N19" s="1" t="s">
        <v>162</v>
      </c>
      <c r="Q19" s="45" t="s">
        <v>163</v>
      </c>
    </row>
    <row r="20" spans="1:17">
      <c r="B20" s="1" t="s">
        <v>178</v>
      </c>
      <c r="N20" s="1" t="s">
        <v>15</v>
      </c>
      <c r="Q20" s="45" t="s">
        <v>146</v>
      </c>
    </row>
    <row r="21" spans="1:17">
      <c r="Q21" s="45"/>
    </row>
    <row r="22" spans="1:17" ht="15">
      <c r="A22" s="2" t="s">
        <v>16</v>
      </c>
      <c r="N22" s="2"/>
    </row>
    <row r="23" spans="1:17">
      <c r="B23" s="1" t="s">
        <v>17</v>
      </c>
    </row>
    <row r="33" spans="1:2" ht="15">
      <c r="A33" s="2" t="s">
        <v>152</v>
      </c>
    </row>
    <row r="34" spans="1:2">
      <c r="B34" s="1" t="s">
        <v>153</v>
      </c>
    </row>
  </sheetData>
  <hyperlinks>
    <hyperlink ref="Q13" r:id="rId1" xr:uid="{739BC0F6-DDEA-409E-BAA0-CED0EC3FAC10}"/>
    <hyperlink ref="R15" r:id="rId2" xr:uid="{3A32E811-E794-46FB-A010-EBB0450F323B}"/>
    <hyperlink ref="Q17" r:id="rId3" xr:uid="{02ECFE4E-0865-458E-9F04-951EDF61DD89}"/>
    <hyperlink ref="Q20" r:id="rId4" xr:uid="{14375537-5C3D-4253-9650-337AB6789785}"/>
    <hyperlink ref="Q19" r:id="rId5" xr:uid="{0B1BE51B-1109-4BB2-8317-5797C103CF5F}"/>
    <hyperlink ref="Q18" r:id="rId6" xr:uid="{1717F883-58E9-4228-8A97-AB7941DF5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K126"/>
  <sheetViews>
    <sheetView zoomScale="55" zoomScaleNormal="55" workbookViewId="0">
      <pane xSplit="2" ySplit="3" topLeftCell="AY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5" width="9.140625" style="1"/>
    <col min="76" max="78" width="9.140625" style="36"/>
    <col min="79" max="104" width="9.140625" style="1"/>
    <col min="105" max="166" width="9.140625" style="36"/>
    <col min="167" max="16384" width="9.140625" style="1"/>
  </cols>
  <sheetData>
    <row r="1" spans="2:167" ht="15">
      <c r="B1" s="1" t="s">
        <v>60</v>
      </c>
      <c r="AY1" s="34" t="s">
        <v>54</v>
      </c>
      <c r="BC1" s="34" t="s">
        <v>55</v>
      </c>
      <c r="BG1" s="34" t="s">
        <v>56</v>
      </c>
      <c r="BK1" s="34" t="s">
        <v>57</v>
      </c>
      <c r="BO1" s="34" t="s">
        <v>58</v>
      </c>
      <c r="BS1" s="34" t="s">
        <v>59</v>
      </c>
      <c r="BW1" s="34" t="s">
        <v>208</v>
      </c>
    </row>
    <row r="2" spans="2:167">
      <c r="B2" s="1" t="s">
        <v>61</v>
      </c>
    </row>
    <row r="3" spans="2:167" ht="15">
      <c r="B3" s="2" t="s">
        <v>62</v>
      </c>
      <c r="C3" s="2" t="str" cm="1">
        <f t="array" ref="C3:BZ3">"Q"&amp;MOD(_xlfn.SEQUENCE(1,76)-1,4)+1&amp;" "&amp;(2008+INT((_xlfn.SEQUENCE(1,76)-1)/4))</f>
        <v>Q1 2008</v>
      </c>
      <c r="D3" s="34" t="str">
        <v>Q2 2008</v>
      </c>
      <c r="E3" s="34" t="str">
        <v>Q3 2008</v>
      </c>
      <c r="F3" s="34" t="str">
        <v>Q4 2008</v>
      </c>
      <c r="G3" s="34" t="str">
        <v>Q1 2009</v>
      </c>
      <c r="H3" s="34" t="str">
        <v>Q2 2009</v>
      </c>
      <c r="I3" s="34" t="str">
        <v>Q3 2009</v>
      </c>
      <c r="J3" s="34" t="str">
        <v>Q4 2009</v>
      </c>
      <c r="K3" s="34" t="str">
        <v>Q1 2010</v>
      </c>
      <c r="L3" s="34" t="str">
        <v>Q2 2010</v>
      </c>
      <c r="M3" s="34" t="str">
        <v>Q3 2010</v>
      </c>
      <c r="N3" s="34" t="str">
        <v>Q4 2010</v>
      </c>
      <c r="O3" s="34" t="str">
        <v>Q1 2011</v>
      </c>
      <c r="P3" s="34" t="str">
        <v>Q2 2011</v>
      </c>
      <c r="Q3" s="34" t="str">
        <v>Q3 2011</v>
      </c>
      <c r="R3" s="34" t="str">
        <v>Q4 2011</v>
      </c>
      <c r="S3" s="34" t="str">
        <v>Q1 2012</v>
      </c>
      <c r="T3" s="34" t="str">
        <v>Q2 2012</v>
      </c>
      <c r="U3" s="34" t="str">
        <v>Q3 2012</v>
      </c>
      <c r="V3" s="34" t="str">
        <v>Q4 2012</v>
      </c>
      <c r="W3" s="34" t="str">
        <v>Q1 2013</v>
      </c>
      <c r="X3" s="34" t="str">
        <v>Q2 2013</v>
      </c>
      <c r="Y3" s="34" t="str">
        <v>Q3 2013</v>
      </c>
      <c r="Z3" s="34" t="str">
        <v>Q4 2013</v>
      </c>
      <c r="AA3" s="34" t="str">
        <v>Q1 2014</v>
      </c>
      <c r="AB3" s="34" t="str">
        <v>Q2 2014</v>
      </c>
      <c r="AC3" s="34" t="str">
        <v>Q3 2014</v>
      </c>
      <c r="AD3" s="34" t="str">
        <v>Q4 2014</v>
      </c>
      <c r="AE3" s="34" t="str">
        <v>Q1 2015</v>
      </c>
      <c r="AF3" s="34" t="str">
        <v>Q2 2015</v>
      </c>
      <c r="AG3" s="34" t="str">
        <v>Q3 2015</v>
      </c>
      <c r="AH3" s="34" t="str">
        <v>Q4 2015</v>
      </c>
      <c r="AI3" s="34" t="str">
        <v>Q1 2016</v>
      </c>
      <c r="AJ3" s="34" t="str">
        <v>Q2 2016</v>
      </c>
      <c r="AK3" s="34" t="str">
        <v>Q3 2016</v>
      </c>
      <c r="AL3" s="34" t="str">
        <v>Q4 2016</v>
      </c>
      <c r="AM3" s="34" t="str">
        <v>Q1 2017</v>
      </c>
      <c r="AN3" s="34" t="str">
        <v>Q2 2017</v>
      </c>
      <c r="AO3" s="34" t="str">
        <v>Q3 2017</v>
      </c>
      <c r="AP3" s="34" t="str">
        <v>Q4 2017</v>
      </c>
      <c r="AQ3" s="34" t="str">
        <v>Q1 2018</v>
      </c>
      <c r="AR3" s="34" t="str">
        <v>Q2 2018</v>
      </c>
      <c r="AS3" s="34" t="str">
        <v>Q3 2018</v>
      </c>
      <c r="AT3" s="34" t="str">
        <v>Q4 2018</v>
      </c>
      <c r="AU3" s="34" t="str">
        <v>Q1 2019</v>
      </c>
      <c r="AV3" s="34" t="str">
        <v>Q2 2019</v>
      </c>
      <c r="AW3" s="34" t="str">
        <v>Q3 2019</v>
      </c>
      <c r="AX3" s="34" t="str">
        <v>Q4 2019</v>
      </c>
      <c r="AY3" s="34" t="str">
        <v>Q1 2020</v>
      </c>
      <c r="AZ3" s="34" t="str">
        <v>Q2 2020</v>
      </c>
      <c r="BA3" s="34" t="str">
        <v>Q3 2020</v>
      </c>
      <c r="BB3" s="34" t="str">
        <v>Q4 2020</v>
      </c>
      <c r="BC3" s="34" t="str">
        <v>Q1 2021</v>
      </c>
      <c r="BD3" s="34" t="str">
        <v>Q2 2021</v>
      </c>
      <c r="BE3" s="34" t="str">
        <v>Q3 2021</v>
      </c>
      <c r="BF3" s="34" t="str">
        <v>Q4 2021</v>
      </c>
      <c r="BG3" s="34" t="str">
        <v>Q1 2022</v>
      </c>
      <c r="BH3" s="34" t="str">
        <v>Q2 2022</v>
      </c>
      <c r="BI3" s="34" t="str">
        <v>Q3 2022</v>
      </c>
      <c r="BJ3" s="34" t="str">
        <v>Q4 2022</v>
      </c>
      <c r="BK3" s="34" t="str">
        <v>Q1 2023</v>
      </c>
      <c r="BL3" s="34" t="str">
        <v>Q2 2023</v>
      </c>
      <c r="BM3" s="34" t="str">
        <v>Q3 2023</v>
      </c>
      <c r="BN3" s="34" t="str">
        <v>Q4 2023</v>
      </c>
      <c r="BO3" s="34" t="str">
        <v>Q1 2024</v>
      </c>
      <c r="BP3" s="34" t="str">
        <v>Q2 2024</v>
      </c>
      <c r="BQ3" s="34" t="str">
        <v>Q3 2024</v>
      </c>
      <c r="BR3" s="34" t="str">
        <v>Q4 2024</v>
      </c>
      <c r="BS3" s="34" t="str">
        <v>Q1 2025</v>
      </c>
      <c r="BT3" s="2" t="str">
        <v>Q2 2025</v>
      </c>
      <c r="BU3" s="2" t="str">
        <v>Q3 2025</v>
      </c>
      <c r="BV3" s="2" t="str">
        <v>Q4 2025</v>
      </c>
      <c r="BW3" s="2" t="str">
        <v>Q1 2026</v>
      </c>
      <c r="BX3" s="35" t="str">
        <v>Q2 2026</v>
      </c>
      <c r="BY3" s="35" t="str">
        <v>Q3 2026</v>
      </c>
      <c r="BZ3" s="35" t="str">
        <v>Q4 2026</v>
      </c>
      <c r="CI3" s="2">
        <v>2008</v>
      </c>
      <c r="CJ3" s="2">
        <f>CI3+1</f>
        <v>2009</v>
      </c>
      <c r="CK3" s="2">
        <f t="shared" ref="CK3:EW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35">
        <f>CZ3+1</f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si="0"/>
        <v>2074</v>
      </c>
      <c r="EX3" s="35">
        <f t="shared" ref="EX3:FH3" si="1">EW3+1</f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>
        <f t="shared" si="1"/>
        <v>2085</v>
      </c>
      <c r="FI3" s="35"/>
      <c r="FJ3" s="35"/>
      <c r="FK3" s="2"/>
    </row>
    <row r="4" spans="2:167">
      <c r="B4" s="37" t="s">
        <v>65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1">
        <f>SUM(BS4:BV4)</f>
        <v>0</v>
      </c>
      <c r="DA4" s="36">
        <f t="shared" ref="DA4:DJ4" si="2">CZ4*(1+DA16)</f>
        <v>0</v>
      </c>
      <c r="DB4" s="36">
        <f t="shared" si="2"/>
        <v>0</v>
      </c>
      <c r="DC4" s="36">
        <f t="shared" si="2"/>
        <v>0</v>
      </c>
      <c r="DD4" s="36">
        <f t="shared" si="2"/>
        <v>0</v>
      </c>
      <c r="DE4" s="36">
        <f t="shared" si="2"/>
        <v>0</v>
      </c>
      <c r="DF4" s="36">
        <f t="shared" si="2"/>
        <v>0</v>
      </c>
      <c r="DG4" s="36">
        <f t="shared" si="2"/>
        <v>0</v>
      </c>
      <c r="DH4" s="36">
        <f t="shared" si="2"/>
        <v>0</v>
      </c>
      <c r="DI4" s="36">
        <f t="shared" si="2"/>
        <v>0</v>
      </c>
      <c r="DJ4" s="36">
        <f t="shared" si="2"/>
        <v>0</v>
      </c>
    </row>
    <row r="5" spans="2:167">
      <c r="B5" s="37" t="s">
        <v>66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1">
        <f t="shared" ref="CZ5:CZ14" si="20">SUM(BS5:BV5)</f>
        <v>0</v>
      </c>
      <c r="DA5" s="36">
        <f t="shared" ref="DA5:DJ5" si="21">CZ5*(1+DA17)</f>
        <v>0</v>
      </c>
      <c r="DB5" s="36">
        <f t="shared" si="21"/>
        <v>0</v>
      </c>
      <c r="DC5" s="36">
        <f t="shared" si="21"/>
        <v>0</v>
      </c>
      <c r="DD5" s="36">
        <f t="shared" si="21"/>
        <v>0</v>
      </c>
      <c r="DE5" s="36">
        <f t="shared" si="21"/>
        <v>0</v>
      </c>
      <c r="DF5" s="36">
        <f t="shared" si="21"/>
        <v>0</v>
      </c>
      <c r="DG5" s="36">
        <f t="shared" si="21"/>
        <v>0</v>
      </c>
      <c r="DH5" s="36">
        <f t="shared" si="21"/>
        <v>0</v>
      </c>
      <c r="DI5" s="36">
        <f t="shared" si="21"/>
        <v>0</v>
      </c>
      <c r="DJ5" s="36">
        <f t="shared" si="21"/>
        <v>0</v>
      </c>
    </row>
    <row r="6" spans="2:167">
      <c r="B6" s="37" t="s">
        <v>67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1">
        <f t="shared" si="20"/>
        <v>0</v>
      </c>
      <c r="DA6" s="36">
        <f t="shared" ref="DA6:DJ6" si="22">CZ6*(1+DA18)</f>
        <v>0</v>
      </c>
      <c r="DB6" s="36">
        <f t="shared" si="22"/>
        <v>0</v>
      </c>
      <c r="DC6" s="36">
        <f t="shared" si="22"/>
        <v>0</v>
      </c>
      <c r="DD6" s="36">
        <f t="shared" si="22"/>
        <v>0</v>
      </c>
      <c r="DE6" s="36">
        <f t="shared" si="22"/>
        <v>0</v>
      </c>
      <c r="DF6" s="36">
        <f t="shared" si="22"/>
        <v>0</v>
      </c>
      <c r="DG6" s="36">
        <f t="shared" si="22"/>
        <v>0</v>
      </c>
      <c r="DH6" s="36">
        <f t="shared" si="22"/>
        <v>0</v>
      </c>
      <c r="DI6" s="36">
        <f t="shared" si="22"/>
        <v>0</v>
      </c>
      <c r="DJ6" s="36">
        <f t="shared" si="22"/>
        <v>0</v>
      </c>
    </row>
    <row r="7" spans="2:167">
      <c r="B7" s="37" t="s">
        <v>64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1">
        <f t="shared" si="20"/>
        <v>0</v>
      </c>
      <c r="DA7" s="36">
        <f t="shared" ref="DA7:DJ7" si="23">CZ7*(1+DA19)</f>
        <v>0</v>
      </c>
      <c r="DB7" s="36">
        <f t="shared" si="23"/>
        <v>0</v>
      </c>
      <c r="DC7" s="36">
        <f t="shared" si="23"/>
        <v>0</v>
      </c>
      <c r="DD7" s="36">
        <f t="shared" si="23"/>
        <v>0</v>
      </c>
      <c r="DE7" s="36">
        <f t="shared" si="23"/>
        <v>0</v>
      </c>
      <c r="DF7" s="36">
        <f t="shared" si="23"/>
        <v>0</v>
      </c>
      <c r="DG7" s="36">
        <f t="shared" si="23"/>
        <v>0</v>
      </c>
      <c r="DH7" s="36">
        <f t="shared" si="23"/>
        <v>0</v>
      </c>
      <c r="DI7" s="36">
        <f t="shared" si="23"/>
        <v>0</v>
      </c>
      <c r="DJ7" s="36">
        <f t="shared" si="23"/>
        <v>0</v>
      </c>
    </row>
    <row r="8" spans="2:167">
      <c r="B8" s="37" t="s">
        <v>68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1">
        <f t="shared" si="20"/>
        <v>0</v>
      </c>
      <c r="DA8" s="36">
        <f t="shared" ref="DA8:DJ8" si="24">CZ8*(1+DA20)</f>
        <v>0</v>
      </c>
      <c r="DB8" s="36">
        <f t="shared" si="24"/>
        <v>0</v>
      </c>
      <c r="DC8" s="36">
        <f t="shared" si="24"/>
        <v>0</v>
      </c>
      <c r="DD8" s="36">
        <f t="shared" si="24"/>
        <v>0</v>
      </c>
      <c r="DE8" s="36">
        <f t="shared" si="24"/>
        <v>0</v>
      </c>
      <c r="DF8" s="36">
        <f t="shared" si="24"/>
        <v>0</v>
      </c>
      <c r="DG8" s="36">
        <f t="shared" si="24"/>
        <v>0</v>
      </c>
      <c r="DH8" s="36">
        <f t="shared" si="24"/>
        <v>0</v>
      </c>
      <c r="DI8" s="36">
        <f t="shared" si="24"/>
        <v>0</v>
      </c>
      <c r="DJ8" s="36">
        <f t="shared" si="24"/>
        <v>0</v>
      </c>
    </row>
    <row r="9" spans="2:167">
      <c r="B9" s="37" t="s">
        <v>69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1">
        <f t="shared" si="20"/>
        <v>0</v>
      </c>
      <c r="DA9" s="36">
        <f t="shared" ref="DA9:DJ9" si="25">CZ9*(1+DA21)</f>
        <v>0</v>
      </c>
      <c r="DB9" s="36">
        <f t="shared" si="25"/>
        <v>0</v>
      </c>
      <c r="DC9" s="36">
        <f t="shared" si="25"/>
        <v>0</v>
      </c>
      <c r="DD9" s="36">
        <f t="shared" si="25"/>
        <v>0</v>
      </c>
      <c r="DE9" s="36">
        <f t="shared" si="25"/>
        <v>0</v>
      </c>
      <c r="DF9" s="36">
        <f t="shared" si="25"/>
        <v>0</v>
      </c>
      <c r="DG9" s="36">
        <f t="shared" si="25"/>
        <v>0</v>
      </c>
      <c r="DH9" s="36">
        <f t="shared" si="25"/>
        <v>0</v>
      </c>
      <c r="DI9" s="36">
        <f t="shared" si="25"/>
        <v>0</v>
      </c>
      <c r="DJ9" s="36">
        <f t="shared" si="25"/>
        <v>0</v>
      </c>
    </row>
    <row r="10" spans="2:167">
      <c r="B10" s="37" t="s">
        <v>70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1">
        <f t="shared" si="20"/>
        <v>0</v>
      </c>
      <c r="DA10" s="36">
        <f t="shared" ref="DA10:DJ10" si="26">CZ10*(1+DA22)</f>
        <v>0</v>
      </c>
      <c r="DB10" s="36">
        <f t="shared" si="26"/>
        <v>0</v>
      </c>
      <c r="DC10" s="36">
        <f t="shared" si="26"/>
        <v>0</v>
      </c>
      <c r="DD10" s="36">
        <f t="shared" si="26"/>
        <v>0</v>
      </c>
      <c r="DE10" s="36">
        <f t="shared" si="26"/>
        <v>0</v>
      </c>
      <c r="DF10" s="36">
        <f t="shared" si="26"/>
        <v>0</v>
      </c>
      <c r="DG10" s="36">
        <f t="shared" si="26"/>
        <v>0</v>
      </c>
      <c r="DH10" s="36">
        <f t="shared" si="26"/>
        <v>0</v>
      </c>
      <c r="DI10" s="36">
        <f t="shared" si="26"/>
        <v>0</v>
      </c>
      <c r="DJ10" s="36">
        <f t="shared" si="26"/>
        <v>0</v>
      </c>
    </row>
    <row r="11" spans="2:167">
      <c r="B11" s="37" t="s">
        <v>71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1">
        <f t="shared" si="20"/>
        <v>0</v>
      </c>
      <c r="DA11" s="36">
        <f t="shared" ref="DA11:DJ11" si="27">CZ11*(1+DA23)</f>
        <v>0</v>
      </c>
      <c r="DB11" s="36">
        <f t="shared" si="27"/>
        <v>0</v>
      </c>
      <c r="DC11" s="36">
        <f t="shared" si="27"/>
        <v>0</v>
      </c>
      <c r="DD11" s="36">
        <f t="shared" si="27"/>
        <v>0</v>
      </c>
      <c r="DE11" s="36">
        <f t="shared" si="27"/>
        <v>0</v>
      </c>
      <c r="DF11" s="36">
        <f t="shared" si="27"/>
        <v>0</v>
      </c>
      <c r="DG11" s="36">
        <f t="shared" si="27"/>
        <v>0</v>
      </c>
      <c r="DH11" s="36">
        <f t="shared" si="27"/>
        <v>0</v>
      </c>
      <c r="DI11" s="36">
        <f t="shared" si="27"/>
        <v>0</v>
      </c>
      <c r="DJ11" s="36">
        <f t="shared" si="27"/>
        <v>0</v>
      </c>
    </row>
    <row r="12" spans="2:167">
      <c r="B12" s="37" t="s">
        <v>72</v>
      </c>
      <c r="C12" s="37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1">
        <f t="shared" si="20"/>
        <v>0</v>
      </c>
      <c r="DA12" s="36">
        <f t="shared" ref="DA12:DJ12" si="28">CZ12*(1+DA24)</f>
        <v>0</v>
      </c>
      <c r="DB12" s="36">
        <f t="shared" si="28"/>
        <v>0</v>
      </c>
      <c r="DC12" s="36">
        <f t="shared" si="28"/>
        <v>0</v>
      </c>
      <c r="DD12" s="36">
        <f t="shared" si="28"/>
        <v>0</v>
      </c>
      <c r="DE12" s="36">
        <f t="shared" si="28"/>
        <v>0</v>
      </c>
      <c r="DF12" s="36">
        <f t="shared" si="28"/>
        <v>0</v>
      </c>
      <c r="DG12" s="36">
        <f t="shared" si="28"/>
        <v>0</v>
      </c>
      <c r="DH12" s="36">
        <f t="shared" si="28"/>
        <v>0</v>
      </c>
      <c r="DI12" s="36">
        <f t="shared" si="28"/>
        <v>0</v>
      </c>
      <c r="DJ12" s="36">
        <f t="shared" si="28"/>
        <v>0</v>
      </c>
    </row>
    <row r="13" spans="2:167">
      <c r="B13" s="37" t="s">
        <v>73</v>
      </c>
      <c r="C13" s="37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1">
        <f t="shared" si="20"/>
        <v>0</v>
      </c>
      <c r="DA13" s="36">
        <f t="shared" ref="DA13:DJ13" si="29">CZ13*(1+DA25)</f>
        <v>0</v>
      </c>
      <c r="DB13" s="36">
        <f t="shared" si="29"/>
        <v>0</v>
      </c>
      <c r="DC13" s="36">
        <f t="shared" si="29"/>
        <v>0</v>
      </c>
      <c r="DD13" s="36">
        <f t="shared" si="29"/>
        <v>0</v>
      </c>
      <c r="DE13" s="36">
        <f t="shared" si="29"/>
        <v>0</v>
      </c>
      <c r="DF13" s="36">
        <f t="shared" si="29"/>
        <v>0</v>
      </c>
      <c r="DG13" s="36">
        <f t="shared" si="29"/>
        <v>0</v>
      </c>
      <c r="DH13" s="36">
        <f t="shared" si="29"/>
        <v>0</v>
      </c>
      <c r="DI13" s="36">
        <f t="shared" si="29"/>
        <v>0</v>
      </c>
      <c r="DJ13" s="36">
        <f t="shared" si="29"/>
        <v>0</v>
      </c>
    </row>
    <row r="14" spans="2:167" s="2" customFormat="1" ht="15">
      <c r="B14" s="34" t="s">
        <v>63</v>
      </c>
      <c r="C14" s="47"/>
      <c r="BC14" s="2">
        <f t="shared" ref="BC14:BU14" si="30">SUM(BC4:BC13)</f>
        <v>0</v>
      </c>
      <c r="BD14" s="2">
        <f t="shared" si="30"/>
        <v>0</v>
      </c>
      <c r="BE14" s="2">
        <f t="shared" si="30"/>
        <v>0</v>
      </c>
      <c r="BF14" s="2">
        <f t="shared" si="30"/>
        <v>0</v>
      </c>
      <c r="BG14" s="2">
        <f t="shared" si="30"/>
        <v>0</v>
      </c>
      <c r="BH14" s="2">
        <f t="shared" si="30"/>
        <v>0</v>
      </c>
      <c r="BI14" s="2">
        <f t="shared" si="30"/>
        <v>0</v>
      </c>
      <c r="BJ14" s="2">
        <f t="shared" si="30"/>
        <v>0</v>
      </c>
      <c r="BK14" s="2">
        <f t="shared" si="30"/>
        <v>0</v>
      </c>
      <c r="BL14" s="2">
        <f t="shared" si="30"/>
        <v>0</v>
      </c>
      <c r="BM14" s="2">
        <f t="shared" si="30"/>
        <v>0</v>
      </c>
      <c r="BN14" s="2">
        <f t="shared" si="30"/>
        <v>0</v>
      </c>
      <c r="BO14" s="2">
        <f t="shared" si="30"/>
        <v>0</v>
      </c>
      <c r="BP14" s="2">
        <f t="shared" si="30"/>
        <v>0</v>
      </c>
      <c r="BQ14" s="2">
        <f t="shared" si="30"/>
        <v>0</v>
      </c>
      <c r="BR14" s="2">
        <f t="shared" si="30"/>
        <v>0</v>
      </c>
      <c r="BS14" s="2">
        <f t="shared" si="30"/>
        <v>0</v>
      </c>
      <c r="BT14" s="2">
        <f t="shared" si="30"/>
        <v>0</v>
      </c>
      <c r="BU14" s="2">
        <f t="shared" si="30"/>
        <v>0</v>
      </c>
      <c r="BV14" s="2">
        <f>SUM(BV4:BV13)</f>
        <v>0</v>
      </c>
      <c r="BW14" s="2">
        <f>SUM(BW4:BW13)</f>
        <v>0</v>
      </c>
      <c r="BX14" s="35"/>
      <c r="BY14" s="35"/>
      <c r="BZ14" s="35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2">
        <f t="shared" si="20"/>
        <v>0</v>
      </c>
      <c r="DA14" s="35">
        <f t="shared" ref="DA14" si="31">SUM(DA4:DA13)</f>
        <v>0</v>
      </c>
      <c r="DB14" s="35">
        <f t="shared" ref="DB14:DJ14" si="32">SUM(DB4:DB13)</f>
        <v>0</v>
      </c>
      <c r="DC14" s="35">
        <f t="shared" si="32"/>
        <v>0</v>
      </c>
      <c r="DD14" s="35">
        <f t="shared" si="32"/>
        <v>0</v>
      </c>
      <c r="DE14" s="35">
        <f t="shared" si="32"/>
        <v>0</v>
      </c>
      <c r="DF14" s="35">
        <f t="shared" si="32"/>
        <v>0</v>
      </c>
      <c r="DG14" s="35">
        <f t="shared" si="32"/>
        <v>0</v>
      </c>
      <c r="DH14" s="35">
        <f t="shared" si="32"/>
        <v>0</v>
      </c>
      <c r="DI14" s="35">
        <f t="shared" si="32"/>
        <v>0</v>
      </c>
      <c r="DJ14" s="35">
        <f t="shared" si="32"/>
        <v>0</v>
      </c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</row>
    <row r="15" spans="2:167">
      <c r="B15" s="37"/>
      <c r="C15" s="37"/>
    </row>
    <row r="16" spans="2:167">
      <c r="B16" s="38" t="s">
        <v>76</v>
      </c>
      <c r="BC16" s="1" t="e">
        <f t="shared" ref="BC16:BU26" si="33">BC4/AY4-1</f>
        <v>#DIV/0!</v>
      </c>
      <c r="BD16" s="1" t="e">
        <f t="shared" si="33"/>
        <v>#DIV/0!</v>
      </c>
      <c r="BE16" s="1" t="e">
        <f t="shared" si="33"/>
        <v>#DIV/0!</v>
      </c>
      <c r="BF16" s="1" t="e">
        <f t="shared" si="33"/>
        <v>#DIV/0!</v>
      </c>
      <c r="BG16" s="1" t="e">
        <f t="shared" si="33"/>
        <v>#DIV/0!</v>
      </c>
      <c r="BH16" s="1" t="e">
        <f t="shared" si="33"/>
        <v>#DIV/0!</v>
      </c>
      <c r="BI16" s="1" t="e">
        <f t="shared" si="33"/>
        <v>#DIV/0!</v>
      </c>
      <c r="BJ16" s="1" t="e">
        <f t="shared" si="33"/>
        <v>#DIV/0!</v>
      </c>
      <c r="BK16" s="1" t="e">
        <f t="shared" si="33"/>
        <v>#DIV/0!</v>
      </c>
      <c r="BL16" s="1" t="e">
        <f t="shared" si="33"/>
        <v>#DIV/0!</v>
      </c>
      <c r="BM16" s="1" t="e">
        <f t="shared" si="33"/>
        <v>#DIV/0!</v>
      </c>
      <c r="BN16" s="1" t="e">
        <f t="shared" si="33"/>
        <v>#DIV/0!</v>
      </c>
      <c r="BO16" s="1" t="e">
        <f t="shared" si="33"/>
        <v>#DIV/0!</v>
      </c>
      <c r="BP16" s="1" t="e">
        <f t="shared" si="33"/>
        <v>#DIV/0!</v>
      </c>
      <c r="BQ16" s="1" t="e">
        <f t="shared" si="33"/>
        <v>#DIV/0!</v>
      </c>
      <c r="BR16" s="1" t="e">
        <f t="shared" si="33"/>
        <v>#DIV/0!</v>
      </c>
      <c r="BS16" s="1" t="e">
        <f t="shared" si="33"/>
        <v>#DIV/0!</v>
      </c>
      <c r="BT16" s="1" t="e">
        <f t="shared" si="33"/>
        <v>#DIV/0!</v>
      </c>
      <c r="BU16" s="1" t="e">
        <f t="shared" si="33"/>
        <v>#DIV/0!</v>
      </c>
      <c r="BV16" s="1" t="e">
        <f>BV4/BR4-1</f>
        <v>#DIV/0!</v>
      </c>
      <c r="BW16" s="1" t="e">
        <f>BW4/BS4-1</f>
        <v>#DIV/0!</v>
      </c>
      <c r="CJ16" s="1" t="e">
        <f t="shared" ref="CJ16:CZ16" si="34">CJ4/CI4-1</f>
        <v>#DIV/0!</v>
      </c>
      <c r="CK16" s="1" t="e">
        <f t="shared" si="34"/>
        <v>#DIV/0!</v>
      </c>
      <c r="CL16" s="1" t="e">
        <f t="shared" si="34"/>
        <v>#DIV/0!</v>
      </c>
      <c r="CM16" s="1" t="e">
        <f t="shared" si="34"/>
        <v>#DIV/0!</v>
      </c>
      <c r="CN16" s="1" t="e">
        <f t="shared" si="34"/>
        <v>#DIV/0!</v>
      </c>
      <c r="CO16" s="1" t="e">
        <f t="shared" si="34"/>
        <v>#DIV/0!</v>
      </c>
      <c r="CP16" s="1" t="e">
        <f t="shared" si="34"/>
        <v>#DIV/0!</v>
      </c>
      <c r="CQ16" s="1" t="e">
        <f t="shared" si="34"/>
        <v>#DIV/0!</v>
      </c>
      <c r="CR16" s="1" t="e">
        <f t="shared" si="34"/>
        <v>#DIV/0!</v>
      </c>
      <c r="CS16" s="1" t="e">
        <f t="shared" si="34"/>
        <v>#DIV/0!</v>
      </c>
      <c r="CT16" s="1" t="e">
        <f t="shared" si="34"/>
        <v>#DIV/0!</v>
      </c>
      <c r="CU16" s="1" t="e">
        <f t="shared" si="34"/>
        <v>#DIV/0!</v>
      </c>
      <c r="CV16" s="1" t="e">
        <f t="shared" si="34"/>
        <v>#DIV/0!</v>
      </c>
      <c r="CW16" s="1" t="e">
        <f t="shared" si="34"/>
        <v>#DIV/0!</v>
      </c>
      <c r="CX16" s="1" t="e">
        <f t="shared" si="34"/>
        <v>#DIV/0!</v>
      </c>
      <c r="CY16" s="1" t="e">
        <f t="shared" si="34"/>
        <v>#DIV/0!</v>
      </c>
      <c r="CZ16" s="1" t="e">
        <f t="shared" si="34"/>
        <v>#DIV/0!</v>
      </c>
      <c r="DA16" s="46">
        <v>1</v>
      </c>
      <c r="DB16" s="46">
        <v>1</v>
      </c>
      <c r="DC16" s="46">
        <v>1</v>
      </c>
      <c r="DD16" s="46">
        <v>1</v>
      </c>
      <c r="DE16" s="46">
        <v>1</v>
      </c>
      <c r="DF16" s="46">
        <v>1</v>
      </c>
      <c r="DG16" s="46">
        <v>1</v>
      </c>
      <c r="DH16" s="46">
        <v>1</v>
      </c>
      <c r="DI16" s="46">
        <v>1</v>
      </c>
      <c r="DJ16" s="46">
        <v>1</v>
      </c>
    </row>
    <row r="17" spans="2:166">
      <c r="B17" s="38" t="s">
        <v>77</v>
      </c>
      <c r="BC17" s="1" t="e">
        <f t="shared" si="33"/>
        <v>#DIV/0!</v>
      </c>
      <c r="BD17" s="1" t="e">
        <f t="shared" si="33"/>
        <v>#DIV/0!</v>
      </c>
      <c r="BE17" s="1" t="e">
        <f t="shared" si="33"/>
        <v>#DIV/0!</v>
      </c>
      <c r="BF17" s="1" t="e">
        <f t="shared" si="33"/>
        <v>#DIV/0!</v>
      </c>
      <c r="BG17" s="1" t="e">
        <f t="shared" si="33"/>
        <v>#DIV/0!</v>
      </c>
      <c r="BH17" s="1" t="e">
        <f t="shared" si="33"/>
        <v>#DIV/0!</v>
      </c>
      <c r="BI17" s="1" t="e">
        <f t="shared" si="33"/>
        <v>#DIV/0!</v>
      </c>
      <c r="BJ17" s="1" t="e">
        <f t="shared" si="33"/>
        <v>#DIV/0!</v>
      </c>
      <c r="BK17" s="1" t="e">
        <f t="shared" si="33"/>
        <v>#DIV/0!</v>
      </c>
      <c r="BL17" s="1" t="e">
        <f t="shared" si="33"/>
        <v>#DIV/0!</v>
      </c>
      <c r="BM17" s="1" t="e">
        <f t="shared" si="33"/>
        <v>#DIV/0!</v>
      </c>
      <c r="BN17" s="1" t="e">
        <f t="shared" si="33"/>
        <v>#DIV/0!</v>
      </c>
      <c r="BO17" s="1" t="e">
        <f t="shared" si="33"/>
        <v>#DIV/0!</v>
      </c>
      <c r="BP17" s="1" t="e">
        <f t="shared" si="33"/>
        <v>#DIV/0!</v>
      </c>
      <c r="BQ17" s="1" t="e">
        <f t="shared" si="33"/>
        <v>#DIV/0!</v>
      </c>
      <c r="BR17" s="1" t="e">
        <f t="shared" si="33"/>
        <v>#DIV/0!</v>
      </c>
      <c r="BS17" s="1" t="e">
        <f t="shared" si="33"/>
        <v>#DIV/0!</v>
      </c>
      <c r="BT17" s="1" t="e">
        <f t="shared" si="33"/>
        <v>#DIV/0!</v>
      </c>
      <c r="BU17" s="1" t="e">
        <f t="shared" si="33"/>
        <v>#DIV/0!</v>
      </c>
      <c r="BV17" s="1" t="e">
        <f t="shared" ref="BV17:BW26" si="35">BV5/BR5-1</f>
        <v>#DIV/0!</v>
      </c>
      <c r="BW17" s="1" t="e">
        <f t="shared" si="35"/>
        <v>#DIV/0!</v>
      </c>
      <c r="CJ17" s="1" t="e">
        <f t="shared" ref="CJ17:CZ17" si="36">CJ5/CI5-1</f>
        <v>#DIV/0!</v>
      </c>
      <c r="CK17" s="1" t="e">
        <f t="shared" si="36"/>
        <v>#DIV/0!</v>
      </c>
      <c r="CL17" s="1" t="e">
        <f t="shared" si="36"/>
        <v>#DIV/0!</v>
      </c>
      <c r="CM17" s="1" t="e">
        <f t="shared" si="36"/>
        <v>#DIV/0!</v>
      </c>
      <c r="CN17" s="1" t="e">
        <f t="shared" si="36"/>
        <v>#DIV/0!</v>
      </c>
      <c r="CO17" s="1" t="e">
        <f t="shared" si="36"/>
        <v>#DIV/0!</v>
      </c>
      <c r="CP17" s="1" t="e">
        <f t="shared" si="36"/>
        <v>#DIV/0!</v>
      </c>
      <c r="CQ17" s="1" t="e">
        <f t="shared" si="36"/>
        <v>#DIV/0!</v>
      </c>
      <c r="CR17" s="1" t="e">
        <f t="shared" si="36"/>
        <v>#DIV/0!</v>
      </c>
      <c r="CS17" s="1" t="e">
        <f t="shared" si="36"/>
        <v>#DIV/0!</v>
      </c>
      <c r="CT17" s="1" t="e">
        <f t="shared" si="36"/>
        <v>#DIV/0!</v>
      </c>
      <c r="CU17" s="1" t="e">
        <f t="shared" si="36"/>
        <v>#DIV/0!</v>
      </c>
      <c r="CV17" s="1" t="e">
        <f t="shared" si="36"/>
        <v>#DIV/0!</v>
      </c>
      <c r="CW17" s="1" t="e">
        <f t="shared" si="36"/>
        <v>#DIV/0!</v>
      </c>
      <c r="CX17" s="1" t="e">
        <f t="shared" si="36"/>
        <v>#DIV/0!</v>
      </c>
      <c r="CY17" s="1" t="e">
        <f t="shared" si="36"/>
        <v>#DIV/0!</v>
      </c>
      <c r="CZ17" s="1" t="e">
        <f t="shared" si="36"/>
        <v>#DIV/0!</v>
      </c>
      <c r="DA17" s="46">
        <v>1</v>
      </c>
      <c r="DB17" s="46">
        <v>1</v>
      </c>
      <c r="DC17" s="46">
        <v>1</v>
      </c>
      <c r="DD17" s="46">
        <v>1</v>
      </c>
      <c r="DE17" s="46">
        <v>1</v>
      </c>
      <c r="DF17" s="46">
        <v>1</v>
      </c>
      <c r="DG17" s="46">
        <v>1</v>
      </c>
      <c r="DH17" s="46">
        <v>1</v>
      </c>
      <c r="DI17" s="46">
        <v>1</v>
      </c>
      <c r="DJ17" s="46">
        <v>1</v>
      </c>
    </row>
    <row r="18" spans="2:166">
      <c r="B18" s="38" t="s">
        <v>78</v>
      </c>
      <c r="BC18" s="1" t="e">
        <f t="shared" si="33"/>
        <v>#DIV/0!</v>
      </c>
      <c r="BD18" s="1" t="e">
        <f t="shared" si="33"/>
        <v>#DIV/0!</v>
      </c>
      <c r="BE18" s="1" t="e">
        <f t="shared" si="33"/>
        <v>#DIV/0!</v>
      </c>
      <c r="BF18" s="1" t="e">
        <f t="shared" si="33"/>
        <v>#DIV/0!</v>
      </c>
      <c r="BG18" s="1" t="e">
        <f t="shared" si="33"/>
        <v>#DIV/0!</v>
      </c>
      <c r="BH18" s="1" t="e">
        <f t="shared" si="33"/>
        <v>#DIV/0!</v>
      </c>
      <c r="BI18" s="1" t="e">
        <f t="shared" si="33"/>
        <v>#DIV/0!</v>
      </c>
      <c r="BJ18" s="1" t="e">
        <f t="shared" si="33"/>
        <v>#DIV/0!</v>
      </c>
      <c r="BK18" s="1" t="e">
        <f t="shared" si="33"/>
        <v>#DIV/0!</v>
      </c>
      <c r="BL18" s="1" t="e">
        <f t="shared" si="33"/>
        <v>#DIV/0!</v>
      </c>
      <c r="BM18" s="1" t="e">
        <f t="shared" si="33"/>
        <v>#DIV/0!</v>
      </c>
      <c r="BN18" s="1" t="e">
        <f t="shared" si="33"/>
        <v>#DIV/0!</v>
      </c>
      <c r="BO18" s="1" t="e">
        <f t="shared" si="33"/>
        <v>#DIV/0!</v>
      </c>
      <c r="BP18" s="1" t="e">
        <f t="shared" si="33"/>
        <v>#DIV/0!</v>
      </c>
      <c r="BQ18" s="1" t="e">
        <f t="shared" si="33"/>
        <v>#DIV/0!</v>
      </c>
      <c r="BR18" s="1" t="e">
        <f t="shared" si="33"/>
        <v>#DIV/0!</v>
      </c>
      <c r="BS18" s="1" t="e">
        <f t="shared" si="33"/>
        <v>#DIV/0!</v>
      </c>
      <c r="BT18" s="1" t="e">
        <f t="shared" si="33"/>
        <v>#DIV/0!</v>
      </c>
      <c r="BU18" s="1" t="e">
        <f t="shared" si="33"/>
        <v>#DIV/0!</v>
      </c>
      <c r="BV18" s="1" t="e">
        <f t="shared" si="35"/>
        <v>#DIV/0!</v>
      </c>
      <c r="BW18" s="1" t="e">
        <f t="shared" si="35"/>
        <v>#DIV/0!</v>
      </c>
      <c r="CJ18" s="1" t="e">
        <f t="shared" ref="CJ18:CZ18" si="37">CJ6/CI6-1</f>
        <v>#DIV/0!</v>
      </c>
      <c r="CK18" s="1" t="e">
        <f t="shared" si="37"/>
        <v>#DIV/0!</v>
      </c>
      <c r="CL18" s="1" t="e">
        <f t="shared" si="37"/>
        <v>#DIV/0!</v>
      </c>
      <c r="CM18" s="1" t="e">
        <f t="shared" si="37"/>
        <v>#DIV/0!</v>
      </c>
      <c r="CN18" s="1" t="e">
        <f t="shared" si="37"/>
        <v>#DIV/0!</v>
      </c>
      <c r="CO18" s="1" t="e">
        <f t="shared" si="37"/>
        <v>#DIV/0!</v>
      </c>
      <c r="CP18" s="1" t="e">
        <f t="shared" si="37"/>
        <v>#DIV/0!</v>
      </c>
      <c r="CQ18" s="1" t="e">
        <f t="shared" si="37"/>
        <v>#DIV/0!</v>
      </c>
      <c r="CR18" s="1" t="e">
        <f t="shared" si="37"/>
        <v>#DIV/0!</v>
      </c>
      <c r="CS18" s="1" t="e">
        <f t="shared" si="37"/>
        <v>#DIV/0!</v>
      </c>
      <c r="CT18" s="1" t="e">
        <f t="shared" si="37"/>
        <v>#DIV/0!</v>
      </c>
      <c r="CU18" s="1" t="e">
        <f t="shared" si="37"/>
        <v>#DIV/0!</v>
      </c>
      <c r="CV18" s="1" t="e">
        <f t="shared" si="37"/>
        <v>#DIV/0!</v>
      </c>
      <c r="CW18" s="1" t="e">
        <f t="shared" si="37"/>
        <v>#DIV/0!</v>
      </c>
      <c r="CX18" s="1" t="e">
        <f t="shared" si="37"/>
        <v>#DIV/0!</v>
      </c>
      <c r="CY18" s="1" t="e">
        <f t="shared" si="37"/>
        <v>#DIV/0!</v>
      </c>
      <c r="CZ18" s="1" t="e">
        <f t="shared" si="37"/>
        <v>#DIV/0!</v>
      </c>
      <c r="DA18" s="46">
        <v>1</v>
      </c>
      <c r="DB18" s="46">
        <v>1</v>
      </c>
      <c r="DC18" s="46">
        <v>1</v>
      </c>
      <c r="DD18" s="46">
        <v>1</v>
      </c>
      <c r="DE18" s="46">
        <v>1</v>
      </c>
      <c r="DF18" s="46">
        <v>1</v>
      </c>
      <c r="DG18" s="46">
        <v>1</v>
      </c>
      <c r="DH18" s="46">
        <v>1</v>
      </c>
      <c r="DI18" s="46">
        <v>1</v>
      </c>
      <c r="DJ18" s="46">
        <v>1</v>
      </c>
    </row>
    <row r="19" spans="2:166">
      <c r="B19" s="38" t="s">
        <v>79</v>
      </c>
      <c r="BC19" s="1" t="e">
        <f t="shared" si="33"/>
        <v>#DIV/0!</v>
      </c>
      <c r="BD19" s="1" t="e">
        <f t="shared" si="33"/>
        <v>#DIV/0!</v>
      </c>
      <c r="BE19" s="1" t="e">
        <f t="shared" si="33"/>
        <v>#DIV/0!</v>
      </c>
      <c r="BF19" s="1" t="e">
        <f t="shared" si="33"/>
        <v>#DIV/0!</v>
      </c>
      <c r="BG19" s="1" t="e">
        <f t="shared" si="33"/>
        <v>#DIV/0!</v>
      </c>
      <c r="BH19" s="1" t="e">
        <f t="shared" si="33"/>
        <v>#DIV/0!</v>
      </c>
      <c r="BI19" s="1" t="e">
        <f t="shared" si="33"/>
        <v>#DIV/0!</v>
      </c>
      <c r="BJ19" s="1" t="e">
        <f t="shared" si="33"/>
        <v>#DIV/0!</v>
      </c>
      <c r="BK19" s="1" t="e">
        <f t="shared" si="33"/>
        <v>#DIV/0!</v>
      </c>
      <c r="BL19" s="1" t="e">
        <f t="shared" si="33"/>
        <v>#DIV/0!</v>
      </c>
      <c r="BM19" s="1" t="e">
        <f t="shared" si="33"/>
        <v>#DIV/0!</v>
      </c>
      <c r="BN19" s="1" t="e">
        <f t="shared" si="33"/>
        <v>#DIV/0!</v>
      </c>
      <c r="BO19" s="1" t="e">
        <f t="shared" si="33"/>
        <v>#DIV/0!</v>
      </c>
      <c r="BP19" s="1" t="e">
        <f t="shared" si="33"/>
        <v>#DIV/0!</v>
      </c>
      <c r="BQ19" s="1" t="e">
        <f t="shared" si="33"/>
        <v>#DIV/0!</v>
      </c>
      <c r="BR19" s="1" t="e">
        <f t="shared" si="33"/>
        <v>#DIV/0!</v>
      </c>
      <c r="BS19" s="1" t="e">
        <f t="shared" si="33"/>
        <v>#DIV/0!</v>
      </c>
      <c r="BT19" s="1" t="e">
        <f t="shared" si="33"/>
        <v>#DIV/0!</v>
      </c>
      <c r="BU19" s="1" t="e">
        <f t="shared" si="33"/>
        <v>#DIV/0!</v>
      </c>
      <c r="BV19" s="1" t="e">
        <f t="shared" si="35"/>
        <v>#DIV/0!</v>
      </c>
      <c r="BW19" s="1" t="e">
        <f t="shared" si="35"/>
        <v>#DIV/0!</v>
      </c>
      <c r="CJ19" s="1" t="e">
        <f t="shared" ref="CJ19:CZ19" si="38">CJ7/CI7-1</f>
        <v>#DIV/0!</v>
      </c>
      <c r="CK19" s="1" t="e">
        <f t="shared" si="38"/>
        <v>#DIV/0!</v>
      </c>
      <c r="CL19" s="1" t="e">
        <f t="shared" si="38"/>
        <v>#DIV/0!</v>
      </c>
      <c r="CM19" s="1" t="e">
        <f t="shared" si="38"/>
        <v>#DIV/0!</v>
      </c>
      <c r="CN19" s="1" t="e">
        <f t="shared" si="38"/>
        <v>#DIV/0!</v>
      </c>
      <c r="CO19" s="1" t="e">
        <f t="shared" si="38"/>
        <v>#DIV/0!</v>
      </c>
      <c r="CP19" s="1" t="e">
        <f t="shared" si="38"/>
        <v>#DIV/0!</v>
      </c>
      <c r="CQ19" s="1" t="e">
        <f t="shared" si="38"/>
        <v>#DIV/0!</v>
      </c>
      <c r="CR19" s="1" t="e">
        <f t="shared" si="38"/>
        <v>#DIV/0!</v>
      </c>
      <c r="CS19" s="1" t="e">
        <f t="shared" si="38"/>
        <v>#DIV/0!</v>
      </c>
      <c r="CT19" s="1" t="e">
        <f t="shared" si="38"/>
        <v>#DIV/0!</v>
      </c>
      <c r="CU19" s="1" t="e">
        <f t="shared" si="38"/>
        <v>#DIV/0!</v>
      </c>
      <c r="CV19" s="1" t="e">
        <f t="shared" si="38"/>
        <v>#DIV/0!</v>
      </c>
      <c r="CW19" s="1" t="e">
        <f t="shared" si="38"/>
        <v>#DIV/0!</v>
      </c>
      <c r="CX19" s="1" t="e">
        <f t="shared" si="38"/>
        <v>#DIV/0!</v>
      </c>
      <c r="CY19" s="1" t="e">
        <f t="shared" si="38"/>
        <v>#DIV/0!</v>
      </c>
      <c r="CZ19" s="1" t="e">
        <f t="shared" si="38"/>
        <v>#DIV/0!</v>
      </c>
      <c r="DA19" s="46">
        <v>1</v>
      </c>
      <c r="DB19" s="46">
        <v>1</v>
      </c>
      <c r="DC19" s="46">
        <v>1</v>
      </c>
      <c r="DD19" s="46">
        <v>1</v>
      </c>
      <c r="DE19" s="46">
        <v>1</v>
      </c>
      <c r="DF19" s="46">
        <v>1</v>
      </c>
      <c r="DG19" s="46">
        <v>1</v>
      </c>
      <c r="DH19" s="46">
        <v>1</v>
      </c>
      <c r="DI19" s="46">
        <v>1</v>
      </c>
      <c r="DJ19" s="46">
        <v>1</v>
      </c>
    </row>
    <row r="20" spans="2:166">
      <c r="B20" s="38" t="s">
        <v>80</v>
      </c>
      <c r="BC20" s="1" t="e">
        <f t="shared" si="33"/>
        <v>#DIV/0!</v>
      </c>
      <c r="BD20" s="1" t="e">
        <f t="shared" si="33"/>
        <v>#DIV/0!</v>
      </c>
      <c r="BE20" s="1" t="e">
        <f t="shared" si="33"/>
        <v>#DIV/0!</v>
      </c>
      <c r="BF20" s="1" t="e">
        <f t="shared" si="33"/>
        <v>#DIV/0!</v>
      </c>
      <c r="BG20" s="1" t="e">
        <f t="shared" si="33"/>
        <v>#DIV/0!</v>
      </c>
      <c r="BH20" s="1" t="e">
        <f t="shared" si="33"/>
        <v>#DIV/0!</v>
      </c>
      <c r="BI20" s="1" t="e">
        <f t="shared" si="33"/>
        <v>#DIV/0!</v>
      </c>
      <c r="BJ20" s="1" t="e">
        <f t="shared" si="33"/>
        <v>#DIV/0!</v>
      </c>
      <c r="BK20" s="1" t="e">
        <f t="shared" si="33"/>
        <v>#DIV/0!</v>
      </c>
      <c r="BL20" s="1" t="e">
        <f t="shared" si="33"/>
        <v>#DIV/0!</v>
      </c>
      <c r="BM20" s="1" t="e">
        <f t="shared" si="33"/>
        <v>#DIV/0!</v>
      </c>
      <c r="BN20" s="1" t="e">
        <f t="shared" si="33"/>
        <v>#DIV/0!</v>
      </c>
      <c r="BO20" s="1" t="e">
        <f t="shared" si="33"/>
        <v>#DIV/0!</v>
      </c>
      <c r="BP20" s="1" t="e">
        <f t="shared" si="33"/>
        <v>#DIV/0!</v>
      </c>
      <c r="BQ20" s="1" t="e">
        <f t="shared" si="33"/>
        <v>#DIV/0!</v>
      </c>
      <c r="BR20" s="1" t="e">
        <f t="shared" si="33"/>
        <v>#DIV/0!</v>
      </c>
      <c r="BS20" s="1" t="e">
        <f t="shared" si="33"/>
        <v>#DIV/0!</v>
      </c>
      <c r="BT20" s="1" t="e">
        <f t="shared" si="33"/>
        <v>#DIV/0!</v>
      </c>
      <c r="BU20" s="1" t="e">
        <f t="shared" si="33"/>
        <v>#DIV/0!</v>
      </c>
      <c r="BV20" s="1" t="e">
        <f t="shared" si="35"/>
        <v>#DIV/0!</v>
      </c>
      <c r="BW20" s="1" t="e">
        <f t="shared" si="35"/>
        <v>#DIV/0!</v>
      </c>
      <c r="CJ20" s="1" t="e">
        <f t="shared" ref="CJ20:CZ20" si="39">CJ8/CI8-1</f>
        <v>#DIV/0!</v>
      </c>
      <c r="CK20" s="1" t="e">
        <f t="shared" si="39"/>
        <v>#DIV/0!</v>
      </c>
      <c r="CL20" s="1" t="e">
        <f t="shared" si="39"/>
        <v>#DIV/0!</v>
      </c>
      <c r="CM20" s="1" t="e">
        <f t="shared" si="39"/>
        <v>#DIV/0!</v>
      </c>
      <c r="CN20" s="1" t="e">
        <f t="shared" si="39"/>
        <v>#DIV/0!</v>
      </c>
      <c r="CO20" s="1" t="e">
        <f t="shared" si="39"/>
        <v>#DIV/0!</v>
      </c>
      <c r="CP20" s="1" t="e">
        <f t="shared" si="39"/>
        <v>#DIV/0!</v>
      </c>
      <c r="CQ20" s="1" t="e">
        <f t="shared" si="39"/>
        <v>#DIV/0!</v>
      </c>
      <c r="CR20" s="1" t="e">
        <f t="shared" si="39"/>
        <v>#DIV/0!</v>
      </c>
      <c r="CS20" s="1" t="e">
        <f t="shared" si="39"/>
        <v>#DIV/0!</v>
      </c>
      <c r="CT20" s="1" t="e">
        <f t="shared" si="39"/>
        <v>#DIV/0!</v>
      </c>
      <c r="CU20" s="1" t="e">
        <f t="shared" si="39"/>
        <v>#DIV/0!</v>
      </c>
      <c r="CV20" s="1" t="e">
        <f t="shared" si="39"/>
        <v>#DIV/0!</v>
      </c>
      <c r="CW20" s="1" t="e">
        <f t="shared" si="39"/>
        <v>#DIV/0!</v>
      </c>
      <c r="CX20" s="1" t="e">
        <f t="shared" si="39"/>
        <v>#DIV/0!</v>
      </c>
      <c r="CY20" s="1" t="e">
        <f t="shared" si="39"/>
        <v>#DIV/0!</v>
      </c>
      <c r="CZ20" s="1" t="e">
        <f t="shared" si="39"/>
        <v>#DIV/0!</v>
      </c>
      <c r="DA20" s="46">
        <v>1</v>
      </c>
      <c r="DB20" s="46">
        <v>1</v>
      </c>
      <c r="DC20" s="46">
        <v>1</v>
      </c>
      <c r="DD20" s="46">
        <v>1</v>
      </c>
      <c r="DE20" s="46">
        <v>1</v>
      </c>
      <c r="DF20" s="46">
        <v>1</v>
      </c>
      <c r="DG20" s="46">
        <v>1</v>
      </c>
      <c r="DH20" s="46">
        <v>1</v>
      </c>
      <c r="DI20" s="46">
        <v>1</v>
      </c>
      <c r="DJ20" s="46">
        <v>1</v>
      </c>
    </row>
    <row r="21" spans="2:166">
      <c r="B21" s="38" t="s">
        <v>81</v>
      </c>
      <c r="BC21" s="1" t="e">
        <f t="shared" si="33"/>
        <v>#DIV/0!</v>
      </c>
      <c r="BD21" s="1" t="e">
        <f t="shared" si="33"/>
        <v>#DIV/0!</v>
      </c>
      <c r="BE21" s="1" t="e">
        <f t="shared" si="33"/>
        <v>#DIV/0!</v>
      </c>
      <c r="BF21" s="1" t="e">
        <f t="shared" si="33"/>
        <v>#DIV/0!</v>
      </c>
      <c r="BG21" s="1" t="e">
        <f t="shared" si="33"/>
        <v>#DIV/0!</v>
      </c>
      <c r="BH21" s="1" t="e">
        <f t="shared" si="33"/>
        <v>#DIV/0!</v>
      </c>
      <c r="BI21" s="1" t="e">
        <f t="shared" si="33"/>
        <v>#DIV/0!</v>
      </c>
      <c r="BJ21" s="1" t="e">
        <f t="shared" si="33"/>
        <v>#DIV/0!</v>
      </c>
      <c r="BK21" s="1" t="e">
        <f t="shared" si="33"/>
        <v>#DIV/0!</v>
      </c>
      <c r="BL21" s="1" t="e">
        <f t="shared" si="33"/>
        <v>#DIV/0!</v>
      </c>
      <c r="BM21" s="1" t="e">
        <f t="shared" si="33"/>
        <v>#DIV/0!</v>
      </c>
      <c r="BN21" s="1" t="e">
        <f t="shared" si="33"/>
        <v>#DIV/0!</v>
      </c>
      <c r="BO21" s="1" t="e">
        <f t="shared" si="33"/>
        <v>#DIV/0!</v>
      </c>
      <c r="BP21" s="1" t="e">
        <f t="shared" si="33"/>
        <v>#DIV/0!</v>
      </c>
      <c r="BQ21" s="1" t="e">
        <f t="shared" si="33"/>
        <v>#DIV/0!</v>
      </c>
      <c r="BR21" s="1" t="e">
        <f t="shared" si="33"/>
        <v>#DIV/0!</v>
      </c>
      <c r="BS21" s="1" t="e">
        <f t="shared" si="33"/>
        <v>#DIV/0!</v>
      </c>
      <c r="BT21" s="1" t="e">
        <f t="shared" si="33"/>
        <v>#DIV/0!</v>
      </c>
      <c r="BU21" s="1" t="e">
        <f t="shared" si="33"/>
        <v>#DIV/0!</v>
      </c>
      <c r="BV21" s="1" t="e">
        <f t="shared" si="35"/>
        <v>#DIV/0!</v>
      </c>
      <c r="BW21" s="1" t="e">
        <f t="shared" si="35"/>
        <v>#DIV/0!</v>
      </c>
      <c r="CJ21" s="1" t="e">
        <f t="shared" ref="CJ21:CZ21" si="40">CJ9/CI9-1</f>
        <v>#DIV/0!</v>
      </c>
      <c r="CK21" s="1" t="e">
        <f t="shared" si="40"/>
        <v>#DIV/0!</v>
      </c>
      <c r="CL21" s="1" t="e">
        <f t="shared" si="40"/>
        <v>#DIV/0!</v>
      </c>
      <c r="CM21" s="1" t="e">
        <f t="shared" si="40"/>
        <v>#DIV/0!</v>
      </c>
      <c r="CN21" s="1" t="e">
        <f t="shared" si="40"/>
        <v>#DIV/0!</v>
      </c>
      <c r="CO21" s="1" t="e">
        <f t="shared" si="40"/>
        <v>#DIV/0!</v>
      </c>
      <c r="CP21" s="1" t="e">
        <f t="shared" si="40"/>
        <v>#DIV/0!</v>
      </c>
      <c r="CQ21" s="1" t="e">
        <f t="shared" si="40"/>
        <v>#DIV/0!</v>
      </c>
      <c r="CR21" s="1" t="e">
        <f t="shared" si="40"/>
        <v>#DIV/0!</v>
      </c>
      <c r="CS21" s="1" t="e">
        <f t="shared" si="40"/>
        <v>#DIV/0!</v>
      </c>
      <c r="CT21" s="1" t="e">
        <f t="shared" si="40"/>
        <v>#DIV/0!</v>
      </c>
      <c r="CU21" s="1" t="e">
        <f t="shared" si="40"/>
        <v>#DIV/0!</v>
      </c>
      <c r="CV21" s="1" t="e">
        <f t="shared" si="40"/>
        <v>#DIV/0!</v>
      </c>
      <c r="CW21" s="1" t="e">
        <f t="shared" si="40"/>
        <v>#DIV/0!</v>
      </c>
      <c r="CX21" s="1" t="e">
        <f t="shared" si="40"/>
        <v>#DIV/0!</v>
      </c>
      <c r="CY21" s="1" t="e">
        <f t="shared" si="40"/>
        <v>#DIV/0!</v>
      </c>
      <c r="CZ21" s="1" t="e">
        <f t="shared" si="40"/>
        <v>#DIV/0!</v>
      </c>
      <c r="DA21" s="46">
        <v>1</v>
      </c>
      <c r="DB21" s="46">
        <v>1</v>
      </c>
      <c r="DC21" s="46">
        <v>1</v>
      </c>
      <c r="DD21" s="46">
        <v>1</v>
      </c>
      <c r="DE21" s="46">
        <v>1</v>
      </c>
      <c r="DF21" s="46">
        <v>1</v>
      </c>
      <c r="DG21" s="46">
        <v>1</v>
      </c>
      <c r="DH21" s="46">
        <v>1</v>
      </c>
      <c r="DI21" s="46">
        <v>1</v>
      </c>
      <c r="DJ21" s="46">
        <v>1</v>
      </c>
    </row>
    <row r="22" spans="2:166">
      <c r="B22" s="38" t="s">
        <v>84</v>
      </c>
      <c r="BC22" s="1" t="e">
        <f t="shared" si="33"/>
        <v>#DIV/0!</v>
      </c>
      <c r="BD22" s="1" t="e">
        <f t="shared" si="33"/>
        <v>#DIV/0!</v>
      </c>
      <c r="BE22" s="1" t="e">
        <f t="shared" si="33"/>
        <v>#DIV/0!</v>
      </c>
      <c r="BF22" s="1" t="e">
        <f t="shared" si="33"/>
        <v>#DIV/0!</v>
      </c>
      <c r="BG22" s="1" t="e">
        <f t="shared" si="33"/>
        <v>#DIV/0!</v>
      </c>
      <c r="BH22" s="1" t="e">
        <f t="shared" si="33"/>
        <v>#DIV/0!</v>
      </c>
      <c r="BI22" s="1" t="e">
        <f t="shared" si="33"/>
        <v>#DIV/0!</v>
      </c>
      <c r="BJ22" s="1" t="e">
        <f t="shared" si="33"/>
        <v>#DIV/0!</v>
      </c>
      <c r="BK22" s="1" t="e">
        <f t="shared" si="33"/>
        <v>#DIV/0!</v>
      </c>
      <c r="BL22" s="1" t="e">
        <f t="shared" si="33"/>
        <v>#DIV/0!</v>
      </c>
      <c r="BM22" s="1" t="e">
        <f t="shared" si="33"/>
        <v>#DIV/0!</v>
      </c>
      <c r="BN22" s="1" t="e">
        <f t="shared" si="33"/>
        <v>#DIV/0!</v>
      </c>
      <c r="BO22" s="1" t="e">
        <f t="shared" si="33"/>
        <v>#DIV/0!</v>
      </c>
      <c r="BP22" s="1" t="e">
        <f t="shared" si="33"/>
        <v>#DIV/0!</v>
      </c>
      <c r="BQ22" s="1" t="e">
        <f t="shared" si="33"/>
        <v>#DIV/0!</v>
      </c>
      <c r="BR22" s="1" t="e">
        <f t="shared" si="33"/>
        <v>#DIV/0!</v>
      </c>
      <c r="BS22" s="1" t="e">
        <f t="shared" si="33"/>
        <v>#DIV/0!</v>
      </c>
      <c r="BT22" s="1" t="e">
        <f t="shared" si="33"/>
        <v>#DIV/0!</v>
      </c>
      <c r="BU22" s="1" t="e">
        <f t="shared" si="33"/>
        <v>#DIV/0!</v>
      </c>
      <c r="BV22" s="1" t="e">
        <f t="shared" si="35"/>
        <v>#DIV/0!</v>
      </c>
      <c r="BW22" s="1" t="e">
        <f t="shared" si="35"/>
        <v>#DIV/0!</v>
      </c>
      <c r="CJ22" s="1" t="e">
        <f t="shared" ref="CJ22:CZ22" si="41">CJ10/CI10-1</f>
        <v>#DIV/0!</v>
      </c>
      <c r="CK22" s="1" t="e">
        <f t="shared" si="41"/>
        <v>#DIV/0!</v>
      </c>
      <c r="CL22" s="1" t="e">
        <f t="shared" si="41"/>
        <v>#DIV/0!</v>
      </c>
      <c r="CM22" s="1" t="e">
        <f t="shared" si="41"/>
        <v>#DIV/0!</v>
      </c>
      <c r="CN22" s="1" t="e">
        <f t="shared" si="41"/>
        <v>#DIV/0!</v>
      </c>
      <c r="CO22" s="1" t="e">
        <f t="shared" si="41"/>
        <v>#DIV/0!</v>
      </c>
      <c r="CP22" s="1" t="e">
        <f t="shared" si="41"/>
        <v>#DIV/0!</v>
      </c>
      <c r="CQ22" s="1" t="e">
        <f t="shared" si="41"/>
        <v>#DIV/0!</v>
      </c>
      <c r="CR22" s="1" t="e">
        <f t="shared" si="41"/>
        <v>#DIV/0!</v>
      </c>
      <c r="CS22" s="1" t="e">
        <f t="shared" si="41"/>
        <v>#DIV/0!</v>
      </c>
      <c r="CT22" s="1" t="e">
        <f t="shared" si="41"/>
        <v>#DIV/0!</v>
      </c>
      <c r="CU22" s="1" t="e">
        <f t="shared" si="41"/>
        <v>#DIV/0!</v>
      </c>
      <c r="CV22" s="1" t="e">
        <f t="shared" si="41"/>
        <v>#DIV/0!</v>
      </c>
      <c r="CW22" s="1" t="e">
        <f t="shared" si="41"/>
        <v>#DIV/0!</v>
      </c>
      <c r="CX22" s="1" t="e">
        <f t="shared" si="41"/>
        <v>#DIV/0!</v>
      </c>
      <c r="CY22" s="1" t="e">
        <f t="shared" si="41"/>
        <v>#DIV/0!</v>
      </c>
      <c r="CZ22" s="1" t="e">
        <f t="shared" si="41"/>
        <v>#DIV/0!</v>
      </c>
      <c r="DA22" s="46">
        <v>1</v>
      </c>
      <c r="DB22" s="46">
        <v>1</v>
      </c>
      <c r="DC22" s="46">
        <v>1</v>
      </c>
      <c r="DD22" s="46">
        <v>1</v>
      </c>
      <c r="DE22" s="46">
        <v>1</v>
      </c>
      <c r="DF22" s="46">
        <v>1</v>
      </c>
      <c r="DG22" s="46">
        <v>1</v>
      </c>
      <c r="DH22" s="46">
        <v>1</v>
      </c>
      <c r="DI22" s="46">
        <v>1</v>
      </c>
      <c r="DJ22" s="46">
        <v>1</v>
      </c>
    </row>
    <row r="23" spans="2:166">
      <c r="B23" s="38" t="s">
        <v>83</v>
      </c>
      <c r="BC23" s="1" t="e">
        <f t="shared" si="33"/>
        <v>#DIV/0!</v>
      </c>
      <c r="BD23" s="1" t="e">
        <f t="shared" si="33"/>
        <v>#DIV/0!</v>
      </c>
      <c r="BE23" s="1" t="e">
        <f t="shared" si="33"/>
        <v>#DIV/0!</v>
      </c>
      <c r="BF23" s="1" t="e">
        <f t="shared" si="33"/>
        <v>#DIV/0!</v>
      </c>
      <c r="BG23" s="1" t="e">
        <f t="shared" si="33"/>
        <v>#DIV/0!</v>
      </c>
      <c r="BH23" s="1" t="e">
        <f t="shared" si="33"/>
        <v>#DIV/0!</v>
      </c>
      <c r="BI23" s="1" t="e">
        <f t="shared" si="33"/>
        <v>#DIV/0!</v>
      </c>
      <c r="BJ23" s="1" t="e">
        <f t="shared" si="33"/>
        <v>#DIV/0!</v>
      </c>
      <c r="BK23" s="1" t="e">
        <f t="shared" si="33"/>
        <v>#DIV/0!</v>
      </c>
      <c r="BL23" s="1" t="e">
        <f t="shared" si="33"/>
        <v>#DIV/0!</v>
      </c>
      <c r="BM23" s="1" t="e">
        <f t="shared" si="33"/>
        <v>#DIV/0!</v>
      </c>
      <c r="BN23" s="1" t="e">
        <f t="shared" si="33"/>
        <v>#DIV/0!</v>
      </c>
      <c r="BO23" s="1" t="e">
        <f t="shared" si="33"/>
        <v>#DIV/0!</v>
      </c>
      <c r="BP23" s="1" t="e">
        <f t="shared" si="33"/>
        <v>#DIV/0!</v>
      </c>
      <c r="BQ23" s="1" t="e">
        <f t="shared" si="33"/>
        <v>#DIV/0!</v>
      </c>
      <c r="BR23" s="1" t="e">
        <f t="shared" si="33"/>
        <v>#DIV/0!</v>
      </c>
      <c r="BS23" s="1" t="e">
        <f t="shared" si="33"/>
        <v>#DIV/0!</v>
      </c>
      <c r="BT23" s="1" t="e">
        <f t="shared" si="33"/>
        <v>#DIV/0!</v>
      </c>
      <c r="BU23" s="1" t="e">
        <f t="shared" si="33"/>
        <v>#DIV/0!</v>
      </c>
      <c r="BV23" s="1" t="e">
        <f t="shared" si="35"/>
        <v>#DIV/0!</v>
      </c>
      <c r="BW23" s="1" t="e">
        <f t="shared" si="35"/>
        <v>#DIV/0!</v>
      </c>
      <c r="CJ23" s="1" t="e">
        <f t="shared" ref="CJ23:CZ23" si="42">CJ11/CI11-1</f>
        <v>#DIV/0!</v>
      </c>
      <c r="CK23" s="1" t="e">
        <f t="shared" si="42"/>
        <v>#DIV/0!</v>
      </c>
      <c r="CL23" s="1" t="e">
        <f t="shared" si="42"/>
        <v>#DIV/0!</v>
      </c>
      <c r="CM23" s="1" t="e">
        <f t="shared" si="42"/>
        <v>#DIV/0!</v>
      </c>
      <c r="CN23" s="1" t="e">
        <f t="shared" si="42"/>
        <v>#DIV/0!</v>
      </c>
      <c r="CO23" s="1" t="e">
        <f t="shared" si="42"/>
        <v>#DIV/0!</v>
      </c>
      <c r="CP23" s="1" t="e">
        <f t="shared" si="42"/>
        <v>#DIV/0!</v>
      </c>
      <c r="CQ23" s="1" t="e">
        <f t="shared" si="42"/>
        <v>#DIV/0!</v>
      </c>
      <c r="CR23" s="1" t="e">
        <f t="shared" si="42"/>
        <v>#DIV/0!</v>
      </c>
      <c r="CS23" s="1" t="e">
        <f t="shared" si="42"/>
        <v>#DIV/0!</v>
      </c>
      <c r="CT23" s="1" t="e">
        <f t="shared" si="42"/>
        <v>#DIV/0!</v>
      </c>
      <c r="CU23" s="1" t="e">
        <f t="shared" si="42"/>
        <v>#DIV/0!</v>
      </c>
      <c r="CV23" s="1" t="e">
        <f t="shared" si="42"/>
        <v>#DIV/0!</v>
      </c>
      <c r="CW23" s="1" t="e">
        <f t="shared" si="42"/>
        <v>#DIV/0!</v>
      </c>
      <c r="CX23" s="1" t="e">
        <f t="shared" si="42"/>
        <v>#DIV/0!</v>
      </c>
      <c r="CY23" s="1" t="e">
        <f t="shared" si="42"/>
        <v>#DIV/0!</v>
      </c>
      <c r="CZ23" s="1" t="e">
        <f t="shared" si="42"/>
        <v>#DIV/0!</v>
      </c>
      <c r="DA23" s="46">
        <v>1</v>
      </c>
      <c r="DB23" s="46">
        <v>1</v>
      </c>
      <c r="DC23" s="46">
        <v>1</v>
      </c>
      <c r="DD23" s="46">
        <v>1</v>
      </c>
      <c r="DE23" s="46">
        <v>1</v>
      </c>
      <c r="DF23" s="46">
        <v>1</v>
      </c>
      <c r="DG23" s="46">
        <v>1</v>
      </c>
      <c r="DH23" s="46">
        <v>1</v>
      </c>
      <c r="DI23" s="46">
        <v>1</v>
      </c>
      <c r="DJ23" s="46">
        <v>1</v>
      </c>
    </row>
    <row r="24" spans="2:166">
      <c r="B24" s="38" t="s">
        <v>85</v>
      </c>
      <c r="BC24" s="1" t="e">
        <f t="shared" si="33"/>
        <v>#DIV/0!</v>
      </c>
      <c r="BD24" s="1" t="e">
        <f t="shared" si="33"/>
        <v>#DIV/0!</v>
      </c>
      <c r="BE24" s="1" t="e">
        <f t="shared" si="33"/>
        <v>#DIV/0!</v>
      </c>
      <c r="BF24" s="1" t="e">
        <f t="shared" si="33"/>
        <v>#DIV/0!</v>
      </c>
      <c r="BG24" s="1" t="e">
        <f t="shared" si="33"/>
        <v>#DIV/0!</v>
      </c>
      <c r="BH24" s="1" t="e">
        <f t="shared" si="33"/>
        <v>#DIV/0!</v>
      </c>
      <c r="BI24" s="1" t="e">
        <f t="shared" si="33"/>
        <v>#DIV/0!</v>
      </c>
      <c r="BJ24" s="1" t="e">
        <f t="shared" si="33"/>
        <v>#DIV/0!</v>
      </c>
      <c r="BK24" s="1" t="e">
        <f t="shared" si="33"/>
        <v>#DIV/0!</v>
      </c>
      <c r="BL24" s="1" t="e">
        <f t="shared" si="33"/>
        <v>#DIV/0!</v>
      </c>
      <c r="BM24" s="1" t="e">
        <f t="shared" si="33"/>
        <v>#DIV/0!</v>
      </c>
      <c r="BN24" s="1" t="e">
        <f t="shared" si="33"/>
        <v>#DIV/0!</v>
      </c>
      <c r="BO24" s="1" t="e">
        <f t="shared" si="33"/>
        <v>#DIV/0!</v>
      </c>
      <c r="BP24" s="1" t="e">
        <f t="shared" si="33"/>
        <v>#DIV/0!</v>
      </c>
      <c r="BQ24" s="1" t="e">
        <f t="shared" si="33"/>
        <v>#DIV/0!</v>
      </c>
      <c r="BR24" s="1" t="e">
        <f t="shared" si="33"/>
        <v>#DIV/0!</v>
      </c>
      <c r="BS24" s="1" t="e">
        <f t="shared" si="33"/>
        <v>#DIV/0!</v>
      </c>
      <c r="BT24" s="1" t="e">
        <f t="shared" si="33"/>
        <v>#DIV/0!</v>
      </c>
      <c r="BU24" s="1" t="e">
        <f t="shared" si="33"/>
        <v>#DIV/0!</v>
      </c>
      <c r="BV24" s="1" t="e">
        <f t="shared" si="35"/>
        <v>#DIV/0!</v>
      </c>
      <c r="BW24" s="1" t="e">
        <f t="shared" si="35"/>
        <v>#DIV/0!</v>
      </c>
      <c r="CJ24" s="1" t="e">
        <f t="shared" ref="CJ24:CZ24" si="43">CJ12/CI12-1</f>
        <v>#DIV/0!</v>
      </c>
      <c r="CK24" s="1" t="e">
        <f t="shared" si="43"/>
        <v>#DIV/0!</v>
      </c>
      <c r="CL24" s="1" t="e">
        <f t="shared" si="43"/>
        <v>#DIV/0!</v>
      </c>
      <c r="CM24" s="1" t="e">
        <f t="shared" si="43"/>
        <v>#DIV/0!</v>
      </c>
      <c r="CN24" s="1" t="e">
        <f t="shared" si="43"/>
        <v>#DIV/0!</v>
      </c>
      <c r="CO24" s="1" t="e">
        <f t="shared" si="43"/>
        <v>#DIV/0!</v>
      </c>
      <c r="CP24" s="1" t="e">
        <f t="shared" si="43"/>
        <v>#DIV/0!</v>
      </c>
      <c r="CQ24" s="1" t="e">
        <f t="shared" si="43"/>
        <v>#DIV/0!</v>
      </c>
      <c r="CR24" s="1" t="e">
        <f t="shared" si="43"/>
        <v>#DIV/0!</v>
      </c>
      <c r="CS24" s="1" t="e">
        <f t="shared" si="43"/>
        <v>#DIV/0!</v>
      </c>
      <c r="CT24" s="1" t="e">
        <f t="shared" si="43"/>
        <v>#DIV/0!</v>
      </c>
      <c r="CU24" s="1" t="e">
        <f t="shared" si="43"/>
        <v>#DIV/0!</v>
      </c>
      <c r="CV24" s="1" t="e">
        <f t="shared" si="43"/>
        <v>#DIV/0!</v>
      </c>
      <c r="CW24" s="1" t="e">
        <f t="shared" si="43"/>
        <v>#DIV/0!</v>
      </c>
      <c r="CX24" s="1" t="e">
        <f t="shared" si="43"/>
        <v>#DIV/0!</v>
      </c>
      <c r="CY24" s="1" t="e">
        <f t="shared" si="43"/>
        <v>#DIV/0!</v>
      </c>
      <c r="CZ24" s="1" t="e">
        <f t="shared" si="43"/>
        <v>#DIV/0!</v>
      </c>
      <c r="DA24" s="46">
        <v>1</v>
      </c>
      <c r="DB24" s="46">
        <v>1</v>
      </c>
      <c r="DC24" s="46">
        <v>1</v>
      </c>
      <c r="DD24" s="46">
        <v>1</v>
      </c>
      <c r="DE24" s="46">
        <v>1</v>
      </c>
      <c r="DF24" s="46">
        <v>1</v>
      </c>
      <c r="DG24" s="46">
        <v>1</v>
      </c>
      <c r="DH24" s="46">
        <v>1</v>
      </c>
      <c r="DI24" s="46">
        <v>1</v>
      </c>
      <c r="DJ24" s="46">
        <v>1</v>
      </c>
    </row>
    <row r="25" spans="2:166">
      <c r="B25" s="38" t="s">
        <v>82</v>
      </c>
      <c r="BC25" s="1" t="e">
        <f t="shared" si="33"/>
        <v>#DIV/0!</v>
      </c>
      <c r="BD25" s="1" t="e">
        <f t="shared" si="33"/>
        <v>#DIV/0!</v>
      </c>
      <c r="BE25" s="1" t="e">
        <f t="shared" si="33"/>
        <v>#DIV/0!</v>
      </c>
      <c r="BF25" s="1" t="e">
        <f t="shared" si="33"/>
        <v>#DIV/0!</v>
      </c>
      <c r="BG25" s="1" t="e">
        <f t="shared" si="33"/>
        <v>#DIV/0!</v>
      </c>
      <c r="BH25" s="1" t="e">
        <f t="shared" si="33"/>
        <v>#DIV/0!</v>
      </c>
      <c r="BI25" s="1" t="e">
        <f t="shared" si="33"/>
        <v>#DIV/0!</v>
      </c>
      <c r="BJ25" s="1" t="e">
        <f t="shared" si="33"/>
        <v>#DIV/0!</v>
      </c>
      <c r="BK25" s="1" t="e">
        <f t="shared" si="33"/>
        <v>#DIV/0!</v>
      </c>
      <c r="BL25" s="1" t="e">
        <f t="shared" si="33"/>
        <v>#DIV/0!</v>
      </c>
      <c r="BM25" s="1" t="e">
        <f t="shared" si="33"/>
        <v>#DIV/0!</v>
      </c>
      <c r="BN25" s="1" t="e">
        <f t="shared" si="33"/>
        <v>#DIV/0!</v>
      </c>
      <c r="BO25" s="1" t="e">
        <f t="shared" si="33"/>
        <v>#DIV/0!</v>
      </c>
      <c r="BP25" s="1" t="e">
        <f t="shared" si="33"/>
        <v>#DIV/0!</v>
      </c>
      <c r="BQ25" s="1" t="e">
        <f t="shared" si="33"/>
        <v>#DIV/0!</v>
      </c>
      <c r="BR25" s="1" t="e">
        <f t="shared" si="33"/>
        <v>#DIV/0!</v>
      </c>
      <c r="BS25" s="1" t="e">
        <f t="shared" si="33"/>
        <v>#DIV/0!</v>
      </c>
      <c r="BT25" s="1" t="e">
        <f t="shared" si="33"/>
        <v>#DIV/0!</v>
      </c>
      <c r="BU25" s="1" t="e">
        <f t="shared" si="33"/>
        <v>#DIV/0!</v>
      </c>
      <c r="BV25" s="1" t="e">
        <f t="shared" si="35"/>
        <v>#DIV/0!</v>
      </c>
      <c r="BW25" s="1" t="e">
        <f t="shared" si="35"/>
        <v>#DIV/0!</v>
      </c>
      <c r="CJ25" s="1" t="e">
        <f t="shared" ref="CJ25:CZ25" si="44">CJ13/CI13-1</f>
        <v>#DIV/0!</v>
      </c>
      <c r="CK25" s="1" t="e">
        <f t="shared" si="44"/>
        <v>#DIV/0!</v>
      </c>
      <c r="CL25" s="1" t="e">
        <f t="shared" si="44"/>
        <v>#DIV/0!</v>
      </c>
      <c r="CM25" s="1" t="e">
        <f t="shared" si="44"/>
        <v>#DIV/0!</v>
      </c>
      <c r="CN25" s="1" t="e">
        <f t="shared" si="44"/>
        <v>#DIV/0!</v>
      </c>
      <c r="CO25" s="1" t="e">
        <f t="shared" si="44"/>
        <v>#DIV/0!</v>
      </c>
      <c r="CP25" s="1" t="e">
        <f t="shared" si="44"/>
        <v>#DIV/0!</v>
      </c>
      <c r="CQ25" s="1" t="e">
        <f t="shared" si="44"/>
        <v>#DIV/0!</v>
      </c>
      <c r="CR25" s="1" t="e">
        <f t="shared" si="44"/>
        <v>#DIV/0!</v>
      </c>
      <c r="CS25" s="1" t="e">
        <f t="shared" si="44"/>
        <v>#DIV/0!</v>
      </c>
      <c r="CT25" s="1" t="e">
        <f t="shared" si="44"/>
        <v>#DIV/0!</v>
      </c>
      <c r="CU25" s="1" t="e">
        <f t="shared" si="44"/>
        <v>#DIV/0!</v>
      </c>
      <c r="CV25" s="1" t="e">
        <f t="shared" si="44"/>
        <v>#DIV/0!</v>
      </c>
      <c r="CW25" s="1" t="e">
        <f t="shared" si="44"/>
        <v>#DIV/0!</v>
      </c>
      <c r="CX25" s="1" t="e">
        <f t="shared" si="44"/>
        <v>#DIV/0!</v>
      </c>
      <c r="CY25" s="1" t="e">
        <f t="shared" si="44"/>
        <v>#DIV/0!</v>
      </c>
      <c r="CZ25" s="1" t="e">
        <f t="shared" si="44"/>
        <v>#DIV/0!</v>
      </c>
      <c r="DA25" s="46">
        <v>1</v>
      </c>
      <c r="DB25" s="46">
        <v>1</v>
      </c>
      <c r="DC25" s="46">
        <v>1</v>
      </c>
      <c r="DD25" s="46">
        <v>1</v>
      </c>
      <c r="DE25" s="46">
        <v>1</v>
      </c>
      <c r="DF25" s="46">
        <v>1</v>
      </c>
      <c r="DG25" s="46">
        <v>1</v>
      </c>
      <c r="DH25" s="46">
        <v>1</v>
      </c>
      <c r="DI25" s="46">
        <v>1</v>
      </c>
      <c r="DJ25" s="46">
        <v>1</v>
      </c>
    </row>
    <row r="26" spans="2:166" s="2" customFormat="1" ht="15">
      <c r="B26" s="34" t="s">
        <v>165</v>
      </c>
      <c r="BC26" s="1" t="e">
        <f t="shared" si="33"/>
        <v>#DIV/0!</v>
      </c>
      <c r="BD26" s="1" t="e">
        <f t="shared" si="33"/>
        <v>#DIV/0!</v>
      </c>
      <c r="BE26" s="1" t="e">
        <f t="shared" si="33"/>
        <v>#DIV/0!</v>
      </c>
      <c r="BF26" s="1" t="e">
        <f t="shared" si="33"/>
        <v>#DIV/0!</v>
      </c>
      <c r="BG26" s="1" t="e">
        <f t="shared" si="33"/>
        <v>#DIV/0!</v>
      </c>
      <c r="BH26" s="1" t="e">
        <f t="shared" si="33"/>
        <v>#DIV/0!</v>
      </c>
      <c r="BI26" s="1" t="e">
        <f t="shared" si="33"/>
        <v>#DIV/0!</v>
      </c>
      <c r="BJ26" s="1" t="e">
        <f t="shared" si="33"/>
        <v>#DIV/0!</v>
      </c>
      <c r="BK26" s="1" t="e">
        <f t="shared" si="33"/>
        <v>#DIV/0!</v>
      </c>
      <c r="BL26" s="1" t="e">
        <f t="shared" si="33"/>
        <v>#DIV/0!</v>
      </c>
      <c r="BM26" s="1" t="e">
        <f t="shared" si="33"/>
        <v>#DIV/0!</v>
      </c>
      <c r="BN26" s="1" t="e">
        <f t="shared" si="33"/>
        <v>#DIV/0!</v>
      </c>
      <c r="BO26" s="1" t="e">
        <f t="shared" si="33"/>
        <v>#DIV/0!</v>
      </c>
      <c r="BP26" s="1" t="e">
        <f t="shared" si="33"/>
        <v>#DIV/0!</v>
      </c>
      <c r="BQ26" s="1" t="e">
        <f t="shared" si="33"/>
        <v>#DIV/0!</v>
      </c>
      <c r="BR26" s="1" t="e">
        <f t="shared" si="33"/>
        <v>#DIV/0!</v>
      </c>
      <c r="BS26" s="1" t="e">
        <f t="shared" si="33"/>
        <v>#DIV/0!</v>
      </c>
      <c r="BT26" s="1" t="e">
        <f t="shared" si="33"/>
        <v>#DIV/0!</v>
      </c>
      <c r="BU26" s="1" t="e">
        <f t="shared" si="33"/>
        <v>#DIV/0!</v>
      </c>
      <c r="BV26" s="1" t="e">
        <f t="shared" si="35"/>
        <v>#DIV/0!</v>
      </c>
      <c r="BW26" s="1" t="e">
        <f t="shared" si="35"/>
        <v>#DIV/0!</v>
      </c>
      <c r="BX26" s="35"/>
      <c r="BY26" s="35"/>
      <c r="BZ26" s="35"/>
      <c r="CJ26" s="2" t="e">
        <f t="shared" ref="CJ26:CZ26" si="45">CJ14/CI14-1</f>
        <v>#DIV/0!</v>
      </c>
      <c r="CK26" s="2" t="e">
        <f t="shared" si="45"/>
        <v>#DIV/0!</v>
      </c>
      <c r="CL26" s="2" t="e">
        <f t="shared" si="45"/>
        <v>#DIV/0!</v>
      </c>
      <c r="CM26" s="2" t="e">
        <f t="shared" si="45"/>
        <v>#DIV/0!</v>
      </c>
      <c r="CN26" s="2" t="e">
        <f t="shared" si="45"/>
        <v>#DIV/0!</v>
      </c>
      <c r="CO26" s="2" t="e">
        <f t="shared" si="45"/>
        <v>#DIV/0!</v>
      </c>
      <c r="CP26" s="2" t="e">
        <f t="shared" si="45"/>
        <v>#DIV/0!</v>
      </c>
      <c r="CQ26" s="2" t="e">
        <f t="shared" si="45"/>
        <v>#DIV/0!</v>
      </c>
      <c r="CR26" s="2" t="e">
        <f t="shared" si="45"/>
        <v>#DIV/0!</v>
      </c>
      <c r="CS26" s="2" t="e">
        <f t="shared" si="45"/>
        <v>#DIV/0!</v>
      </c>
      <c r="CT26" s="2" t="e">
        <f t="shared" si="45"/>
        <v>#DIV/0!</v>
      </c>
      <c r="CU26" s="2" t="e">
        <f t="shared" si="45"/>
        <v>#DIV/0!</v>
      </c>
      <c r="CV26" s="2" t="e">
        <f t="shared" si="45"/>
        <v>#DIV/0!</v>
      </c>
      <c r="CW26" s="2" t="e">
        <f t="shared" si="45"/>
        <v>#DIV/0!</v>
      </c>
      <c r="CX26" s="2" t="e">
        <f t="shared" si="45"/>
        <v>#DIV/0!</v>
      </c>
      <c r="CY26" s="2" t="e">
        <f t="shared" si="45"/>
        <v>#DIV/0!</v>
      </c>
      <c r="CZ26" s="2" t="e">
        <f t="shared" si="45"/>
        <v>#DIV/0!</v>
      </c>
      <c r="DA26" s="48" t="e">
        <f t="shared" ref="DA26:DJ26" si="46">DA14/CZ14-1</f>
        <v>#DIV/0!</v>
      </c>
      <c r="DB26" s="48" t="e">
        <f t="shared" si="46"/>
        <v>#DIV/0!</v>
      </c>
      <c r="DC26" s="48" t="e">
        <f t="shared" si="46"/>
        <v>#DIV/0!</v>
      </c>
      <c r="DD26" s="48" t="e">
        <f t="shared" si="46"/>
        <v>#DIV/0!</v>
      </c>
      <c r="DE26" s="48" t="e">
        <f t="shared" si="46"/>
        <v>#DIV/0!</v>
      </c>
      <c r="DF26" s="48" t="e">
        <f t="shared" si="46"/>
        <v>#DIV/0!</v>
      </c>
      <c r="DG26" s="48" t="e">
        <f t="shared" si="46"/>
        <v>#DIV/0!</v>
      </c>
      <c r="DH26" s="48" t="e">
        <f t="shared" si="46"/>
        <v>#DIV/0!</v>
      </c>
      <c r="DI26" s="48" t="e">
        <f t="shared" si="46"/>
        <v>#DIV/0!</v>
      </c>
      <c r="DJ26" s="48" t="e">
        <f t="shared" si="46"/>
        <v>#DIV/0!</v>
      </c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</row>
    <row r="28" spans="2:166">
      <c r="B28" s="38" t="s">
        <v>74</v>
      </c>
      <c r="BV28" s="1" t="e">
        <f>BV4/BV14</f>
        <v>#DIV/0!</v>
      </c>
      <c r="BW28" s="1" t="e">
        <f>BW4/BW14</f>
        <v>#DIV/0!</v>
      </c>
      <c r="CY28" s="1" t="e">
        <f>CY4/CY14</f>
        <v>#DIV/0!</v>
      </c>
      <c r="CZ28" s="1" t="e">
        <f>CZ4/CZ14</f>
        <v>#DIV/0!</v>
      </c>
    </row>
    <row r="29" spans="2:166">
      <c r="B29" s="38" t="s">
        <v>75</v>
      </c>
      <c r="BV29" s="1" t="e">
        <f>BV5/BV14</f>
        <v>#DIV/0!</v>
      </c>
      <c r="BW29" s="1" t="e">
        <f>BW5/BW14</f>
        <v>#DIV/0!</v>
      </c>
    </row>
    <row r="31" spans="2:166">
      <c r="B31" s="1" t="s">
        <v>86</v>
      </c>
      <c r="CI31" s="1">
        <f t="shared" ref="CI31:CI34" si="47">SUM(C31:F31)</f>
        <v>0</v>
      </c>
      <c r="CJ31" s="1">
        <f t="shared" ref="CJ31:CJ34" si="48">SUM(G31:J31)</f>
        <v>0</v>
      </c>
      <c r="CK31" s="1">
        <f t="shared" ref="CK31:CK34" si="49">SUM(K31:N31)</f>
        <v>0</v>
      </c>
      <c r="CL31" s="1">
        <f t="shared" ref="CL31:CL34" si="50">SUM(O31:R31)</f>
        <v>0</v>
      </c>
      <c r="CM31" s="1">
        <f t="shared" ref="CM31:CM34" si="51">SUM(S31:V31)</f>
        <v>0</v>
      </c>
      <c r="CN31" s="1">
        <f t="shared" ref="CN31:CN34" si="52">SUM(W31:Z31)</f>
        <v>0</v>
      </c>
      <c r="CO31" s="1">
        <f t="shared" ref="CO31:CO34" si="53">SUM(AA31:AD31)</f>
        <v>0</v>
      </c>
      <c r="CP31" s="1">
        <f t="shared" ref="CP31:CP34" si="54">SUM(AE31:AH31)</f>
        <v>0</v>
      </c>
      <c r="CQ31" s="1">
        <f t="shared" ref="CQ31:CQ34" si="55">SUM(AI31:AL31)</f>
        <v>0</v>
      </c>
      <c r="CR31" s="1">
        <f t="shared" ref="CR31:CR34" si="56">SUM(AM31:AP31)</f>
        <v>0</v>
      </c>
      <c r="CS31" s="1">
        <f t="shared" ref="CS31:CS34" si="57">SUM(AQ31:AT31)</f>
        <v>0</v>
      </c>
      <c r="CT31" s="1">
        <f t="shared" ref="CT31:CT34" si="58">SUM(AU31:AX31)</f>
        <v>0</v>
      </c>
      <c r="CU31" s="1">
        <f t="shared" ref="CU31:CU34" si="59">SUM(AY31:BB31)</f>
        <v>0</v>
      </c>
      <c r="CV31" s="1">
        <f t="shared" ref="CV31:CV34" si="60">SUM(BC31:BF31)</f>
        <v>0</v>
      </c>
      <c r="CW31" s="1">
        <f t="shared" ref="CW31:CW34" si="61">SUM(BG31:BJ31)</f>
        <v>0</v>
      </c>
      <c r="CX31" s="1">
        <f t="shared" ref="CX31:CX34" si="62">SUM(BK31:BN31)</f>
        <v>0</v>
      </c>
      <c r="CY31" s="1">
        <f t="shared" ref="CY31:CY34" si="63">SUM(BO31:BR31)</f>
        <v>0</v>
      </c>
      <c r="CZ31" s="1">
        <f t="shared" ref="CZ31:CZ34" si="64">SUM(BS31:BV31)</f>
        <v>0</v>
      </c>
    </row>
    <row r="32" spans="2:166">
      <c r="B32" s="1" t="s">
        <v>89</v>
      </c>
      <c r="CI32" s="1">
        <f t="shared" si="47"/>
        <v>0</v>
      </c>
      <c r="CJ32" s="1">
        <f t="shared" si="48"/>
        <v>0</v>
      </c>
      <c r="CK32" s="1">
        <f t="shared" si="49"/>
        <v>0</v>
      </c>
      <c r="CL32" s="1">
        <f t="shared" si="50"/>
        <v>0</v>
      </c>
      <c r="CM32" s="1">
        <f t="shared" si="51"/>
        <v>0</v>
      </c>
      <c r="CN32" s="1">
        <f t="shared" si="52"/>
        <v>0</v>
      </c>
      <c r="CO32" s="1">
        <f t="shared" si="53"/>
        <v>0</v>
      </c>
      <c r="CP32" s="1">
        <f t="shared" si="54"/>
        <v>0</v>
      </c>
      <c r="CQ32" s="1">
        <f t="shared" si="55"/>
        <v>0</v>
      </c>
      <c r="CR32" s="1">
        <f t="shared" si="56"/>
        <v>0</v>
      </c>
      <c r="CS32" s="1">
        <f t="shared" si="57"/>
        <v>0</v>
      </c>
      <c r="CT32" s="1">
        <f t="shared" si="58"/>
        <v>0</v>
      </c>
      <c r="CU32" s="1">
        <f t="shared" si="59"/>
        <v>0</v>
      </c>
      <c r="CV32" s="1">
        <f t="shared" si="60"/>
        <v>0</v>
      </c>
      <c r="CW32" s="1">
        <f t="shared" si="61"/>
        <v>0</v>
      </c>
      <c r="CX32" s="1">
        <f t="shared" si="62"/>
        <v>0</v>
      </c>
      <c r="CY32" s="1">
        <f t="shared" si="63"/>
        <v>0</v>
      </c>
      <c r="CZ32" s="1">
        <f t="shared" si="64"/>
        <v>0</v>
      </c>
    </row>
    <row r="33" spans="2:166">
      <c r="B33" s="1" t="s">
        <v>88</v>
      </c>
      <c r="CI33" s="1">
        <f t="shared" si="47"/>
        <v>0</v>
      </c>
      <c r="CJ33" s="1">
        <f t="shared" si="48"/>
        <v>0</v>
      </c>
      <c r="CK33" s="1">
        <f t="shared" si="49"/>
        <v>0</v>
      </c>
      <c r="CL33" s="1">
        <f t="shared" si="50"/>
        <v>0</v>
      </c>
      <c r="CM33" s="1">
        <f t="shared" si="51"/>
        <v>0</v>
      </c>
      <c r="CN33" s="1">
        <f t="shared" si="52"/>
        <v>0</v>
      </c>
      <c r="CO33" s="1">
        <f t="shared" si="53"/>
        <v>0</v>
      </c>
      <c r="CP33" s="1">
        <f t="shared" si="54"/>
        <v>0</v>
      </c>
      <c r="CQ33" s="1">
        <f t="shared" si="55"/>
        <v>0</v>
      </c>
      <c r="CR33" s="1">
        <f t="shared" si="56"/>
        <v>0</v>
      </c>
      <c r="CS33" s="1">
        <f t="shared" si="57"/>
        <v>0</v>
      </c>
      <c r="CT33" s="1">
        <f t="shared" si="58"/>
        <v>0</v>
      </c>
      <c r="CU33" s="1">
        <f t="shared" si="59"/>
        <v>0</v>
      </c>
      <c r="CV33" s="1">
        <f t="shared" si="60"/>
        <v>0</v>
      </c>
      <c r="CW33" s="1">
        <f t="shared" si="61"/>
        <v>0</v>
      </c>
      <c r="CX33" s="1">
        <f t="shared" si="62"/>
        <v>0</v>
      </c>
      <c r="CY33" s="1">
        <f t="shared" si="63"/>
        <v>0</v>
      </c>
      <c r="CZ33" s="1">
        <f t="shared" si="64"/>
        <v>0</v>
      </c>
    </row>
    <row r="34" spans="2:166">
      <c r="B34" s="1" t="s">
        <v>87</v>
      </c>
      <c r="CI34" s="1">
        <f t="shared" si="47"/>
        <v>0</v>
      </c>
      <c r="CJ34" s="1">
        <f t="shared" si="48"/>
        <v>0</v>
      </c>
      <c r="CK34" s="1">
        <f t="shared" si="49"/>
        <v>0</v>
      </c>
      <c r="CL34" s="1">
        <f t="shared" si="50"/>
        <v>0</v>
      </c>
      <c r="CM34" s="1">
        <f t="shared" si="51"/>
        <v>0</v>
      </c>
      <c r="CN34" s="1">
        <f t="shared" si="52"/>
        <v>0</v>
      </c>
      <c r="CO34" s="1">
        <f t="shared" si="53"/>
        <v>0</v>
      </c>
      <c r="CP34" s="1">
        <f t="shared" si="54"/>
        <v>0</v>
      </c>
      <c r="CQ34" s="1">
        <f t="shared" si="55"/>
        <v>0</v>
      </c>
      <c r="CR34" s="1">
        <f t="shared" si="56"/>
        <v>0</v>
      </c>
      <c r="CS34" s="1">
        <f t="shared" si="57"/>
        <v>0</v>
      </c>
      <c r="CT34" s="1">
        <f t="shared" si="58"/>
        <v>0</v>
      </c>
      <c r="CU34" s="1">
        <f t="shared" si="59"/>
        <v>0</v>
      </c>
      <c r="CV34" s="1">
        <f t="shared" si="60"/>
        <v>0</v>
      </c>
      <c r="CW34" s="1">
        <f t="shared" si="61"/>
        <v>0</v>
      </c>
      <c r="CX34" s="1">
        <f t="shared" si="62"/>
        <v>0</v>
      </c>
      <c r="CY34" s="1">
        <f t="shared" si="63"/>
        <v>0</v>
      </c>
      <c r="CZ34" s="1">
        <f t="shared" si="64"/>
        <v>0</v>
      </c>
    </row>
    <row r="36" spans="2:166">
      <c r="B36" s="1" t="s">
        <v>96</v>
      </c>
      <c r="BC36" s="1" t="e">
        <f t="shared" ref="BC36:BS39" si="65">BC31/AY31-1</f>
        <v>#DIV/0!</v>
      </c>
      <c r="BD36" s="1" t="e">
        <f t="shared" si="65"/>
        <v>#DIV/0!</v>
      </c>
      <c r="BE36" s="1" t="e">
        <f t="shared" si="65"/>
        <v>#DIV/0!</v>
      </c>
      <c r="BF36" s="1" t="e">
        <f t="shared" si="65"/>
        <v>#DIV/0!</v>
      </c>
      <c r="BG36" s="1" t="e">
        <f t="shared" si="65"/>
        <v>#DIV/0!</v>
      </c>
      <c r="BH36" s="1" t="e">
        <f t="shared" si="65"/>
        <v>#DIV/0!</v>
      </c>
      <c r="BI36" s="1" t="e">
        <f t="shared" si="65"/>
        <v>#DIV/0!</v>
      </c>
      <c r="BJ36" s="1" t="e">
        <f t="shared" si="65"/>
        <v>#DIV/0!</v>
      </c>
      <c r="BK36" s="1" t="e">
        <f t="shared" si="65"/>
        <v>#DIV/0!</v>
      </c>
      <c r="BL36" s="1" t="e">
        <f t="shared" si="65"/>
        <v>#DIV/0!</v>
      </c>
      <c r="BM36" s="1" t="e">
        <f t="shared" si="65"/>
        <v>#DIV/0!</v>
      </c>
      <c r="BN36" s="1" t="e">
        <f t="shared" si="65"/>
        <v>#DIV/0!</v>
      </c>
      <c r="BO36" s="1" t="e">
        <f t="shared" si="65"/>
        <v>#DIV/0!</v>
      </c>
      <c r="BP36" s="1" t="e">
        <f t="shared" si="65"/>
        <v>#DIV/0!</v>
      </c>
      <c r="BQ36" s="1" t="e">
        <f t="shared" si="65"/>
        <v>#DIV/0!</v>
      </c>
      <c r="BR36" s="1" t="e">
        <f t="shared" si="65"/>
        <v>#DIV/0!</v>
      </c>
      <c r="BS36" s="1" t="e">
        <f t="shared" si="65"/>
        <v>#DIV/0!</v>
      </c>
      <c r="BT36" s="1" t="e">
        <f>BT31/BP31-1</f>
        <v>#DIV/0!</v>
      </c>
      <c r="BU36" s="1" t="e">
        <f>BU31/BQ31-1</f>
        <v>#DIV/0!</v>
      </c>
      <c r="BV36" s="1" t="e">
        <f>BV31/BR31-1</f>
        <v>#DIV/0!</v>
      </c>
      <c r="BW36" s="1" t="e">
        <f>BW31/BS31-1</f>
        <v>#DIV/0!</v>
      </c>
    </row>
    <row r="37" spans="2:166">
      <c r="B37" s="1" t="s">
        <v>94</v>
      </c>
      <c r="BC37" s="1" t="e">
        <f t="shared" si="65"/>
        <v>#DIV/0!</v>
      </c>
      <c r="BD37" s="1" t="e">
        <f t="shared" si="65"/>
        <v>#DIV/0!</v>
      </c>
      <c r="BE37" s="1" t="e">
        <f t="shared" si="65"/>
        <v>#DIV/0!</v>
      </c>
      <c r="BF37" s="1" t="e">
        <f t="shared" si="65"/>
        <v>#DIV/0!</v>
      </c>
      <c r="BG37" s="1" t="e">
        <f t="shared" si="65"/>
        <v>#DIV/0!</v>
      </c>
      <c r="BH37" s="1" t="e">
        <f t="shared" si="65"/>
        <v>#DIV/0!</v>
      </c>
      <c r="BI37" s="1" t="e">
        <f t="shared" si="65"/>
        <v>#DIV/0!</v>
      </c>
      <c r="BJ37" s="1" t="e">
        <f t="shared" si="65"/>
        <v>#DIV/0!</v>
      </c>
      <c r="BK37" s="1" t="e">
        <f t="shared" si="65"/>
        <v>#DIV/0!</v>
      </c>
      <c r="BL37" s="1" t="e">
        <f t="shared" si="65"/>
        <v>#DIV/0!</v>
      </c>
      <c r="BM37" s="1" t="e">
        <f t="shared" si="65"/>
        <v>#DIV/0!</v>
      </c>
      <c r="BN37" s="1" t="e">
        <f t="shared" si="65"/>
        <v>#DIV/0!</v>
      </c>
      <c r="BO37" s="1" t="e">
        <f t="shared" si="65"/>
        <v>#DIV/0!</v>
      </c>
      <c r="BP37" s="1" t="e">
        <f t="shared" si="65"/>
        <v>#DIV/0!</v>
      </c>
      <c r="BQ37" s="1" t="e">
        <f t="shared" si="65"/>
        <v>#DIV/0!</v>
      </c>
      <c r="BR37" s="1" t="e">
        <f t="shared" si="65"/>
        <v>#DIV/0!</v>
      </c>
      <c r="BS37" s="1" t="e">
        <f t="shared" si="65"/>
        <v>#DIV/0!</v>
      </c>
      <c r="BT37" s="1" t="e">
        <f t="shared" ref="BT37:BW39" si="66">BT32/BP32-1</f>
        <v>#DIV/0!</v>
      </c>
      <c r="BU37" s="1" t="e">
        <f t="shared" si="66"/>
        <v>#DIV/0!</v>
      </c>
      <c r="BV37" s="1" t="e">
        <f t="shared" si="66"/>
        <v>#DIV/0!</v>
      </c>
      <c r="BW37" s="1" t="e">
        <f t="shared" si="66"/>
        <v>#DIV/0!</v>
      </c>
    </row>
    <row r="38" spans="2:166">
      <c r="B38" s="1" t="s">
        <v>95</v>
      </c>
      <c r="BC38" s="1" t="e">
        <f t="shared" si="65"/>
        <v>#DIV/0!</v>
      </c>
      <c r="BD38" s="1" t="e">
        <f t="shared" si="65"/>
        <v>#DIV/0!</v>
      </c>
      <c r="BE38" s="1" t="e">
        <f t="shared" si="65"/>
        <v>#DIV/0!</v>
      </c>
      <c r="BF38" s="1" t="e">
        <f t="shared" si="65"/>
        <v>#DIV/0!</v>
      </c>
      <c r="BG38" s="1" t="e">
        <f t="shared" si="65"/>
        <v>#DIV/0!</v>
      </c>
      <c r="BH38" s="1" t="e">
        <f t="shared" si="65"/>
        <v>#DIV/0!</v>
      </c>
      <c r="BI38" s="1" t="e">
        <f t="shared" si="65"/>
        <v>#DIV/0!</v>
      </c>
      <c r="BJ38" s="1" t="e">
        <f t="shared" si="65"/>
        <v>#DIV/0!</v>
      </c>
      <c r="BK38" s="1" t="e">
        <f t="shared" si="65"/>
        <v>#DIV/0!</v>
      </c>
      <c r="BL38" s="1" t="e">
        <f t="shared" si="65"/>
        <v>#DIV/0!</v>
      </c>
      <c r="BM38" s="1" t="e">
        <f t="shared" si="65"/>
        <v>#DIV/0!</v>
      </c>
      <c r="BN38" s="1" t="e">
        <f t="shared" si="65"/>
        <v>#DIV/0!</v>
      </c>
      <c r="BO38" s="1" t="e">
        <f t="shared" si="65"/>
        <v>#DIV/0!</v>
      </c>
      <c r="BP38" s="1" t="e">
        <f t="shared" si="65"/>
        <v>#DIV/0!</v>
      </c>
      <c r="BQ38" s="1" t="e">
        <f t="shared" si="65"/>
        <v>#DIV/0!</v>
      </c>
      <c r="BR38" s="1" t="e">
        <f t="shared" si="65"/>
        <v>#DIV/0!</v>
      </c>
      <c r="BS38" s="1" t="e">
        <f t="shared" si="65"/>
        <v>#DIV/0!</v>
      </c>
      <c r="BT38" s="1" t="e">
        <f t="shared" si="66"/>
        <v>#DIV/0!</v>
      </c>
      <c r="BU38" s="1" t="e">
        <f t="shared" si="66"/>
        <v>#DIV/0!</v>
      </c>
      <c r="BV38" s="1" t="e">
        <f t="shared" si="66"/>
        <v>#DIV/0!</v>
      </c>
      <c r="BW38" s="1" t="e">
        <f t="shared" si="66"/>
        <v>#DIV/0!</v>
      </c>
    </row>
    <row r="39" spans="2:166">
      <c r="B39" s="1" t="s">
        <v>97</v>
      </c>
      <c r="BC39" s="1" t="e">
        <f t="shared" si="65"/>
        <v>#DIV/0!</v>
      </c>
      <c r="BD39" s="1" t="e">
        <f t="shared" si="65"/>
        <v>#DIV/0!</v>
      </c>
      <c r="BE39" s="1" t="e">
        <f t="shared" si="65"/>
        <v>#DIV/0!</v>
      </c>
      <c r="BF39" s="1" t="e">
        <f t="shared" si="65"/>
        <v>#DIV/0!</v>
      </c>
      <c r="BG39" s="1" t="e">
        <f t="shared" si="65"/>
        <v>#DIV/0!</v>
      </c>
      <c r="BH39" s="1" t="e">
        <f t="shared" si="65"/>
        <v>#DIV/0!</v>
      </c>
      <c r="BI39" s="1" t="e">
        <f t="shared" si="65"/>
        <v>#DIV/0!</v>
      </c>
      <c r="BJ39" s="1" t="e">
        <f t="shared" si="65"/>
        <v>#DIV/0!</v>
      </c>
      <c r="BK39" s="1" t="e">
        <f t="shared" si="65"/>
        <v>#DIV/0!</v>
      </c>
      <c r="BL39" s="1" t="e">
        <f t="shared" si="65"/>
        <v>#DIV/0!</v>
      </c>
      <c r="BM39" s="1" t="e">
        <f t="shared" si="65"/>
        <v>#DIV/0!</v>
      </c>
      <c r="BN39" s="1" t="e">
        <f t="shared" si="65"/>
        <v>#DIV/0!</v>
      </c>
      <c r="BO39" s="1" t="e">
        <f t="shared" si="65"/>
        <v>#DIV/0!</v>
      </c>
      <c r="BP39" s="1" t="e">
        <f t="shared" si="65"/>
        <v>#DIV/0!</v>
      </c>
      <c r="BQ39" s="1" t="e">
        <f t="shared" si="65"/>
        <v>#DIV/0!</v>
      </c>
      <c r="BR39" s="1" t="e">
        <f t="shared" si="65"/>
        <v>#DIV/0!</v>
      </c>
      <c r="BS39" s="1" t="e">
        <f t="shared" si="65"/>
        <v>#DIV/0!</v>
      </c>
      <c r="BT39" s="1" t="e">
        <f t="shared" si="66"/>
        <v>#DIV/0!</v>
      </c>
      <c r="BU39" s="1" t="e">
        <f t="shared" si="66"/>
        <v>#DIV/0!</v>
      </c>
      <c r="BV39" s="1" t="e">
        <f t="shared" si="66"/>
        <v>#DIV/0!</v>
      </c>
      <c r="BW39" s="1" t="e">
        <f t="shared" si="66"/>
        <v>#DIV/0!</v>
      </c>
    </row>
    <row r="41" spans="2:166">
      <c r="B41" s="39" t="s">
        <v>90</v>
      </c>
    </row>
    <row r="42" spans="2:166">
      <c r="B42" s="1" t="s">
        <v>91</v>
      </c>
    </row>
    <row r="43" spans="2:166">
      <c r="B43" s="1" t="s">
        <v>92</v>
      </c>
    </row>
    <row r="44" spans="2:166">
      <c r="B44" s="1" t="s">
        <v>93</v>
      </c>
    </row>
    <row r="46" spans="2:166" s="2" customFormat="1" ht="15">
      <c r="B46" s="2" t="s">
        <v>62</v>
      </c>
      <c r="AY46" s="2">
        <f t="shared" ref="AY46:BR46" si="67">AY14</f>
        <v>0</v>
      </c>
      <c r="AZ46" s="2">
        <f t="shared" si="67"/>
        <v>0</v>
      </c>
      <c r="BA46" s="2">
        <f t="shared" si="67"/>
        <v>0</v>
      </c>
      <c r="BB46" s="2">
        <f t="shared" si="67"/>
        <v>0</v>
      </c>
      <c r="BC46" s="2">
        <f t="shared" si="67"/>
        <v>0</v>
      </c>
      <c r="BD46" s="2">
        <f t="shared" si="67"/>
        <v>0</v>
      </c>
      <c r="BE46" s="2">
        <f t="shared" si="67"/>
        <v>0</v>
      </c>
      <c r="BF46" s="2">
        <f t="shared" si="67"/>
        <v>0</v>
      </c>
      <c r="BG46" s="2">
        <f t="shared" si="67"/>
        <v>0</v>
      </c>
      <c r="BH46" s="2">
        <f t="shared" si="67"/>
        <v>0</v>
      </c>
      <c r="BI46" s="2">
        <f t="shared" si="67"/>
        <v>0</v>
      </c>
      <c r="BJ46" s="2">
        <f t="shared" si="67"/>
        <v>0</v>
      </c>
      <c r="BK46" s="2">
        <f t="shared" si="67"/>
        <v>0</v>
      </c>
      <c r="BL46" s="2">
        <f t="shared" si="67"/>
        <v>0</v>
      </c>
      <c r="BM46" s="2">
        <f t="shared" si="67"/>
        <v>0</v>
      </c>
      <c r="BN46" s="2">
        <f t="shared" si="67"/>
        <v>0</v>
      </c>
      <c r="BO46" s="2">
        <f t="shared" si="67"/>
        <v>0</v>
      </c>
      <c r="BP46" s="2">
        <f t="shared" si="67"/>
        <v>0</v>
      </c>
      <c r="BQ46" s="2">
        <f t="shared" si="67"/>
        <v>0</v>
      </c>
      <c r="BR46" s="2">
        <f t="shared" si="67"/>
        <v>0</v>
      </c>
      <c r="BS46" s="2">
        <f>BS14</f>
        <v>0</v>
      </c>
      <c r="BT46" s="2">
        <f t="shared" ref="BT46:BV46" si="68">BT14</f>
        <v>0</v>
      </c>
      <c r="BU46" s="2">
        <f t="shared" si="68"/>
        <v>0</v>
      </c>
      <c r="BV46" s="2">
        <f t="shared" si="68"/>
        <v>0</v>
      </c>
      <c r="BW46" s="2">
        <f t="shared" ref="BW46" si="69">BW14</f>
        <v>0</v>
      </c>
      <c r="BX46" s="35"/>
      <c r="BY46" s="35"/>
      <c r="BZ46" s="35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2">
        <f t="shared" ref="CZ46:CZ47" si="70">SUM(BS46:BV46)</f>
        <v>0</v>
      </c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</row>
    <row r="47" spans="2:166">
      <c r="B47" s="1" t="s">
        <v>98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  <c r="CZ47" s="1">
        <f t="shared" si="70"/>
        <v>0</v>
      </c>
    </row>
    <row r="48" spans="2:166">
      <c r="B48" s="1" t="s">
        <v>99</v>
      </c>
      <c r="AY48" s="1">
        <f t="shared" ref="AY48:BR48" si="71">AY46-AY47</f>
        <v>0</v>
      </c>
      <c r="AZ48" s="1">
        <f t="shared" si="71"/>
        <v>0</v>
      </c>
      <c r="BA48" s="1">
        <f t="shared" si="71"/>
        <v>0</v>
      </c>
      <c r="BB48" s="1">
        <f t="shared" si="71"/>
        <v>0</v>
      </c>
      <c r="BC48" s="1">
        <f t="shared" si="71"/>
        <v>0</v>
      </c>
      <c r="BD48" s="1">
        <f t="shared" si="71"/>
        <v>0</v>
      </c>
      <c r="BE48" s="1">
        <f t="shared" si="71"/>
        <v>0</v>
      </c>
      <c r="BF48" s="1">
        <f t="shared" si="71"/>
        <v>0</v>
      </c>
      <c r="BG48" s="1">
        <f t="shared" si="71"/>
        <v>0</v>
      </c>
      <c r="BH48" s="1">
        <f t="shared" si="71"/>
        <v>0</v>
      </c>
      <c r="BI48" s="1">
        <f t="shared" si="71"/>
        <v>0</v>
      </c>
      <c r="BJ48" s="1">
        <f t="shared" si="71"/>
        <v>0</v>
      </c>
      <c r="BK48" s="1">
        <f t="shared" si="71"/>
        <v>0</v>
      </c>
      <c r="BL48" s="1">
        <f t="shared" si="71"/>
        <v>0</v>
      </c>
      <c r="BM48" s="1">
        <f t="shared" si="71"/>
        <v>0</v>
      </c>
      <c r="BN48" s="1">
        <f t="shared" si="71"/>
        <v>0</v>
      </c>
      <c r="BO48" s="1">
        <f t="shared" si="71"/>
        <v>0</v>
      </c>
      <c r="BP48" s="1">
        <f t="shared" si="71"/>
        <v>0</v>
      </c>
      <c r="BQ48" s="1">
        <f t="shared" si="71"/>
        <v>0</v>
      </c>
      <c r="BR48" s="1">
        <f t="shared" si="71"/>
        <v>0</v>
      </c>
      <c r="BS48" s="1">
        <f>BS46-BS47</f>
        <v>0</v>
      </c>
      <c r="BT48" s="1">
        <f t="shared" ref="BT48:BV48" si="72">BT46-BT47</f>
        <v>0</v>
      </c>
      <c r="BU48" s="1">
        <f t="shared" si="72"/>
        <v>0</v>
      </c>
      <c r="BV48" s="1">
        <f t="shared" si="72"/>
        <v>0</v>
      </c>
      <c r="BW48" s="1">
        <f t="shared" ref="BW48" si="73">BW46-BW47</f>
        <v>0</v>
      </c>
    </row>
    <row r="62" spans="2:166" s="2" customFormat="1" ht="15">
      <c r="B62" s="2" t="s">
        <v>115</v>
      </c>
      <c r="BX62" s="35"/>
      <c r="BY62" s="35"/>
      <c r="B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</row>
    <row r="63" spans="2:166">
      <c r="B63" s="1" t="s">
        <v>119</v>
      </c>
    </row>
    <row r="64" spans="2:166">
      <c r="B64" s="1" t="s">
        <v>198</v>
      </c>
    </row>
    <row r="66" spans="2:115">
      <c r="B66" s="38" t="s">
        <v>100</v>
      </c>
    </row>
    <row r="67" spans="2:115">
      <c r="B67" s="38" t="s">
        <v>101</v>
      </c>
    </row>
    <row r="68" spans="2:115">
      <c r="B68" s="38" t="s">
        <v>102</v>
      </c>
    </row>
    <row r="69" spans="2:115">
      <c r="B69" s="38" t="s">
        <v>103</v>
      </c>
    </row>
    <row r="70" spans="2:115">
      <c r="B70" s="38" t="s">
        <v>104</v>
      </c>
    </row>
    <row r="71" spans="2:115">
      <c r="B71" s="38" t="s">
        <v>105</v>
      </c>
    </row>
    <row r="72" spans="2:115">
      <c r="B72" s="38" t="s">
        <v>137</v>
      </c>
    </row>
    <row r="74" spans="2:115">
      <c r="B74" s="1" t="s">
        <v>106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  <c r="CZ74" s="1">
        <f>BS74</f>
        <v>0</v>
      </c>
    </row>
    <row r="75" spans="2:115">
      <c r="B75" s="1" t="s">
        <v>107</v>
      </c>
    </row>
    <row r="76" spans="2:115">
      <c r="B76" s="1" t="s">
        <v>108</v>
      </c>
      <c r="DE76" s="49"/>
      <c r="DF76" s="50"/>
      <c r="DG76" s="49"/>
      <c r="DH76" s="50"/>
      <c r="DI76" s="51"/>
      <c r="DJ76" s="52"/>
      <c r="DK76" s="50"/>
    </row>
    <row r="77" spans="2:115" ht="13.5" customHeight="1">
      <c r="DB77" s="76" t="s">
        <v>167</v>
      </c>
      <c r="DE77" s="85" t="s">
        <v>193</v>
      </c>
      <c r="DF77" s="50"/>
      <c r="DG77" s="77" t="s">
        <v>166</v>
      </c>
      <c r="DH77" s="50"/>
      <c r="DI77" s="51" t="s">
        <v>168</v>
      </c>
      <c r="DJ77" s="52">
        <v>9.1999999999999998E-2</v>
      </c>
      <c r="DK77" s="50"/>
    </row>
    <row r="78" spans="2:115" ht="13.5" customHeight="1">
      <c r="DB78" s="50">
        <v>2024</v>
      </c>
      <c r="DC78" s="50">
        <v>2025</v>
      </c>
      <c r="DE78" s="49" t="s">
        <v>192</v>
      </c>
      <c r="DF78" s="50"/>
      <c r="DG78" s="50">
        <v>2025</v>
      </c>
      <c r="DH78" s="50"/>
      <c r="DI78" s="51" t="s">
        <v>169</v>
      </c>
      <c r="DJ78" s="52">
        <v>1.4999999999999999E-2</v>
      </c>
      <c r="DK78" s="50"/>
    </row>
    <row r="79" spans="2:115" ht="13.5" customHeight="1">
      <c r="DB79" s="54">
        <f>SUM(CY74:CY77)-CY88+CY80+CY82+CY81</f>
        <v>0</v>
      </c>
      <c r="DC79" s="54">
        <f>SUM(CZ74:CZ77)-CZ88+CZ80+CZ82+CZ81</f>
        <v>0</v>
      </c>
      <c r="DE79" s="54">
        <f>AVERAGE(DB79:DC79)</f>
        <v>0</v>
      </c>
      <c r="DF79" s="50"/>
      <c r="DG79" s="53" t="e">
        <f>AVERAGE(DA55)*(1-DA71)</f>
        <v>#DIV/0!</v>
      </c>
      <c r="DH79" s="50"/>
      <c r="DI79" s="51" t="s">
        <v>170</v>
      </c>
      <c r="DJ79" s="52">
        <f>DE88</f>
        <v>4.24E-2</v>
      </c>
      <c r="DK79" s="50"/>
    </row>
    <row r="80" spans="2:115" ht="13.5" customHeight="1">
      <c r="DC80" s="50"/>
      <c r="DD80" s="50"/>
      <c r="DE80" s="50"/>
      <c r="DF80" s="50"/>
      <c r="DG80" s="55" t="e">
        <f>DG79/DE79</f>
        <v>#DIV/0!</v>
      </c>
      <c r="DH80" s="50"/>
      <c r="DI80" s="51" t="s">
        <v>171</v>
      </c>
      <c r="DJ80" s="52">
        <f>8.69%-DJ79</f>
        <v>4.4499999999999991E-2</v>
      </c>
      <c r="DK80" s="50"/>
    </row>
    <row r="81" spans="2:166" ht="13.5" customHeight="1">
      <c r="DB81" s="56" t="s">
        <v>182</v>
      </c>
      <c r="DC81" s="50"/>
      <c r="DD81" s="50"/>
      <c r="DF81" s="50"/>
      <c r="DG81" s="50"/>
      <c r="DH81" s="50"/>
      <c r="DI81" s="51" t="s">
        <v>172</v>
      </c>
      <c r="DJ81" s="57" t="e">
        <f>'Notes | Quant Analysis'!S215</f>
        <v>#DIV/0!</v>
      </c>
      <c r="DK81" s="50"/>
    </row>
    <row r="82" spans="2:166" ht="13.5" customHeight="1">
      <c r="DB82" s="64" t="s">
        <v>183</v>
      </c>
      <c r="DE82" s="53">
        <f>Main!C5</f>
        <v>0</v>
      </c>
      <c r="DF82" s="50"/>
      <c r="DH82" s="50"/>
      <c r="DI82" s="51" t="s">
        <v>173</v>
      </c>
      <c r="DJ82" s="52" t="e">
        <f>+DJ79+(DJ80*DJ81)</f>
        <v>#DIV/0!</v>
      </c>
      <c r="DK82" s="50"/>
    </row>
    <row r="83" spans="2:166" ht="13.5" customHeight="1">
      <c r="B83" s="2" t="s">
        <v>194</v>
      </c>
      <c r="BV83" s="1">
        <f>SUM(BV74:BV82)</f>
        <v>0</v>
      </c>
      <c r="BW83" s="1">
        <f>SUM(BW74:BW82)</f>
        <v>0</v>
      </c>
      <c r="DB83" s="64" t="s">
        <v>184</v>
      </c>
      <c r="DE83" s="63" t="e">
        <f>Main!C7/(Main!C7+DE82)</f>
        <v>#DIV/0!</v>
      </c>
      <c r="DF83" s="56"/>
      <c r="DH83" s="50"/>
      <c r="DI83" s="51"/>
      <c r="DJ83" s="50"/>
      <c r="DK83" s="50"/>
    </row>
    <row r="84" spans="2:166" ht="13.5" customHeight="1">
      <c r="DB84" s="64" t="s">
        <v>185</v>
      </c>
      <c r="DE84" s="63" t="e">
        <f>DE82/(DE82+Main!C7)</f>
        <v>#DIV/0!</v>
      </c>
      <c r="DF84" s="50"/>
      <c r="DH84" s="50"/>
      <c r="DI84" s="51" t="s">
        <v>174</v>
      </c>
      <c r="DJ84" s="53" t="e">
        <f>NPV(DJ82,DA63:EX63)</f>
        <v>#DIV/0!</v>
      </c>
      <c r="DK84" s="50"/>
    </row>
    <row r="85" spans="2:166" ht="13.5" customHeight="1">
      <c r="DB85" s="65" t="s">
        <v>201</v>
      </c>
      <c r="DC85" s="35"/>
      <c r="DD85" s="35"/>
      <c r="DE85" s="66" t="e">
        <f>CZ95/CZ96</f>
        <v>#DIV/0!</v>
      </c>
      <c r="DF85" s="50"/>
      <c r="DG85" s="50"/>
      <c r="DH85" s="50"/>
      <c r="DI85" s="51" t="s">
        <v>119</v>
      </c>
      <c r="DJ85" s="54">
        <f>Main!C4</f>
        <v>0</v>
      </c>
      <c r="DK85" s="67"/>
    </row>
    <row r="86" spans="2:166" ht="13.5" customHeight="1">
      <c r="DF86" s="50"/>
      <c r="DG86" s="50"/>
      <c r="DH86" s="50"/>
      <c r="DI86" s="51" t="s">
        <v>175</v>
      </c>
      <c r="DJ86" s="57" t="e">
        <f>DJ84/DJ85</f>
        <v>#DIV/0!</v>
      </c>
      <c r="DK86" s="49"/>
    </row>
    <row r="87" spans="2:166" ht="13.5" customHeight="1">
      <c r="DB87" s="35" t="s">
        <v>181</v>
      </c>
      <c r="DE87" s="50"/>
      <c r="DF87" s="56"/>
      <c r="DG87" s="56"/>
      <c r="DH87" s="56"/>
      <c r="DI87" s="51" t="s">
        <v>176</v>
      </c>
      <c r="DJ87" s="57">
        <f>Main!C3</f>
        <v>0</v>
      </c>
      <c r="DK87" s="58"/>
    </row>
    <row r="88" spans="2:166" ht="13.5" customHeight="1">
      <c r="DB88" s="68" t="s">
        <v>170</v>
      </c>
      <c r="DE88" s="63">
        <v>4.24E-2</v>
      </c>
      <c r="DF88" s="50"/>
      <c r="DG88" s="50"/>
      <c r="DH88" s="50"/>
      <c r="DI88" s="51" t="s">
        <v>177</v>
      </c>
      <c r="DJ88" s="52" t="e">
        <f>DJ86/DJ87-1</f>
        <v>#DIV/0!</v>
      </c>
      <c r="DK88" s="49" t="e">
        <f>IF(DJ88&gt;0,"Upside","Downside")</f>
        <v>#DIV/0!</v>
      </c>
    </row>
    <row r="89" spans="2:166" ht="13.5" customHeight="1">
      <c r="DB89" s="68" t="s">
        <v>172</v>
      </c>
      <c r="DE89" s="57" t="e">
        <f>'Notes | Quant Analysis'!S215</f>
        <v>#DIV/0!</v>
      </c>
      <c r="DI89" s="87" t="e" cm="1">
        <f t="array" ref="DI89">_xlfn.IFS(DJ88&gt;=25%,"Strong Buy",DJ88&gt;=10.00001%,"Buy",AND(DJ88&lt;=10%,DJ88&gt;=-4.9999%),"Hold",AND(DJ88&lt;=-5%,DJ88&gt;=-14.999999%),"Sell",DJ88&lt;=-15%,"Strong Sell")</f>
        <v>#DIV/0!</v>
      </c>
      <c r="DJ89" s="87"/>
    </row>
    <row r="90" spans="2:166" ht="13.5" customHeight="1">
      <c r="DB90" s="64" t="s">
        <v>186</v>
      </c>
      <c r="DE90" s="63">
        <v>0.14330000000000001</v>
      </c>
    </row>
    <row r="91" spans="2:166" ht="13.5" customHeight="1">
      <c r="DB91" s="65" t="s">
        <v>187</v>
      </c>
      <c r="DC91" s="50"/>
      <c r="DD91" s="2"/>
      <c r="DE91" s="66" t="e">
        <f>(DE88+DE89)*(DE90-DE88)</f>
        <v>#DIV/0!</v>
      </c>
    </row>
    <row r="92" spans="2:166" ht="13.5" customHeight="1">
      <c r="DB92" s="70"/>
    </row>
    <row r="93" spans="2:166" ht="13.5" customHeight="1">
      <c r="DB93" s="35" t="s">
        <v>188</v>
      </c>
      <c r="DC93" s="71"/>
      <c r="DE93" s="62"/>
    </row>
    <row r="94" spans="2:166">
      <c r="DB94" s="72" t="s">
        <v>188</v>
      </c>
      <c r="DE94" s="73">
        <v>6.5000000000000002E-2</v>
      </c>
      <c r="DG94" s="69"/>
      <c r="DI94" s="51"/>
    </row>
    <row r="95" spans="2:166" s="2" customFormat="1" ht="15">
      <c r="B95" s="2" t="s">
        <v>195</v>
      </c>
      <c r="BV95" s="2">
        <f>SUM(BV85:BV94)</f>
        <v>0</v>
      </c>
      <c r="BW95" s="2">
        <f>SUM(BW85:BW94)</f>
        <v>0</v>
      </c>
      <c r="BX95" s="35"/>
      <c r="BY95" s="35"/>
      <c r="BZ95" s="35"/>
      <c r="DA95" s="35"/>
      <c r="DB95" s="64" t="s">
        <v>189</v>
      </c>
      <c r="DC95" s="36"/>
      <c r="DD95" s="36"/>
      <c r="DE95" s="63">
        <v>0.14599999999999999</v>
      </c>
      <c r="DF95" s="35"/>
      <c r="DG95" s="79"/>
      <c r="DH95" s="66"/>
      <c r="DI95" s="78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</row>
    <row r="96" spans="2:166" ht="15">
      <c r="B96" s="1" t="s">
        <v>196</v>
      </c>
      <c r="DB96" s="74" t="s">
        <v>190</v>
      </c>
      <c r="DE96" s="66">
        <f>DE94*(1-DE95)</f>
        <v>5.5510000000000004E-2</v>
      </c>
      <c r="DI96" s="51"/>
    </row>
    <row r="97" spans="2:166" s="2" customFormat="1" ht="15">
      <c r="B97" s="2" t="s">
        <v>197</v>
      </c>
      <c r="BV97" s="2">
        <f>BV95+BV96</f>
        <v>0</v>
      </c>
      <c r="BW97" s="2">
        <f>BW95+BW96</f>
        <v>0</v>
      </c>
      <c r="BX97" s="35"/>
      <c r="BY97" s="35"/>
      <c r="BZ97" s="35"/>
      <c r="DA97" s="35"/>
      <c r="DB97" s="35"/>
      <c r="DC97" s="35"/>
      <c r="DD97" s="35"/>
      <c r="DE97" s="35"/>
      <c r="DF97" s="35"/>
      <c r="DG97" s="35"/>
      <c r="DH97" s="35"/>
      <c r="DI97" s="78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</row>
    <row r="98" spans="2:166" ht="15">
      <c r="DB98" s="35" t="s">
        <v>191</v>
      </c>
      <c r="DE98" s="66" t="e">
        <f>(DE84*DE91)+(DE83*DE96*(1-DE95))</f>
        <v>#DIV/0!</v>
      </c>
      <c r="DI98" s="51"/>
      <c r="DJ98" s="75"/>
    </row>
    <row r="99" spans="2:166">
      <c r="DI99" s="51"/>
    </row>
    <row r="100" spans="2:166">
      <c r="DI100" s="51"/>
      <c r="DJ100" s="70"/>
    </row>
    <row r="101" spans="2:166">
      <c r="DI101" s="51"/>
      <c r="DJ101" s="70"/>
    </row>
    <row r="102" spans="2:166">
      <c r="DI102" s="51"/>
      <c r="DJ102" s="71"/>
    </row>
    <row r="103" spans="2:166">
      <c r="DI103" s="51"/>
      <c r="DJ103" s="71"/>
    </row>
    <row r="104" spans="2:166" ht="15">
      <c r="DB104" s="35"/>
      <c r="DC104" s="35"/>
      <c r="DD104" s="35"/>
      <c r="DE104" s="35"/>
      <c r="DF104" s="35"/>
      <c r="DG104" s="35"/>
      <c r="DH104" s="35"/>
      <c r="DI104" s="51"/>
      <c r="DJ104" s="75"/>
      <c r="DK104" s="61"/>
    </row>
    <row r="106" spans="2:166" ht="15">
      <c r="DB106" s="35"/>
      <c r="DE106" s="66"/>
      <c r="DH106" s="63"/>
      <c r="DJ106" s="63"/>
    </row>
    <row r="108" spans="2:166">
      <c r="B108" s="1" t="s">
        <v>109</v>
      </c>
      <c r="BV108" s="80" t="e">
        <f>SUM(BV84:BV88)/SUM(BV96:BV100)</f>
        <v>#DIV/0!</v>
      </c>
      <c r="BW108" s="80" t="e">
        <f>SUM(BW84:BW88)/SUM(BW96:BW100)</f>
        <v>#DIV/0!</v>
      </c>
      <c r="CZ108" s="80" t="e">
        <f t="shared" ref="CZ108" si="74">SUM(CZ84:CZ88)/SUM(CZ96:CZ100)</f>
        <v>#DIV/0!</v>
      </c>
    </row>
    <row r="109" spans="2:166">
      <c r="B109" s="1" t="s">
        <v>110</v>
      </c>
      <c r="BV109" s="80" t="e">
        <f>(SUM(BV84:BV88)-BV87)/SUM(BV96:BV100)</f>
        <v>#DIV/0!</v>
      </c>
      <c r="BW109" s="80" t="e">
        <f>(SUM(BW84:BW88)-BW87)/SUM(BW96:BW100)</f>
        <v>#DIV/0!</v>
      </c>
      <c r="CZ109" s="80" t="e">
        <f t="shared" ref="CZ109" si="75">(SUM(CZ84:CZ88)-CZ87)/SUM(CZ96:CZ100)</f>
        <v>#DIV/0!</v>
      </c>
    </row>
    <row r="110" spans="2:166">
      <c r="B110" s="1" t="s">
        <v>111</v>
      </c>
      <c r="BV110" s="80" t="e">
        <f>SUM(BV84:BV85)/SUM(BV96:BV100)</f>
        <v>#DIV/0!</v>
      </c>
      <c r="BW110" s="80" t="e">
        <f>SUM(BW84:BW85)/SUM(BW96:BW100)</f>
        <v>#DIV/0!</v>
      </c>
      <c r="CZ110" s="80" t="e">
        <f t="shared" ref="CZ110" si="76">SUM(CZ84:CZ85)/SUM(CZ96:CZ100)</f>
        <v>#DIV/0!</v>
      </c>
    </row>
    <row r="111" spans="2:166">
      <c r="B111" s="1" t="s">
        <v>199</v>
      </c>
      <c r="BV111" s="80" t="e">
        <f>BV59/SUM(BV90)</f>
        <v>#DIV/0!</v>
      </c>
      <c r="BW111" s="80" t="e">
        <f>BW59/SUM(BW90)</f>
        <v>#DIV/0!</v>
      </c>
      <c r="CZ111" s="80" t="e">
        <f t="shared" ref="CZ111" si="77">CZ59/SUM(CZ90)</f>
        <v>#DIV/0!</v>
      </c>
    </row>
    <row r="112" spans="2:166">
      <c r="B112" s="1" t="s">
        <v>200</v>
      </c>
      <c r="BV112" s="80" t="e">
        <f>BV59/BV94</f>
        <v>#DIV/0!</v>
      </c>
      <c r="BW112" s="80" t="e">
        <f>BW59/BW94</f>
        <v>#DIV/0!</v>
      </c>
      <c r="CZ112" s="80" t="e">
        <f t="shared" ref="CZ112" si="78">CZ59/CZ94</f>
        <v>#DIV/0!</v>
      </c>
    </row>
    <row r="113" spans="2:104">
      <c r="B113" s="1" t="s">
        <v>112</v>
      </c>
      <c r="BV113" s="80" t="e">
        <f>BV60/AVERAGE(BS87:BV87)</f>
        <v>#DIV/0!</v>
      </c>
      <c r="BW113" s="80" t="e">
        <f>BW60/AVERAGE(BT87:BW87)</f>
        <v>#DIV/0!</v>
      </c>
      <c r="CZ113" s="80" t="e">
        <f t="shared" ref="CZ113" si="79">CZ60/AVERAGE(CW87:CZ87)</f>
        <v>#DIV/0!</v>
      </c>
    </row>
    <row r="114" spans="2:104">
      <c r="B114" s="1" t="s">
        <v>113</v>
      </c>
      <c r="BV114" s="81" t="e">
        <f>BV73/BV94</f>
        <v>#DIV/0!</v>
      </c>
      <c r="BW114" s="81" t="e">
        <f>BW73/BW94</f>
        <v>#DIV/0!</v>
      </c>
      <c r="CZ114" s="81" t="e">
        <f t="shared" ref="CZ114" si="80">CZ73/CZ94</f>
        <v>#DIV/0!</v>
      </c>
    </row>
    <row r="115" spans="2:104">
      <c r="B115" s="1" t="s">
        <v>114</v>
      </c>
      <c r="BV115" s="81" t="e">
        <f>BV73/BV105</f>
        <v>#DIV/0!</v>
      </c>
      <c r="BW115" s="81" t="e">
        <f>BW73/BW105</f>
        <v>#DIV/0!</v>
      </c>
      <c r="CZ115" s="81" t="e">
        <f t="shared" ref="CZ115" si="81">CZ73/CZ105</f>
        <v>#DIV/0!</v>
      </c>
    </row>
    <row r="117" spans="2:104">
      <c r="B117" s="1" t="s">
        <v>115</v>
      </c>
    </row>
    <row r="118" spans="2:104">
      <c r="B118" s="1" t="s">
        <v>116</v>
      </c>
    </row>
    <row r="119" spans="2:104">
      <c r="B119" s="1" t="s">
        <v>117</v>
      </c>
    </row>
    <row r="120" spans="2:104">
      <c r="B120" s="1" t="s">
        <v>118</v>
      </c>
      <c r="C120" s="1">
        <f t="shared" ref="C120:BN120" si="82">C118+C119</f>
        <v>0</v>
      </c>
      <c r="D120" s="1">
        <f t="shared" si="82"/>
        <v>0</v>
      </c>
      <c r="E120" s="1">
        <f t="shared" si="82"/>
        <v>0</v>
      </c>
      <c r="F120" s="1">
        <f t="shared" si="82"/>
        <v>0</v>
      </c>
      <c r="G120" s="1">
        <f t="shared" si="82"/>
        <v>0</v>
      </c>
      <c r="H120" s="1">
        <f t="shared" si="82"/>
        <v>0</v>
      </c>
      <c r="I120" s="1">
        <f t="shared" si="82"/>
        <v>0</v>
      </c>
      <c r="J120" s="1">
        <f t="shared" si="82"/>
        <v>0</v>
      </c>
      <c r="K120" s="1">
        <f t="shared" si="82"/>
        <v>0</v>
      </c>
      <c r="L120" s="1">
        <f t="shared" si="82"/>
        <v>0</v>
      </c>
      <c r="M120" s="1">
        <f t="shared" si="82"/>
        <v>0</v>
      </c>
      <c r="N120" s="1">
        <f t="shared" si="82"/>
        <v>0</v>
      </c>
      <c r="O120" s="1">
        <f t="shared" si="82"/>
        <v>0</v>
      </c>
      <c r="P120" s="1">
        <f t="shared" si="82"/>
        <v>0</v>
      </c>
      <c r="Q120" s="1">
        <f t="shared" si="82"/>
        <v>0</v>
      </c>
      <c r="R120" s="1">
        <f t="shared" si="82"/>
        <v>0</v>
      </c>
      <c r="S120" s="1">
        <f t="shared" si="82"/>
        <v>0</v>
      </c>
      <c r="T120" s="1">
        <f t="shared" si="82"/>
        <v>0</v>
      </c>
      <c r="U120" s="1">
        <f t="shared" si="82"/>
        <v>0</v>
      </c>
      <c r="V120" s="1">
        <f t="shared" si="82"/>
        <v>0</v>
      </c>
      <c r="W120" s="1">
        <f t="shared" si="82"/>
        <v>0</v>
      </c>
      <c r="X120" s="1">
        <f t="shared" si="82"/>
        <v>0</v>
      </c>
      <c r="Y120" s="1">
        <f t="shared" si="82"/>
        <v>0</v>
      </c>
      <c r="Z120" s="1">
        <f t="shared" si="82"/>
        <v>0</v>
      </c>
      <c r="AA120" s="1">
        <f t="shared" si="82"/>
        <v>0</v>
      </c>
      <c r="AB120" s="1">
        <f t="shared" si="82"/>
        <v>0</v>
      </c>
      <c r="AC120" s="1">
        <f t="shared" si="82"/>
        <v>0</v>
      </c>
      <c r="AD120" s="1">
        <f t="shared" si="82"/>
        <v>0</v>
      </c>
      <c r="AE120" s="1">
        <f t="shared" si="82"/>
        <v>0</v>
      </c>
      <c r="AF120" s="1">
        <f t="shared" si="82"/>
        <v>0</v>
      </c>
      <c r="AG120" s="1">
        <f t="shared" si="82"/>
        <v>0</v>
      </c>
      <c r="AH120" s="1">
        <f t="shared" si="82"/>
        <v>0</v>
      </c>
      <c r="AI120" s="1">
        <f t="shared" si="82"/>
        <v>0</v>
      </c>
      <c r="AJ120" s="1">
        <f t="shared" si="82"/>
        <v>0</v>
      </c>
      <c r="AK120" s="1">
        <f t="shared" si="82"/>
        <v>0</v>
      </c>
      <c r="AL120" s="1">
        <f t="shared" si="82"/>
        <v>0</v>
      </c>
      <c r="AM120" s="1">
        <f t="shared" si="82"/>
        <v>0</v>
      </c>
      <c r="AN120" s="1">
        <f t="shared" si="82"/>
        <v>0</v>
      </c>
      <c r="AO120" s="1">
        <f t="shared" si="82"/>
        <v>0</v>
      </c>
      <c r="AP120" s="1">
        <f t="shared" si="82"/>
        <v>0</v>
      </c>
      <c r="AQ120" s="1">
        <f t="shared" si="82"/>
        <v>0</v>
      </c>
      <c r="AR120" s="1">
        <f t="shared" si="82"/>
        <v>0</v>
      </c>
      <c r="AS120" s="1">
        <f t="shared" si="82"/>
        <v>0</v>
      </c>
      <c r="AT120" s="1">
        <f t="shared" si="82"/>
        <v>0</v>
      </c>
      <c r="AU120" s="1">
        <f t="shared" si="82"/>
        <v>0</v>
      </c>
      <c r="AV120" s="1">
        <f t="shared" si="82"/>
        <v>0</v>
      </c>
      <c r="AW120" s="1">
        <f t="shared" si="82"/>
        <v>0</v>
      </c>
      <c r="AX120" s="1">
        <f t="shared" si="82"/>
        <v>0</v>
      </c>
      <c r="AY120" s="1">
        <f t="shared" si="82"/>
        <v>0</v>
      </c>
      <c r="AZ120" s="1">
        <f t="shared" si="82"/>
        <v>0</v>
      </c>
      <c r="BA120" s="1">
        <f t="shared" si="82"/>
        <v>0</v>
      </c>
      <c r="BB120" s="1">
        <f t="shared" si="82"/>
        <v>0</v>
      </c>
      <c r="BC120" s="1">
        <f t="shared" si="82"/>
        <v>0</v>
      </c>
      <c r="BD120" s="1">
        <f t="shared" si="82"/>
        <v>0</v>
      </c>
      <c r="BE120" s="1">
        <f t="shared" si="82"/>
        <v>0</v>
      </c>
      <c r="BF120" s="1">
        <f t="shared" si="82"/>
        <v>0</v>
      </c>
      <c r="BG120" s="1">
        <f t="shared" si="82"/>
        <v>0</v>
      </c>
      <c r="BH120" s="1">
        <f t="shared" si="82"/>
        <v>0</v>
      </c>
      <c r="BI120" s="1">
        <f t="shared" si="82"/>
        <v>0</v>
      </c>
      <c r="BJ120" s="1">
        <f t="shared" si="82"/>
        <v>0</v>
      </c>
      <c r="BK120" s="1">
        <f t="shared" si="82"/>
        <v>0</v>
      </c>
      <c r="BL120" s="1">
        <f t="shared" si="82"/>
        <v>0</v>
      </c>
      <c r="BM120" s="1">
        <f t="shared" si="82"/>
        <v>0</v>
      </c>
      <c r="BN120" s="1">
        <f t="shared" si="82"/>
        <v>0</v>
      </c>
      <c r="BO120" s="1">
        <f t="shared" ref="BO120:BU120" si="83">BO118+BO119</f>
        <v>0</v>
      </c>
      <c r="BP120" s="1">
        <f t="shared" si="83"/>
        <v>0</v>
      </c>
      <c r="BQ120" s="1">
        <f t="shared" si="83"/>
        <v>0</v>
      </c>
      <c r="BR120" s="1">
        <f t="shared" si="83"/>
        <v>0</v>
      </c>
      <c r="BS120" s="1">
        <f t="shared" si="83"/>
        <v>0</v>
      </c>
      <c r="BT120" s="1">
        <f t="shared" si="83"/>
        <v>0</v>
      </c>
      <c r="BU120" s="1">
        <f t="shared" si="83"/>
        <v>0</v>
      </c>
      <c r="BV120" s="1">
        <f>BV118+BV119</f>
        <v>0</v>
      </c>
      <c r="BW120" s="1">
        <f>BW118+BW119</f>
        <v>0</v>
      </c>
    </row>
    <row r="121" spans="2:104">
      <c r="B121" s="1" t="s">
        <v>119</v>
      </c>
    </row>
    <row r="122" spans="2:104">
      <c r="B122" s="1" t="s">
        <v>120</v>
      </c>
      <c r="C122" s="1" t="e">
        <f t="shared" ref="C122:BN122" si="84">C120/C121</f>
        <v>#DIV/0!</v>
      </c>
      <c r="D122" s="1" t="e">
        <f t="shared" si="84"/>
        <v>#DIV/0!</v>
      </c>
      <c r="E122" s="1" t="e">
        <f t="shared" si="84"/>
        <v>#DIV/0!</v>
      </c>
      <c r="F122" s="1" t="e">
        <f t="shared" si="84"/>
        <v>#DIV/0!</v>
      </c>
      <c r="G122" s="1" t="e">
        <f t="shared" si="84"/>
        <v>#DIV/0!</v>
      </c>
      <c r="H122" s="1" t="e">
        <f t="shared" si="84"/>
        <v>#DIV/0!</v>
      </c>
      <c r="I122" s="1" t="e">
        <f t="shared" si="84"/>
        <v>#DIV/0!</v>
      </c>
      <c r="J122" s="1" t="e">
        <f t="shared" si="84"/>
        <v>#DIV/0!</v>
      </c>
      <c r="K122" s="1" t="e">
        <f t="shared" si="84"/>
        <v>#DIV/0!</v>
      </c>
      <c r="L122" s="1" t="e">
        <f t="shared" si="84"/>
        <v>#DIV/0!</v>
      </c>
      <c r="M122" s="1" t="e">
        <f t="shared" si="84"/>
        <v>#DIV/0!</v>
      </c>
      <c r="N122" s="1" t="e">
        <f t="shared" si="84"/>
        <v>#DIV/0!</v>
      </c>
      <c r="O122" s="1" t="e">
        <f t="shared" si="84"/>
        <v>#DIV/0!</v>
      </c>
      <c r="P122" s="1" t="e">
        <f t="shared" si="84"/>
        <v>#DIV/0!</v>
      </c>
      <c r="Q122" s="1" t="e">
        <f t="shared" si="84"/>
        <v>#DIV/0!</v>
      </c>
      <c r="R122" s="1" t="e">
        <f t="shared" si="84"/>
        <v>#DIV/0!</v>
      </c>
      <c r="S122" s="1" t="e">
        <f t="shared" si="84"/>
        <v>#DIV/0!</v>
      </c>
      <c r="T122" s="1" t="e">
        <f t="shared" si="84"/>
        <v>#DIV/0!</v>
      </c>
      <c r="U122" s="1" t="e">
        <f t="shared" si="84"/>
        <v>#DIV/0!</v>
      </c>
      <c r="V122" s="1" t="e">
        <f t="shared" si="84"/>
        <v>#DIV/0!</v>
      </c>
      <c r="W122" s="1" t="e">
        <f t="shared" si="84"/>
        <v>#DIV/0!</v>
      </c>
      <c r="X122" s="1" t="e">
        <f t="shared" si="84"/>
        <v>#DIV/0!</v>
      </c>
      <c r="Y122" s="1" t="e">
        <f t="shared" si="84"/>
        <v>#DIV/0!</v>
      </c>
      <c r="Z122" s="1" t="e">
        <f t="shared" si="84"/>
        <v>#DIV/0!</v>
      </c>
      <c r="AA122" s="1" t="e">
        <f t="shared" si="84"/>
        <v>#DIV/0!</v>
      </c>
      <c r="AB122" s="1" t="e">
        <f t="shared" si="84"/>
        <v>#DIV/0!</v>
      </c>
      <c r="AC122" s="1" t="e">
        <f t="shared" si="84"/>
        <v>#DIV/0!</v>
      </c>
      <c r="AD122" s="1" t="e">
        <f t="shared" si="84"/>
        <v>#DIV/0!</v>
      </c>
      <c r="AE122" s="1" t="e">
        <f t="shared" si="84"/>
        <v>#DIV/0!</v>
      </c>
      <c r="AF122" s="1" t="e">
        <f t="shared" si="84"/>
        <v>#DIV/0!</v>
      </c>
      <c r="AG122" s="1" t="e">
        <f t="shared" si="84"/>
        <v>#DIV/0!</v>
      </c>
      <c r="AH122" s="1" t="e">
        <f t="shared" si="84"/>
        <v>#DIV/0!</v>
      </c>
      <c r="AI122" s="1" t="e">
        <f t="shared" si="84"/>
        <v>#DIV/0!</v>
      </c>
      <c r="AJ122" s="1" t="e">
        <f t="shared" si="84"/>
        <v>#DIV/0!</v>
      </c>
      <c r="AK122" s="1" t="e">
        <f t="shared" si="84"/>
        <v>#DIV/0!</v>
      </c>
      <c r="AL122" s="1" t="e">
        <f t="shared" si="84"/>
        <v>#DIV/0!</v>
      </c>
      <c r="AM122" s="1" t="e">
        <f t="shared" si="84"/>
        <v>#DIV/0!</v>
      </c>
      <c r="AN122" s="1" t="e">
        <f t="shared" si="84"/>
        <v>#DIV/0!</v>
      </c>
      <c r="AO122" s="1" t="e">
        <f t="shared" si="84"/>
        <v>#DIV/0!</v>
      </c>
      <c r="AP122" s="1" t="e">
        <f t="shared" si="84"/>
        <v>#DIV/0!</v>
      </c>
      <c r="AQ122" s="1" t="e">
        <f t="shared" si="84"/>
        <v>#DIV/0!</v>
      </c>
      <c r="AR122" s="1" t="e">
        <f t="shared" si="84"/>
        <v>#DIV/0!</v>
      </c>
      <c r="AS122" s="1" t="e">
        <f t="shared" si="84"/>
        <v>#DIV/0!</v>
      </c>
      <c r="AT122" s="1" t="e">
        <f t="shared" si="84"/>
        <v>#DIV/0!</v>
      </c>
      <c r="AU122" s="1" t="e">
        <f t="shared" si="84"/>
        <v>#DIV/0!</v>
      </c>
      <c r="AV122" s="1" t="e">
        <f t="shared" si="84"/>
        <v>#DIV/0!</v>
      </c>
      <c r="AW122" s="1" t="e">
        <f t="shared" si="84"/>
        <v>#DIV/0!</v>
      </c>
      <c r="AX122" s="1" t="e">
        <f t="shared" si="84"/>
        <v>#DIV/0!</v>
      </c>
      <c r="AY122" s="1" t="e">
        <f t="shared" si="84"/>
        <v>#DIV/0!</v>
      </c>
      <c r="AZ122" s="1" t="e">
        <f t="shared" si="84"/>
        <v>#DIV/0!</v>
      </c>
      <c r="BA122" s="1" t="e">
        <f t="shared" si="84"/>
        <v>#DIV/0!</v>
      </c>
      <c r="BB122" s="1" t="e">
        <f t="shared" si="84"/>
        <v>#DIV/0!</v>
      </c>
      <c r="BC122" s="1" t="e">
        <f t="shared" si="84"/>
        <v>#DIV/0!</v>
      </c>
      <c r="BD122" s="1" t="e">
        <f t="shared" si="84"/>
        <v>#DIV/0!</v>
      </c>
      <c r="BE122" s="1" t="e">
        <f t="shared" si="84"/>
        <v>#DIV/0!</v>
      </c>
      <c r="BF122" s="1" t="e">
        <f t="shared" si="84"/>
        <v>#DIV/0!</v>
      </c>
      <c r="BG122" s="1" t="e">
        <f t="shared" si="84"/>
        <v>#DIV/0!</v>
      </c>
      <c r="BH122" s="1" t="e">
        <f t="shared" si="84"/>
        <v>#DIV/0!</v>
      </c>
      <c r="BI122" s="1" t="e">
        <f t="shared" si="84"/>
        <v>#DIV/0!</v>
      </c>
      <c r="BJ122" s="1" t="e">
        <f t="shared" si="84"/>
        <v>#DIV/0!</v>
      </c>
      <c r="BK122" s="1" t="e">
        <f t="shared" si="84"/>
        <v>#DIV/0!</v>
      </c>
      <c r="BL122" s="1" t="e">
        <f t="shared" si="84"/>
        <v>#DIV/0!</v>
      </c>
      <c r="BM122" s="1" t="e">
        <f t="shared" si="84"/>
        <v>#DIV/0!</v>
      </c>
      <c r="BN122" s="1" t="e">
        <f t="shared" si="84"/>
        <v>#DIV/0!</v>
      </c>
      <c r="BO122" s="1" t="e">
        <f t="shared" ref="BO122:BU122" si="85">BO120/BO121</f>
        <v>#DIV/0!</v>
      </c>
      <c r="BP122" s="1" t="e">
        <f t="shared" si="85"/>
        <v>#DIV/0!</v>
      </c>
      <c r="BQ122" s="1" t="e">
        <f t="shared" si="85"/>
        <v>#DIV/0!</v>
      </c>
      <c r="BR122" s="1" t="e">
        <f t="shared" si="85"/>
        <v>#DIV/0!</v>
      </c>
      <c r="BS122" s="1" t="e">
        <f t="shared" si="85"/>
        <v>#DIV/0!</v>
      </c>
      <c r="BT122" s="1" t="e">
        <f t="shared" si="85"/>
        <v>#DIV/0!</v>
      </c>
      <c r="BU122" s="1" t="e">
        <f t="shared" si="85"/>
        <v>#DIV/0!</v>
      </c>
      <c r="BV122" s="1" t="e">
        <f>BV120/BV121</f>
        <v>#DIV/0!</v>
      </c>
      <c r="BW122" s="1" t="e">
        <f>BW120/BW121</f>
        <v>#DIV/0!</v>
      </c>
    </row>
    <row r="124" spans="2:104">
      <c r="B124" s="1" t="s">
        <v>205</v>
      </c>
      <c r="C124" s="86" t="e">
        <f t="shared" ref="C124:BN124" si="86">C118/C46</f>
        <v>#DIV/0!</v>
      </c>
      <c r="D124" s="86" t="e">
        <f t="shared" si="86"/>
        <v>#DIV/0!</v>
      </c>
      <c r="E124" s="86" t="e">
        <f t="shared" si="86"/>
        <v>#DIV/0!</v>
      </c>
      <c r="F124" s="86" t="e">
        <f t="shared" si="86"/>
        <v>#DIV/0!</v>
      </c>
      <c r="G124" s="86" t="e">
        <f t="shared" si="86"/>
        <v>#DIV/0!</v>
      </c>
      <c r="H124" s="86" t="e">
        <f t="shared" si="86"/>
        <v>#DIV/0!</v>
      </c>
      <c r="I124" s="86" t="e">
        <f t="shared" si="86"/>
        <v>#DIV/0!</v>
      </c>
      <c r="J124" s="86" t="e">
        <f t="shared" si="86"/>
        <v>#DIV/0!</v>
      </c>
      <c r="K124" s="86" t="e">
        <f t="shared" si="86"/>
        <v>#DIV/0!</v>
      </c>
      <c r="L124" s="86" t="e">
        <f t="shared" si="86"/>
        <v>#DIV/0!</v>
      </c>
      <c r="M124" s="86" t="e">
        <f t="shared" si="86"/>
        <v>#DIV/0!</v>
      </c>
      <c r="N124" s="86" t="e">
        <f t="shared" si="86"/>
        <v>#DIV/0!</v>
      </c>
      <c r="O124" s="86" t="e">
        <f t="shared" si="86"/>
        <v>#DIV/0!</v>
      </c>
      <c r="P124" s="86" t="e">
        <f t="shared" si="86"/>
        <v>#DIV/0!</v>
      </c>
      <c r="Q124" s="86" t="e">
        <f t="shared" si="86"/>
        <v>#DIV/0!</v>
      </c>
      <c r="R124" s="86" t="e">
        <f t="shared" si="86"/>
        <v>#DIV/0!</v>
      </c>
      <c r="S124" s="86" t="e">
        <f t="shared" si="86"/>
        <v>#DIV/0!</v>
      </c>
      <c r="T124" s="86" t="e">
        <f t="shared" si="86"/>
        <v>#DIV/0!</v>
      </c>
      <c r="U124" s="86" t="e">
        <f t="shared" si="86"/>
        <v>#DIV/0!</v>
      </c>
      <c r="V124" s="86" t="e">
        <f t="shared" si="86"/>
        <v>#DIV/0!</v>
      </c>
      <c r="W124" s="86" t="e">
        <f t="shared" si="86"/>
        <v>#DIV/0!</v>
      </c>
      <c r="X124" s="86" t="e">
        <f t="shared" si="86"/>
        <v>#DIV/0!</v>
      </c>
      <c r="Y124" s="86" t="e">
        <f t="shared" si="86"/>
        <v>#DIV/0!</v>
      </c>
      <c r="Z124" s="86" t="e">
        <f t="shared" si="86"/>
        <v>#DIV/0!</v>
      </c>
      <c r="AA124" s="86" t="e">
        <f t="shared" si="86"/>
        <v>#DIV/0!</v>
      </c>
      <c r="AB124" s="86" t="e">
        <f t="shared" si="86"/>
        <v>#DIV/0!</v>
      </c>
      <c r="AC124" s="86" t="e">
        <f t="shared" si="86"/>
        <v>#DIV/0!</v>
      </c>
      <c r="AD124" s="86" t="e">
        <f t="shared" si="86"/>
        <v>#DIV/0!</v>
      </c>
      <c r="AE124" s="86" t="e">
        <f t="shared" si="86"/>
        <v>#DIV/0!</v>
      </c>
      <c r="AF124" s="86" t="e">
        <f t="shared" si="86"/>
        <v>#DIV/0!</v>
      </c>
      <c r="AG124" s="86" t="e">
        <f t="shared" si="86"/>
        <v>#DIV/0!</v>
      </c>
      <c r="AH124" s="86" t="e">
        <f t="shared" si="86"/>
        <v>#DIV/0!</v>
      </c>
      <c r="AI124" s="86" t="e">
        <f t="shared" si="86"/>
        <v>#DIV/0!</v>
      </c>
      <c r="AJ124" s="86" t="e">
        <f t="shared" si="86"/>
        <v>#DIV/0!</v>
      </c>
      <c r="AK124" s="86" t="e">
        <f t="shared" si="86"/>
        <v>#DIV/0!</v>
      </c>
      <c r="AL124" s="86" t="e">
        <f t="shared" si="86"/>
        <v>#DIV/0!</v>
      </c>
      <c r="AM124" s="86" t="e">
        <f t="shared" si="86"/>
        <v>#DIV/0!</v>
      </c>
      <c r="AN124" s="86" t="e">
        <f t="shared" si="86"/>
        <v>#DIV/0!</v>
      </c>
      <c r="AO124" s="86" t="e">
        <f t="shared" si="86"/>
        <v>#DIV/0!</v>
      </c>
      <c r="AP124" s="86" t="e">
        <f t="shared" si="86"/>
        <v>#DIV/0!</v>
      </c>
      <c r="AQ124" s="86" t="e">
        <f t="shared" si="86"/>
        <v>#DIV/0!</v>
      </c>
      <c r="AR124" s="86" t="e">
        <f t="shared" si="86"/>
        <v>#DIV/0!</v>
      </c>
      <c r="AS124" s="86" t="e">
        <f t="shared" si="86"/>
        <v>#DIV/0!</v>
      </c>
      <c r="AT124" s="86" t="e">
        <f t="shared" si="86"/>
        <v>#DIV/0!</v>
      </c>
      <c r="AU124" s="86" t="e">
        <f t="shared" si="86"/>
        <v>#DIV/0!</v>
      </c>
      <c r="AV124" s="86" t="e">
        <f t="shared" si="86"/>
        <v>#DIV/0!</v>
      </c>
      <c r="AW124" s="86" t="e">
        <f t="shared" si="86"/>
        <v>#DIV/0!</v>
      </c>
      <c r="AX124" s="86" t="e">
        <f t="shared" si="86"/>
        <v>#DIV/0!</v>
      </c>
      <c r="AY124" s="86" t="e">
        <f t="shared" si="86"/>
        <v>#DIV/0!</v>
      </c>
      <c r="AZ124" s="86" t="e">
        <f t="shared" si="86"/>
        <v>#DIV/0!</v>
      </c>
      <c r="BA124" s="86" t="e">
        <f t="shared" si="86"/>
        <v>#DIV/0!</v>
      </c>
      <c r="BB124" s="86" t="e">
        <f t="shared" si="86"/>
        <v>#DIV/0!</v>
      </c>
      <c r="BC124" s="86" t="e">
        <f t="shared" si="86"/>
        <v>#DIV/0!</v>
      </c>
      <c r="BD124" s="86" t="e">
        <f t="shared" si="86"/>
        <v>#DIV/0!</v>
      </c>
      <c r="BE124" s="86" t="e">
        <f t="shared" si="86"/>
        <v>#DIV/0!</v>
      </c>
      <c r="BF124" s="86" t="e">
        <f t="shared" si="86"/>
        <v>#DIV/0!</v>
      </c>
      <c r="BG124" s="86" t="e">
        <f t="shared" si="86"/>
        <v>#DIV/0!</v>
      </c>
      <c r="BH124" s="86" t="e">
        <f t="shared" si="86"/>
        <v>#DIV/0!</v>
      </c>
      <c r="BI124" s="86" t="e">
        <f t="shared" si="86"/>
        <v>#DIV/0!</v>
      </c>
      <c r="BJ124" s="86" t="e">
        <f t="shared" si="86"/>
        <v>#DIV/0!</v>
      </c>
      <c r="BK124" s="86" t="e">
        <f t="shared" si="86"/>
        <v>#DIV/0!</v>
      </c>
      <c r="BL124" s="86" t="e">
        <f t="shared" si="86"/>
        <v>#DIV/0!</v>
      </c>
      <c r="BM124" s="86" t="e">
        <f t="shared" si="86"/>
        <v>#DIV/0!</v>
      </c>
      <c r="BN124" s="86" t="e">
        <f t="shared" si="86"/>
        <v>#DIV/0!</v>
      </c>
      <c r="BO124" s="86" t="e">
        <f t="shared" ref="BO124:BV124" si="87">BO118/BO46</f>
        <v>#DIV/0!</v>
      </c>
      <c r="BP124" s="86" t="e">
        <f t="shared" si="87"/>
        <v>#DIV/0!</v>
      </c>
      <c r="BQ124" s="86" t="e">
        <f t="shared" si="87"/>
        <v>#DIV/0!</v>
      </c>
      <c r="BR124" s="86" t="e">
        <f t="shared" si="87"/>
        <v>#DIV/0!</v>
      </c>
      <c r="BS124" s="86" t="e">
        <f t="shared" si="87"/>
        <v>#DIV/0!</v>
      </c>
      <c r="BT124" s="86" t="e">
        <f t="shared" si="87"/>
        <v>#DIV/0!</v>
      </c>
      <c r="BU124" s="86" t="e">
        <f t="shared" si="87"/>
        <v>#DIV/0!</v>
      </c>
      <c r="BV124" s="86" t="e">
        <f t="shared" si="87"/>
        <v>#DIV/0!</v>
      </c>
      <c r="BW124" s="86" t="e">
        <f>BW118/BW46</f>
        <v>#DIV/0!</v>
      </c>
    </row>
    <row r="125" spans="2:104">
      <c r="B125" s="1" t="s">
        <v>206</v>
      </c>
      <c r="C125" s="86" t="e">
        <f t="shared" ref="C125:BN125" si="88">C120/C46</f>
        <v>#DIV/0!</v>
      </c>
      <c r="D125" s="86" t="e">
        <f t="shared" si="88"/>
        <v>#DIV/0!</v>
      </c>
      <c r="E125" s="86" t="e">
        <f t="shared" si="88"/>
        <v>#DIV/0!</v>
      </c>
      <c r="F125" s="86" t="e">
        <f t="shared" si="88"/>
        <v>#DIV/0!</v>
      </c>
      <c r="G125" s="86" t="e">
        <f t="shared" si="88"/>
        <v>#DIV/0!</v>
      </c>
      <c r="H125" s="86" t="e">
        <f t="shared" si="88"/>
        <v>#DIV/0!</v>
      </c>
      <c r="I125" s="86" t="e">
        <f t="shared" si="88"/>
        <v>#DIV/0!</v>
      </c>
      <c r="J125" s="86" t="e">
        <f t="shared" si="88"/>
        <v>#DIV/0!</v>
      </c>
      <c r="K125" s="86" t="e">
        <f t="shared" si="88"/>
        <v>#DIV/0!</v>
      </c>
      <c r="L125" s="86" t="e">
        <f t="shared" si="88"/>
        <v>#DIV/0!</v>
      </c>
      <c r="M125" s="86" t="e">
        <f t="shared" si="88"/>
        <v>#DIV/0!</v>
      </c>
      <c r="N125" s="86" t="e">
        <f t="shared" si="88"/>
        <v>#DIV/0!</v>
      </c>
      <c r="O125" s="86" t="e">
        <f t="shared" si="88"/>
        <v>#DIV/0!</v>
      </c>
      <c r="P125" s="86" t="e">
        <f t="shared" si="88"/>
        <v>#DIV/0!</v>
      </c>
      <c r="Q125" s="86" t="e">
        <f t="shared" si="88"/>
        <v>#DIV/0!</v>
      </c>
      <c r="R125" s="86" t="e">
        <f t="shared" si="88"/>
        <v>#DIV/0!</v>
      </c>
      <c r="S125" s="86" t="e">
        <f t="shared" si="88"/>
        <v>#DIV/0!</v>
      </c>
      <c r="T125" s="86" t="e">
        <f t="shared" si="88"/>
        <v>#DIV/0!</v>
      </c>
      <c r="U125" s="86" t="e">
        <f t="shared" si="88"/>
        <v>#DIV/0!</v>
      </c>
      <c r="V125" s="86" t="e">
        <f t="shared" si="88"/>
        <v>#DIV/0!</v>
      </c>
      <c r="W125" s="86" t="e">
        <f t="shared" si="88"/>
        <v>#DIV/0!</v>
      </c>
      <c r="X125" s="86" t="e">
        <f t="shared" si="88"/>
        <v>#DIV/0!</v>
      </c>
      <c r="Y125" s="86" t="e">
        <f t="shared" si="88"/>
        <v>#DIV/0!</v>
      </c>
      <c r="Z125" s="86" t="e">
        <f t="shared" si="88"/>
        <v>#DIV/0!</v>
      </c>
      <c r="AA125" s="86" t="e">
        <f t="shared" si="88"/>
        <v>#DIV/0!</v>
      </c>
      <c r="AB125" s="86" t="e">
        <f t="shared" si="88"/>
        <v>#DIV/0!</v>
      </c>
      <c r="AC125" s="86" t="e">
        <f t="shared" si="88"/>
        <v>#DIV/0!</v>
      </c>
      <c r="AD125" s="86" t="e">
        <f t="shared" si="88"/>
        <v>#DIV/0!</v>
      </c>
      <c r="AE125" s="86" t="e">
        <f t="shared" si="88"/>
        <v>#DIV/0!</v>
      </c>
      <c r="AF125" s="86" t="e">
        <f t="shared" si="88"/>
        <v>#DIV/0!</v>
      </c>
      <c r="AG125" s="86" t="e">
        <f t="shared" si="88"/>
        <v>#DIV/0!</v>
      </c>
      <c r="AH125" s="86" t="e">
        <f t="shared" si="88"/>
        <v>#DIV/0!</v>
      </c>
      <c r="AI125" s="86" t="e">
        <f t="shared" si="88"/>
        <v>#DIV/0!</v>
      </c>
      <c r="AJ125" s="86" t="e">
        <f t="shared" si="88"/>
        <v>#DIV/0!</v>
      </c>
      <c r="AK125" s="86" t="e">
        <f t="shared" si="88"/>
        <v>#DIV/0!</v>
      </c>
      <c r="AL125" s="86" t="e">
        <f t="shared" si="88"/>
        <v>#DIV/0!</v>
      </c>
      <c r="AM125" s="86" t="e">
        <f t="shared" si="88"/>
        <v>#DIV/0!</v>
      </c>
      <c r="AN125" s="86" t="e">
        <f t="shared" si="88"/>
        <v>#DIV/0!</v>
      </c>
      <c r="AO125" s="86" t="e">
        <f t="shared" si="88"/>
        <v>#DIV/0!</v>
      </c>
      <c r="AP125" s="86" t="e">
        <f t="shared" si="88"/>
        <v>#DIV/0!</v>
      </c>
      <c r="AQ125" s="86" t="e">
        <f t="shared" si="88"/>
        <v>#DIV/0!</v>
      </c>
      <c r="AR125" s="86" t="e">
        <f t="shared" si="88"/>
        <v>#DIV/0!</v>
      </c>
      <c r="AS125" s="86" t="e">
        <f t="shared" si="88"/>
        <v>#DIV/0!</v>
      </c>
      <c r="AT125" s="86" t="e">
        <f t="shared" si="88"/>
        <v>#DIV/0!</v>
      </c>
      <c r="AU125" s="86" t="e">
        <f t="shared" si="88"/>
        <v>#DIV/0!</v>
      </c>
      <c r="AV125" s="86" t="e">
        <f t="shared" si="88"/>
        <v>#DIV/0!</v>
      </c>
      <c r="AW125" s="86" t="e">
        <f t="shared" si="88"/>
        <v>#DIV/0!</v>
      </c>
      <c r="AX125" s="86" t="e">
        <f t="shared" si="88"/>
        <v>#DIV/0!</v>
      </c>
      <c r="AY125" s="86" t="e">
        <f t="shared" si="88"/>
        <v>#DIV/0!</v>
      </c>
      <c r="AZ125" s="86" t="e">
        <f t="shared" si="88"/>
        <v>#DIV/0!</v>
      </c>
      <c r="BA125" s="86" t="e">
        <f t="shared" si="88"/>
        <v>#DIV/0!</v>
      </c>
      <c r="BB125" s="86" t="e">
        <f t="shared" si="88"/>
        <v>#DIV/0!</v>
      </c>
      <c r="BC125" s="86" t="e">
        <f t="shared" si="88"/>
        <v>#DIV/0!</v>
      </c>
      <c r="BD125" s="86" t="e">
        <f t="shared" si="88"/>
        <v>#DIV/0!</v>
      </c>
      <c r="BE125" s="86" t="e">
        <f t="shared" si="88"/>
        <v>#DIV/0!</v>
      </c>
      <c r="BF125" s="86" t="e">
        <f t="shared" si="88"/>
        <v>#DIV/0!</v>
      </c>
      <c r="BG125" s="86" t="e">
        <f t="shared" si="88"/>
        <v>#DIV/0!</v>
      </c>
      <c r="BH125" s="86" t="e">
        <f t="shared" si="88"/>
        <v>#DIV/0!</v>
      </c>
      <c r="BI125" s="86" t="e">
        <f t="shared" si="88"/>
        <v>#DIV/0!</v>
      </c>
      <c r="BJ125" s="86" t="e">
        <f t="shared" si="88"/>
        <v>#DIV/0!</v>
      </c>
      <c r="BK125" s="86" t="e">
        <f t="shared" si="88"/>
        <v>#DIV/0!</v>
      </c>
      <c r="BL125" s="86" t="e">
        <f t="shared" si="88"/>
        <v>#DIV/0!</v>
      </c>
      <c r="BM125" s="86" t="e">
        <f t="shared" si="88"/>
        <v>#DIV/0!</v>
      </c>
      <c r="BN125" s="86" t="e">
        <f t="shared" si="88"/>
        <v>#DIV/0!</v>
      </c>
      <c r="BO125" s="86" t="e">
        <f t="shared" ref="BO125:BV125" si="89">BO120/BO46</f>
        <v>#DIV/0!</v>
      </c>
      <c r="BP125" s="86" t="e">
        <f t="shared" si="89"/>
        <v>#DIV/0!</v>
      </c>
      <c r="BQ125" s="86" t="e">
        <f t="shared" si="89"/>
        <v>#DIV/0!</v>
      </c>
      <c r="BR125" s="86" t="e">
        <f t="shared" si="89"/>
        <v>#DIV/0!</v>
      </c>
      <c r="BS125" s="86" t="e">
        <f t="shared" si="89"/>
        <v>#DIV/0!</v>
      </c>
      <c r="BT125" s="86" t="e">
        <f t="shared" si="89"/>
        <v>#DIV/0!</v>
      </c>
      <c r="BU125" s="86" t="e">
        <f t="shared" si="89"/>
        <v>#DIV/0!</v>
      </c>
      <c r="BV125" s="86" t="e">
        <f t="shared" si="89"/>
        <v>#DIV/0!</v>
      </c>
      <c r="BW125" s="86" t="e">
        <f>BW120/BW46</f>
        <v>#DIV/0!</v>
      </c>
    </row>
    <row r="126" spans="2:104">
      <c r="B126" s="1" t="s">
        <v>207</v>
      </c>
      <c r="C126" s="86" t="e">
        <f t="shared" ref="C126:BN126" si="90">C119/C46</f>
        <v>#DIV/0!</v>
      </c>
      <c r="D126" s="86" t="e">
        <f t="shared" si="90"/>
        <v>#DIV/0!</v>
      </c>
      <c r="E126" s="86" t="e">
        <f t="shared" si="90"/>
        <v>#DIV/0!</v>
      </c>
      <c r="F126" s="86" t="e">
        <f t="shared" si="90"/>
        <v>#DIV/0!</v>
      </c>
      <c r="G126" s="86" t="e">
        <f t="shared" si="90"/>
        <v>#DIV/0!</v>
      </c>
      <c r="H126" s="86" t="e">
        <f t="shared" si="90"/>
        <v>#DIV/0!</v>
      </c>
      <c r="I126" s="86" t="e">
        <f t="shared" si="90"/>
        <v>#DIV/0!</v>
      </c>
      <c r="J126" s="86" t="e">
        <f t="shared" si="90"/>
        <v>#DIV/0!</v>
      </c>
      <c r="K126" s="86" t="e">
        <f t="shared" si="90"/>
        <v>#DIV/0!</v>
      </c>
      <c r="L126" s="86" t="e">
        <f t="shared" si="90"/>
        <v>#DIV/0!</v>
      </c>
      <c r="M126" s="86" t="e">
        <f t="shared" si="90"/>
        <v>#DIV/0!</v>
      </c>
      <c r="N126" s="86" t="e">
        <f t="shared" si="90"/>
        <v>#DIV/0!</v>
      </c>
      <c r="O126" s="86" t="e">
        <f t="shared" si="90"/>
        <v>#DIV/0!</v>
      </c>
      <c r="P126" s="86" t="e">
        <f t="shared" si="90"/>
        <v>#DIV/0!</v>
      </c>
      <c r="Q126" s="86" t="e">
        <f t="shared" si="90"/>
        <v>#DIV/0!</v>
      </c>
      <c r="R126" s="86" t="e">
        <f t="shared" si="90"/>
        <v>#DIV/0!</v>
      </c>
      <c r="S126" s="86" t="e">
        <f t="shared" si="90"/>
        <v>#DIV/0!</v>
      </c>
      <c r="T126" s="86" t="e">
        <f t="shared" si="90"/>
        <v>#DIV/0!</v>
      </c>
      <c r="U126" s="86" t="e">
        <f t="shared" si="90"/>
        <v>#DIV/0!</v>
      </c>
      <c r="V126" s="86" t="e">
        <f t="shared" si="90"/>
        <v>#DIV/0!</v>
      </c>
      <c r="W126" s="86" t="e">
        <f t="shared" si="90"/>
        <v>#DIV/0!</v>
      </c>
      <c r="X126" s="86" t="e">
        <f t="shared" si="90"/>
        <v>#DIV/0!</v>
      </c>
      <c r="Y126" s="86" t="e">
        <f t="shared" si="90"/>
        <v>#DIV/0!</v>
      </c>
      <c r="Z126" s="86" t="e">
        <f t="shared" si="90"/>
        <v>#DIV/0!</v>
      </c>
      <c r="AA126" s="86" t="e">
        <f t="shared" si="90"/>
        <v>#DIV/0!</v>
      </c>
      <c r="AB126" s="86" t="e">
        <f t="shared" si="90"/>
        <v>#DIV/0!</v>
      </c>
      <c r="AC126" s="86" t="e">
        <f t="shared" si="90"/>
        <v>#DIV/0!</v>
      </c>
      <c r="AD126" s="86" t="e">
        <f t="shared" si="90"/>
        <v>#DIV/0!</v>
      </c>
      <c r="AE126" s="86" t="e">
        <f t="shared" si="90"/>
        <v>#DIV/0!</v>
      </c>
      <c r="AF126" s="86" t="e">
        <f t="shared" si="90"/>
        <v>#DIV/0!</v>
      </c>
      <c r="AG126" s="86" t="e">
        <f t="shared" si="90"/>
        <v>#DIV/0!</v>
      </c>
      <c r="AH126" s="86" t="e">
        <f t="shared" si="90"/>
        <v>#DIV/0!</v>
      </c>
      <c r="AI126" s="86" t="e">
        <f t="shared" si="90"/>
        <v>#DIV/0!</v>
      </c>
      <c r="AJ126" s="86" t="e">
        <f t="shared" si="90"/>
        <v>#DIV/0!</v>
      </c>
      <c r="AK126" s="86" t="e">
        <f t="shared" si="90"/>
        <v>#DIV/0!</v>
      </c>
      <c r="AL126" s="86" t="e">
        <f t="shared" si="90"/>
        <v>#DIV/0!</v>
      </c>
      <c r="AM126" s="86" t="e">
        <f t="shared" si="90"/>
        <v>#DIV/0!</v>
      </c>
      <c r="AN126" s="86" t="e">
        <f t="shared" si="90"/>
        <v>#DIV/0!</v>
      </c>
      <c r="AO126" s="86" t="e">
        <f t="shared" si="90"/>
        <v>#DIV/0!</v>
      </c>
      <c r="AP126" s="86" t="e">
        <f t="shared" si="90"/>
        <v>#DIV/0!</v>
      </c>
      <c r="AQ126" s="86" t="e">
        <f t="shared" si="90"/>
        <v>#DIV/0!</v>
      </c>
      <c r="AR126" s="86" t="e">
        <f t="shared" si="90"/>
        <v>#DIV/0!</v>
      </c>
      <c r="AS126" s="86" t="e">
        <f t="shared" si="90"/>
        <v>#DIV/0!</v>
      </c>
      <c r="AT126" s="86" t="e">
        <f t="shared" si="90"/>
        <v>#DIV/0!</v>
      </c>
      <c r="AU126" s="86" t="e">
        <f t="shared" si="90"/>
        <v>#DIV/0!</v>
      </c>
      <c r="AV126" s="86" t="e">
        <f t="shared" si="90"/>
        <v>#DIV/0!</v>
      </c>
      <c r="AW126" s="86" t="e">
        <f t="shared" si="90"/>
        <v>#DIV/0!</v>
      </c>
      <c r="AX126" s="86" t="e">
        <f t="shared" si="90"/>
        <v>#DIV/0!</v>
      </c>
      <c r="AY126" s="86" t="e">
        <f t="shared" si="90"/>
        <v>#DIV/0!</v>
      </c>
      <c r="AZ126" s="86" t="e">
        <f t="shared" si="90"/>
        <v>#DIV/0!</v>
      </c>
      <c r="BA126" s="86" t="e">
        <f t="shared" si="90"/>
        <v>#DIV/0!</v>
      </c>
      <c r="BB126" s="86" t="e">
        <f t="shared" si="90"/>
        <v>#DIV/0!</v>
      </c>
      <c r="BC126" s="86" t="e">
        <f t="shared" si="90"/>
        <v>#DIV/0!</v>
      </c>
      <c r="BD126" s="86" t="e">
        <f t="shared" si="90"/>
        <v>#DIV/0!</v>
      </c>
      <c r="BE126" s="86" t="e">
        <f t="shared" si="90"/>
        <v>#DIV/0!</v>
      </c>
      <c r="BF126" s="86" t="e">
        <f t="shared" si="90"/>
        <v>#DIV/0!</v>
      </c>
      <c r="BG126" s="86" t="e">
        <f t="shared" si="90"/>
        <v>#DIV/0!</v>
      </c>
      <c r="BH126" s="86" t="e">
        <f t="shared" si="90"/>
        <v>#DIV/0!</v>
      </c>
      <c r="BI126" s="86" t="e">
        <f t="shared" si="90"/>
        <v>#DIV/0!</v>
      </c>
      <c r="BJ126" s="86" t="e">
        <f t="shared" si="90"/>
        <v>#DIV/0!</v>
      </c>
      <c r="BK126" s="86" t="e">
        <f t="shared" si="90"/>
        <v>#DIV/0!</v>
      </c>
      <c r="BL126" s="86" t="e">
        <f t="shared" si="90"/>
        <v>#DIV/0!</v>
      </c>
      <c r="BM126" s="86" t="e">
        <f t="shared" si="90"/>
        <v>#DIV/0!</v>
      </c>
      <c r="BN126" s="86" t="e">
        <f t="shared" si="90"/>
        <v>#DIV/0!</v>
      </c>
      <c r="BO126" s="86" t="e">
        <f t="shared" ref="BO126:BV126" si="91">BO119/BO46</f>
        <v>#DIV/0!</v>
      </c>
      <c r="BP126" s="86" t="e">
        <f t="shared" si="91"/>
        <v>#DIV/0!</v>
      </c>
      <c r="BQ126" s="86" t="e">
        <f t="shared" si="91"/>
        <v>#DIV/0!</v>
      </c>
      <c r="BR126" s="86" t="e">
        <f t="shared" si="91"/>
        <v>#DIV/0!</v>
      </c>
      <c r="BS126" s="86" t="e">
        <f t="shared" si="91"/>
        <v>#DIV/0!</v>
      </c>
      <c r="BT126" s="86" t="e">
        <f t="shared" si="91"/>
        <v>#DIV/0!</v>
      </c>
      <c r="BU126" s="86" t="e">
        <f t="shared" si="91"/>
        <v>#DIV/0!</v>
      </c>
      <c r="BV126" s="86" t="e">
        <f t="shared" si="91"/>
        <v>#DIV/0!</v>
      </c>
      <c r="BW126" s="86" t="e">
        <f>BW119/BW46</f>
        <v>#DIV/0!</v>
      </c>
    </row>
  </sheetData>
  <mergeCells count="1">
    <mergeCell ref="DI89:DJ89"/>
  </mergeCells>
  <conditionalFormatting sqref="D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Sell",DI89)))</formula>
    </cfRule>
    <cfRule type="containsText" dxfId="3" priority="3" operator="containsText" text="Sell">
      <formula>NOT(ISERROR(SEARCH("Sell",DI89)))</formula>
    </cfRule>
    <cfRule type="containsText" dxfId="2" priority="4" operator="containsText" text="Hold">
      <formula>NOT(ISERROR(SEARCH("Hold",DI89)))</formula>
    </cfRule>
    <cfRule type="beginsWith" dxfId="1" priority="5" operator="beginsWith" text="Buy">
      <formula>LEFT(DI89,LEN("Buy"))="Buy"</formula>
    </cfRule>
    <cfRule type="beginsWith" dxfId="0" priority="6" operator="beginsWith" text="Strong">
      <formula>LEFT(DI89,LEN("Strong"))="Strong"</formula>
    </cfRule>
  </conditionalFormatting>
  <pageMargins left="0.7" right="0.7" top="0.75" bottom="0.75" header="0.3" footer="0.3"/>
  <ignoredErrors>
    <ignoredError sqref="DB26:DJ26 CJ16:CY16 CJ17:CY28 BC16:BT26 DE83:DE85 DG79:DG80 DI81:DJ89 DK88 BC36:BT39 CZ108:CZ115 BV108:BV115 DE89:DE92 DE98 CZ16:CZ28 BU36:BV39 BU16:BV26 BU27:BW35 BW16:BW26 BW36:BW39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L1557"/>
  <sheetViews>
    <sheetView topLeftCell="L16" zoomScale="55" zoomScaleNormal="55" workbookViewId="0">
      <selection activeCell="L16" sqref="A1:XFD1048576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9" width="9.140625" style="1"/>
    <col min="40" max="40" width="2.85546875" style="1" customWidth="1"/>
    <col min="41" max="16384" width="9.140625" style="1"/>
  </cols>
  <sheetData>
    <row r="1" spans="16:90">
      <c r="CL1" s="1">
        <v>0</v>
      </c>
    </row>
    <row r="2" spans="16:90" ht="15">
      <c r="P2" s="2" t="s">
        <v>154</v>
      </c>
      <c r="AO2" s="2" t="s">
        <v>203</v>
      </c>
    </row>
    <row r="35" spans="16:41" ht="15">
      <c r="AO35" s="2" t="s">
        <v>204</v>
      </c>
    </row>
    <row r="36" spans="16:41" ht="15">
      <c r="P36" s="2" t="s">
        <v>202</v>
      </c>
      <c r="AO36" s="2" t="s">
        <v>121</v>
      </c>
    </row>
    <row r="37" spans="16:41">
      <c r="Q37" s="1" t="s">
        <v>22</v>
      </c>
      <c r="AO37" s="1" t="s">
        <v>122</v>
      </c>
    </row>
    <row r="69" spans="16:41" ht="15">
      <c r="P69" s="2" t="s">
        <v>23</v>
      </c>
      <c r="AO69" s="2" t="s">
        <v>123</v>
      </c>
    </row>
    <row r="70" spans="16:41">
      <c r="AO70" s="1" t="s">
        <v>179</v>
      </c>
    </row>
    <row r="101" spans="16:41">
      <c r="Q101" s="1" t="s">
        <v>24</v>
      </c>
      <c r="R101" s="1" t="s">
        <v>25</v>
      </c>
    </row>
    <row r="102" spans="16:41">
      <c r="R102" s="1" t="s">
        <v>26</v>
      </c>
    </row>
    <row r="103" spans="16:41">
      <c r="R103" s="1" t="s">
        <v>27</v>
      </c>
    </row>
    <row r="105" spans="16:41" ht="15">
      <c r="P105" s="2" t="s">
        <v>157</v>
      </c>
      <c r="AO105" s="2" t="s">
        <v>124</v>
      </c>
    </row>
    <row r="106" spans="16:41">
      <c r="AO106" s="1" t="s">
        <v>125</v>
      </c>
    </row>
    <row r="134" spans="16:41">
      <c r="Q134" s="1" t="s">
        <v>24</v>
      </c>
      <c r="R134" s="1" t="s">
        <v>25</v>
      </c>
    </row>
    <row r="135" spans="16:41">
      <c r="R135" s="1" t="s">
        <v>26</v>
      </c>
    </row>
    <row r="136" spans="16:41">
      <c r="R136" s="1" t="s">
        <v>27</v>
      </c>
    </row>
    <row r="138" spans="16:41" ht="15">
      <c r="P138" s="2" t="s">
        <v>156</v>
      </c>
      <c r="AO138" s="2" t="s">
        <v>126</v>
      </c>
    </row>
    <row r="139" spans="16:41">
      <c r="AO139" s="1" t="s">
        <v>127</v>
      </c>
    </row>
    <row r="154" s="1" customFormat="1" ht="15" customHeight="1"/>
    <row r="167" spans="17:18">
      <c r="Q167" s="1" t="s">
        <v>24</v>
      </c>
      <c r="R167" s="1" t="s">
        <v>25</v>
      </c>
    </row>
    <row r="168" spans="17:18">
      <c r="R168" s="1" t="s">
        <v>26</v>
      </c>
    </row>
    <row r="169" spans="17:18">
      <c r="R169" s="1" t="s">
        <v>27</v>
      </c>
    </row>
    <row r="184" spans="1:15">
      <c r="A184" s="1" t="s">
        <v>180</v>
      </c>
    </row>
    <row r="185" spans="1:15">
      <c r="A185" s="1" t="s">
        <v>35</v>
      </c>
      <c r="I185" s="1" t="s">
        <v>35</v>
      </c>
    </row>
    <row r="186" spans="1:15">
      <c r="A186" s="24" t="s">
        <v>28</v>
      </c>
      <c r="B186" s="24" t="s">
        <v>29</v>
      </c>
      <c r="C186" s="24" t="s">
        <v>30</v>
      </c>
      <c r="D186" s="24" t="s">
        <v>31</v>
      </c>
      <c r="E186" s="24" t="s">
        <v>32</v>
      </c>
      <c r="F186" s="24" t="s">
        <v>33</v>
      </c>
      <c r="G186" s="24" t="s">
        <v>34</v>
      </c>
      <c r="I186" s="24" t="s">
        <v>28</v>
      </c>
      <c r="J186" s="24" t="s">
        <v>29</v>
      </c>
      <c r="K186" s="24" t="s">
        <v>30</v>
      </c>
      <c r="L186" s="24" t="s">
        <v>31</v>
      </c>
      <c r="M186" s="24" t="s">
        <v>32</v>
      </c>
      <c r="N186" s="24" t="s">
        <v>33</v>
      </c>
      <c r="O186" s="24" t="s">
        <v>34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36</v>
      </c>
      <c r="S209" s="27" t="e">
        <f>MIN(O181:O1143)</f>
        <v>#DIV/0!</v>
      </c>
    </row>
    <row r="210" spans="7:28">
      <c r="G210" s="25"/>
      <c r="O210" s="25"/>
      <c r="Q210" s="26"/>
      <c r="R210" s="26" t="s">
        <v>37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38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39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40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41</v>
      </c>
      <c r="S214" s="27" t="e">
        <f>3*S213</f>
        <v>#DIV/0!</v>
      </c>
      <c r="T214" s="26"/>
      <c r="U214" s="2" t="s">
        <v>138</v>
      </c>
    </row>
    <row r="215" spans="7:28" ht="15">
      <c r="G215" s="25"/>
      <c r="O215" s="25"/>
      <c r="Q215" s="26"/>
      <c r="R215" s="28" t="s">
        <v>42</v>
      </c>
      <c r="S215" s="60" t="e">
        <f>_xlfn.COVARIANCE.P(O132:O380,G132:G380)/_xlfn.VAR.P(G132:G380)</f>
        <v>#DIV/0!</v>
      </c>
      <c r="T215" s="26"/>
      <c r="U215" s="2" t="s">
        <v>43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44</v>
      </c>
      <c r="U218" s="30">
        <v>1014</v>
      </c>
    </row>
    <row r="219" spans="7:28" ht="15" thickBot="1">
      <c r="G219" s="25"/>
      <c r="O219" s="25"/>
      <c r="T219" s="1" t="s">
        <v>45</v>
      </c>
      <c r="W219" s="1" t="s">
        <v>46</v>
      </c>
      <c r="AA219" s="1" t="s">
        <v>47</v>
      </c>
    </row>
    <row r="220" spans="7:28" ht="15" customHeight="1">
      <c r="G220" s="25"/>
      <c r="O220" s="25"/>
      <c r="T220" s="31" t="s">
        <v>48</v>
      </c>
      <c r="U220" s="31" t="s">
        <v>49</v>
      </c>
      <c r="W220" s="32" t="s">
        <v>50</v>
      </c>
      <c r="X220" s="33" t="s">
        <v>51</v>
      </c>
      <c r="AA220" s="32" t="s">
        <v>52</v>
      </c>
      <c r="AB220" s="33" t="s">
        <v>53</v>
      </c>
    </row>
    <row r="221" spans="7:28">
      <c r="G221" s="25"/>
      <c r="O221" s="25"/>
      <c r="R221" s="59">
        <f t="shared" ref="R221:R249" si="0">R222-0.001</f>
        <v>-3.1000000000000021E-2</v>
      </c>
      <c r="Z221" s="1" t="s">
        <v>128</v>
      </c>
      <c r="AA221" s="59" t="e">
        <f>S211</f>
        <v>#DIV/0!</v>
      </c>
    </row>
    <row r="222" spans="7:28">
      <c r="G222" s="25"/>
      <c r="O222" s="25"/>
      <c r="R222" s="59">
        <f t="shared" si="0"/>
        <v>-3.000000000000002E-2</v>
      </c>
      <c r="AA222" s="59" t="e">
        <f>S211</f>
        <v>#DIV/0!</v>
      </c>
    </row>
    <row r="223" spans="7:28">
      <c r="G223" s="25"/>
      <c r="O223" s="25"/>
      <c r="R223" s="59">
        <f t="shared" si="0"/>
        <v>-2.9000000000000019E-2</v>
      </c>
      <c r="Z223" s="40" t="s">
        <v>129</v>
      </c>
      <c r="AA223" s="59" t="e">
        <f>($S$213*-3)+$S$211</f>
        <v>#DIV/0!</v>
      </c>
    </row>
    <row r="224" spans="7:28">
      <c r="G224" s="25"/>
      <c r="O224" s="25"/>
      <c r="R224" s="59">
        <f t="shared" si="0"/>
        <v>-2.8000000000000018E-2</v>
      </c>
      <c r="Z224" s="41"/>
      <c r="AA224" s="59" t="e">
        <f>($S$213*-3)+$S$211</f>
        <v>#DIV/0!</v>
      </c>
    </row>
    <row r="225" spans="7:27">
      <c r="G225" s="25"/>
      <c r="O225" s="25"/>
      <c r="R225" s="59">
        <f t="shared" si="0"/>
        <v>-2.7000000000000017E-2</v>
      </c>
      <c r="Z225" s="40" t="s">
        <v>130</v>
      </c>
      <c r="AA225" s="59" t="e">
        <f>($S$213*-2)+$S$211</f>
        <v>#DIV/0!</v>
      </c>
    </row>
    <row r="226" spans="7:27">
      <c r="G226" s="25"/>
      <c r="O226" s="25"/>
      <c r="R226" s="59">
        <f t="shared" si="0"/>
        <v>-2.6000000000000016E-2</v>
      </c>
      <c r="Z226" s="41"/>
      <c r="AA226" s="59" t="e">
        <f>($S$213*-2)+$S$211</f>
        <v>#DIV/0!</v>
      </c>
    </row>
    <row r="227" spans="7:27">
      <c r="G227" s="25"/>
      <c r="O227" s="25"/>
      <c r="R227" s="59">
        <f t="shared" si="0"/>
        <v>-2.5000000000000015E-2</v>
      </c>
      <c r="Z227" s="42" t="s">
        <v>131</v>
      </c>
      <c r="AA227" s="59" t="e">
        <f>($S$213*-1)+$S$211</f>
        <v>#DIV/0!</v>
      </c>
    </row>
    <row r="228" spans="7:27">
      <c r="G228" s="25"/>
      <c r="O228" s="25"/>
      <c r="R228" s="59">
        <f t="shared" si="0"/>
        <v>-2.4000000000000014E-2</v>
      </c>
      <c r="AA228" s="59" t="e">
        <f>($S$213*-1)+$S$211</f>
        <v>#DIV/0!</v>
      </c>
    </row>
    <row r="229" spans="7:27">
      <c r="G229" s="25"/>
      <c r="O229" s="25"/>
      <c r="R229" s="59">
        <f t="shared" si="0"/>
        <v>-2.3000000000000013E-2</v>
      </c>
      <c r="Z229" s="1" t="s">
        <v>132</v>
      </c>
      <c r="AA229" s="59" t="e">
        <f>($S$213*1)+$S$211</f>
        <v>#DIV/0!</v>
      </c>
    </row>
    <row r="230" spans="7:27">
      <c r="G230" s="25"/>
      <c r="O230" s="25"/>
      <c r="R230" s="59">
        <f t="shared" si="0"/>
        <v>-2.2000000000000013E-2</v>
      </c>
      <c r="AA230" s="59" t="e">
        <f>($S$213*1)+$S$211</f>
        <v>#DIV/0!</v>
      </c>
    </row>
    <row r="231" spans="7:27">
      <c r="G231" s="25"/>
      <c r="O231" s="25"/>
      <c r="R231" s="59">
        <f t="shared" si="0"/>
        <v>-2.1000000000000012E-2</v>
      </c>
      <c r="Z231" s="43" t="s">
        <v>133</v>
      </c>
      <c r="AA231" s="59" t="e">
        <f>($S$213*2)+$S$211</f>
        <v>#DIV/0!</v>
      </c>
    </row>
    <row r="232" spans="7:27">
      <c r="G232" s="25"/>
      <c r="O232" s="25"/>
      <c r="R232" s="59">
        <f t="shared" si="0"/>
        <v>-2.0000000000000011E-2</v>
      </c>
      <c r="AA232" s="59" t="e">
        <f>($S$213*2)+$S$211</f>
        <v>#DIV/0!</v>
      </c>
    </row>
    <row r="233" spans="7:27">
      <c r="G233" s="25"/>
      <c r="O233" s="25"/>
      <c r="R233" s="59">
        <f t="shared" si="0"/>
        <v>-1.900000000000001E-2</v>
      </c>
      <c r="Z233" s="43" t="s">
        <v>134</v>
      </c>
      <c r="AA233" s="59" t="e">
        <f>($S$213*3)+$S$211</f>
        <v>#DIV/0!</v>
      </c>
    </row>
    <row r="234" spans="7:27">
      <c r="G234" s="25"/>
      <c r="O234" s="25"/>
      <c r="R234" s="59">
        <f t="shared" si="0"/>
        <v>-1.8000000000000009E-2</v>
      </c>
      <c r="Z234" s="43"/>
      <c r="AA234" s="59" t="e">
        <f>($S$213*3)+$S$211</f>
        <v>#DIV/0!</v>
      </c>
    </row>
    <row r="235" spans="7:27">
      <c r="G235" s="25"/>
      <c r="O235" s="25"/>
      <c r="R235" s="59">
        <f t="shared" si="0"/>
        <v>-1.7000000000000008E-2</v>
      </c>
    </row>
    <row r="236" spans="7:27">
      <c r="G236" s="25"/>
      <c r="O236" s="25"/>
      <c r="R236" s="59">
        <f t="shared" si="0"/>
        <v>-1.6000000000000007E-2</v>
      </c>
    </row>
    <row r="237" spans="7:27">
      <c r="G237" s="25"/>
      <c r="O237" s="25"/>
      <c r="R237" s="59">
        <f t="shared" si="0"/>
        <v>-1.5000000000000006E-2</v>
      </c>
    </row>
    <row r="238" spans="7:27">
      <c r="G238" s="25"/>
      <c r="O238" s="25"/>
      <c r="R238" s="59">
        <f t="shared" si="0"/>
        <v>-1.4000000000000005E-2</v>
      </c>
    </row>
    <row r="239" spans="7:27">
      <c r="G239" s="25"/>
      <c r="O239" s="25"/>
      <c r="R239" s="59">
        <f t="shared" si="0"/>
        <v>-1.3000000000000005E-2</v>
      </c>
    </row>
    <row r="240" spans="7:27">
      <c r="G240" s="25"/>
      <c r="O240" s="25"/>
      <c r="R240" s="59">
        <f t="shared" si="0"/>
        <v>-1.2000000000000004E-2</v>
      </c>
    </row>
    <row r="241" spans="7:18">
      <c r="G241" s="25"/>
      <c r="O241" s="25"/>
      <c r="R241" s="59">
        <f t="shared" si="0"/>
        <v>-1.1000000000000003E-2</v>
      </c>
    </row>
    <row r="242" spans="7:18">
      <c r="G242" s="25"/>
      <c r="O242" s="25"/>
      <c r="R242" s="59">
        <f t="shared" si="0"/>
        <v>-1.0000000000000002E-2</v>
      </c>
    </row>
    <row r="243" spans="7:18">
      <c r="G243" s="25"/>
      <c r="O243" s="25"/>
      <c r="R243" s="59">
        <f t="shared" si="0"/>
        <v>-9.0000000000000011E-3</v>
      </c>
    </row>
    <row r="244" spans="7:18">
      <c r="G244" s="25"/>
      <c r="O244" s="25"/>
      <c r="R244" s="59">
        <f t="shared" si="0"/>
        <v>-8.0000000000000002E-3</v>
      </c>
    </row>
    <row r="245" spans="7:18">
      <c r="G245" s="25"/>
      <c r="O245" s="25"/>
      <c r="R245" s="59">
        <f t="shared" si="0"/>
        <v>-7.0000000000000001E-3</v>
      </c>
    </row>
    <row r="246" spans="7:18">
      <c r="G246" s="25"/>
      <c r="O246" s="25"/>
      <c r="R246" s="59">
        <f t="shared" si="0"/>
        <v>-6.0000000000000001E-3</v>
      </c>
    </row>
    <row r="247" spans="7:18">
      <c r="G247" s="25"/>
      <c r="O247" s="25"/>
      <c r="R247" s="59">
        <f t="shared" si="0"/>
        <v>-5.0000000000000001E-3</v>
      </c>
    </row>
    <row r="248" spans="7:18">
      <c r="G248" s="25"/>
      <c r="O248" s="25"/>
      <c r="R248" s="59">
        <f t="shared" si="0"/>
        <v>-4.0000000000000001E-3</v>
      </c>
    </row>
    <row r="249" spans="7:18">
      <c r="G249" s="25"/>
      <c r="O249" s="25"/>
      <c r="R249" s="59">
        <f t="shared" si="0"/>
        <v>-3.0000000000000001E-3</v>
      </c>
    </row>
    <row r="250" spans="7:18">
      <c r="G250" s="25"/>
      <c r="O250" s="25"/>
      <c r="R250" s="59">
        <f>R251-0.001</f>
        <v>-2E-3</v>
      </c>
    </row>
    <row r="251" spans="7:18">
      <c r="G251" s="25"/>
      <c r="O251" s="25"/>
      <c r="R251" s="59">
        <f>R252-0.001</f>
        <v>-1E-3</v>
      </c>
    </row>
    <row r="252" spans="7:18">
      <c r="G252" s="25"/>
      <c r="O252" s="25"/>
      <c r="R252" s="59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18</v>
      </c>
      <c r="C2" s="4"/>
      <c r="D2" s="4"/>
      <c r="E2" s="4"/>
      <c r="F2" s="4"/>
      <c r="G2" s="3" t="s">
        <v>18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19</v>
      </c>
      <c r="C3" s="8"/>
      <c r="D3" s="8"/>
      <c r="E3" s="8"/>
      <c r="F3" s="9"/>
      <c r="G3" s="10" t="s">
        <v>20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19</v>
      </c>
      <c r="C4" s="13"/>
      <c r="D4" s="13"/>
      <c r="E4" s="13"/>
      <c r="F4" s="14"/>
      <c r="G4" s="15" t="s">
        <v>21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19</v>
      </c>
      <c r="C5" s="13"/>
      <c r="D5" s="13"/>
      <c r="E5" s="13"/>
      <c r="F5" s="14"/>
      <c r="G5" s="17" t="s">
        <v>20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19</v>
      </c>
      <c r="C6" s="13"/>
      <c r="D6" s="13"/>
      <c r="E6" s="13"/>
      <c r="F6" s="14"/>
      <c r="G6" s="15" t="s">
        <v>21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19</v>
      </c>
      <c r="C7" s="13"/>
      <c r="D7" s="13"/>
      <c r="E7" s="13"/>
      <c r="F7" s="14"/>
      <c r="G7" s="17" t="s">
        <v>20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19</v>
      </c>
      <c r="C8" s="20"/>
      <c r="D8" s="20"/>
      <c r="E8" s="20"/>
      <c r="F8" s="21"/>
      <c r="G8" s="22" t="s">
        <v>21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2026-10-21T22:01:21Z</dcterms:modified>
</cp:coreProperties>
</file>