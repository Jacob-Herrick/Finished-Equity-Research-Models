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Utilities\"/>
    </mc:Choice>
  </mc:AlternateContent>
  <xr:revisionPtr revIDLastSave="0" documentId="13_ncr:1_{81FB2803-ECB5-44A5-9847-F98FF5104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G1108" i="3" l="1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109" i="3"/>
  <c r="K201" i="3" l="1"/>
  <c r="K203" i="3"/>
  <c r="K202" i="3"/>
  <c r="K204" i="3"/>
  <c r="K205" i="3"/>
  <c r="M291" i="3" s="1"/>
  <c r="L292" i="3" l="1"/>
  <c r="L290" i="3"/>
  <c r="DI80" i="2"/>
  <c r="DI86" i="2"/>
  <c r="DI84" i="2"/>
  <c r="DI79" i="2"/>
  <c r="DF78" i="2"/>
  <c r="DD78" i="2"/>
  <c r="DC78" i="2"/>
  <c r="DA78" i="2"/>
  <c r="DA79" i="2" s="1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S48" i="2"/>
  <c r="BR46" i="2"/>
  <c r="BQ46" i="2"/>
  <c r="CY46" i="2" s="1"/>
  <c r="BP46" i="2"/>
  <c r="BO46" i="2"/>
  <c r="BN46" i="2"/>
  <c r="BM46" i="2"/>
  <c r="BL46" i="2"/>
  <c r="BK46" i="2"/>
  <c r="BJ46" i="2"/>
  <c r="BI46" i="2"/>
  <c r="CW46" i="2" s="1"/>
  <c r="BH46" i="2"/>
  <c r="BG46" i="2"/>
  <c r="BF46" i="2"/>
  <c r="BE46" i="2"/>
  <c r="BD46" i="2"/>
  <c r="BC46" i="2"/>
  <c r="CV46" i="2" s="1"/>
  <c r="BB46" i="2"/>
  <c r="BA46" i="2"/>
  <c r="CU46" i="2" s="1"/>
  <c r="AZ46" i="2"/>
  <c r="AY46" i="2"/>
  <c r="BS4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DI26" i="2"/>
  <c r="DH26" i="2"/>
  <c r="DG26" i="2"/>
  <c r="DF26" i="2"/>
  <c r="DE26" i="2"/>
  <c r="DD26" i="2"/>
  <c r="DC26" i="2"/>
  <c r="DB26" i="2"/>
  <c r="DA26" i="2"/>
  <c r="CZ26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X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Y13" i="2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Y12" i="2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Y11" i="2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Y10" i="2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Y9" i="2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Y8" i="2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Y7" i="2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CW4" i="2"/>
  <c r="CU4" i="2"/>
  <c r="CU16" i="2" s="1"/>
  <c r="CT4" i="2"/>
  <c r="CS4" i="2"/>
  <c r="CR4" i="2"/>
  <c r="CQ4" i="2"/>
  <c r="CP4" i="2"/>
  <c r="CO4" i="2"/>
  <c r="CN4" i="2"/>
  <c r="CM4" i="2"/>
  <c r="CM16" i="2" s="1"/>
  <c r="CL4" i="2"/>
  <c r="CK4" i="2"/>
  <c r="CJ4" i="2"/>
  <c r="CK16" i="2" s="1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K206" i="3"/>
  <c r="C5" i="1"/>
  <c r="C8" i="1" s="1"/>
  <c r="L289" i="3" l="1"/>
  <c r="M290" i="3"/>
  <c r="L293" i="3"/>
  <c r="M292" i="3"/>
  <c r="DI81" i="2"/>
  <c r="DI83" i="2" s="1"/>
  <c r="DI85" i="2" s="1"/>
  <c r="DI87" i="2" s="1"/>
  <c r="DJ87" i="2" s="1"/>
  <c r="CN16" i="2"/>
  <c r="CQ16" i="2"/>
  <c r="CV16" i="2"/>
  <c r="CL16" i="2"/>
  <c r="CT16" i="2"/>
  <c r="CR16" i="2"/>
  <c r="CS16" i="2"/>
  <c r="CJ16" i="2"/>
  <c r="CW16" i="2"/>
  <c r="CO16" i="2"/>
  <c r="CP16" i="2"/>
  <c r="CX16" i="2"/>
  <c r="CZ6" i="2"/>
  <c r="DA6" i="2" s="1"/>
  <c r="DB6" i="2" s="1"/>
  <c r="DC6" i="2" s="1"/>
  <c r="DD6" i="2" s="1"/>
  <c r="DE6" i="2" s="1"/>
  <c r="DF6" i="2" s="1"/>
  <c r="DG6" i="2" s="1"/>
  <c r="DH6" i="2" s="1"/>
  <c r="DI6" i="2" s="1"/>
  <c r="DI14" i="2" s="1"/>
  <c r="CY16" i="2"/>
  <c r="CY28" i="2"/>
  <c r="P223" i="3"/>
  <c r="L294" i="3" l="1"/>
  <c r="M293" i="3"/>
  <c r="L288" i="3"/>
  <c r="M289" i="3"/>
  <c r="DH88" i="2" a="1"/>
  <c r="DH88" i="2" s="1"/>
  <c r="DE14" i="2"/>
  <c r="DF14" i="2"/>
  <c r="DH14" i="2"/>
  <c r="CZ14" i="2"/>
  <c r="DB14" i="2"/>
  <c r="DG14" i="2"/>
  <c r="DC14" i="2"/>
  <c r="DA14" i="2"/>
  <c r="DD14" i="2"/>
  <c r="P213" i="3"/>
  <c r="P212" i="3"/>
  <c r="P215" i="3"/>
  <c r="P222" i="3"/>
  <c r="P214" i="3"/>
  <c r="P225" i="3"/>
  <c r="P221" i="3"/>
  <c r="P217" i="3"/>
  <c r="P220" i="3"/>
  <c r="P224" i="3"/>
  <c r="P219" i="3"/>
  <c r="P216" i="3"/>
  <c r="P218" i="3"/>
  <c r="L287" i="3" l="1"/>
  <c r="M288" i="3"/>
  <c r="L295" i="3"/>
  <c r="M294" i="3"/>
  <c r="L296" i="3" l="1"/>
  <c r="M295" i="3"/>
  <c r="L286" i="3"/>
  <c r="M287" i="3"/>
  <c r="L285" i="3" l="1"/>
  <c r="M286" i="3"/>
  <c r="L297" i="3"/>
  <c r="M296" i="3"/>
  <c r="L298" i="3" l="1"/>
  <c r="M297" i="3"/>
  <c r="L284" i="3"/>
  <c r="M285" i="3"/>
  <c r="L299" i="3" l="1"/>
  <c r="M298" i="3"/>
  <c r="L283" i="3"/>
  <c r="M284" i="3"/>
  <c r="L282" i="3" l="1"/>
  <c r="M283" i="3"/>
  <c r="L300" i="3"/>
  <c r="M299" i="3"/>
  <c r="L301" i="3" l="1"/>
  <c r="M300" i="3"/>
  <c r="L281" i="3"/>
  <c r="M282" i="3"/>
  <c r="L280" i="3" l="1"/>
  <c r="M281" i="3"/>
  <c r="L302" i="3"/>
  <c r="M301" i="3"/>
  <c r="L303" i="3" l="1"/>
  <c r="M302" i="3"/>
  <c r="L279" i="3"/>
  <c r="M280" i="3"/>
  <c r="L278" i="3" l="1"/>
  <c r="M279" i="3"/>
  <c r="L304" i="3"/>
  <c r="M303" i="3"/>
  <c r="L305" i="3" l="1"/>
  <c r="M304" i="3"/>
  <c r="L277" i="3"/>
  <c r="M278" i="3"/>
  <c r="L276" i="3" l="1"/>
  <c r="M277" i="3"/>
  <c r="L306" i="3"/>
  <c r="M305" i="3"/>
  <c r="L307" i="3" l="1"/>
  <c r="M306" i="3"/>
  <c r="L275" i="3"/>
  <c r="M276" i="3"/>
  <c r="L274" i="3" l="1"/>
  <c r="M275" i="3"/>
  <c r="L308" i="3"/>
  <c r="M307" i="3"/>
  <c r="L309" i="3" l="1"/>
  <c r="M308" i="3"/>
  <c r="L273" i="3"/>
  <c r="M274" i="3"/>
  <c r="L272" i="3" l="1"/>
  <c r="M273" i="3"/>
  <c r="L310" i="3"/>
  <c r="M309" i="3"/>
  <c r="L311" i="3" l="1"/>
  <c r="M310" i="3"/>
  <c r="L271" i="3"/>
  <c r="M272" i="3"/>
  <c r="L270" i="3" l="1"/>
  <c r="M271" i="3"/>
  <c r="L312" i="3"/>
  <c r="M311" i="3"/>
  <c r="L313" i="3" l="1"/>
  <c r="M312" i="3"/>
  <c r="L269" i="3"/>
  <c r="M270" i="3"/>
  <c r="L268" i="3" l="1"/>
  <c r="M269" i="3"/>
  <c r="L314" i="3"/>
  <c r="M313" i="3"/>
  <c r="L315" i="3" l="1"/>
  <c r="M314" i="3"/>
  <c r="L267" i="3"/>
  <c r="M268" i="3"/>
  <c r="L266" i="3" l="1"/>
  <c r="M267" i="3"/>
  <c r="L316" i="3"/>
  <c r="M315" i="3"/>
  <c r="L317" i="3" l="1"/>
  <c r="M316" i="3"/>
  <c r="L265" i="3"/>
  <c r="M266" i="3"/>
  <c r="L264" i="3" l="1"/>
  <c r="M265" i="3"/>
  <c r="L318" i="3"/>
  <c r="M317" i="3"/>
  <c r="L319" i="3" l="1"/>
  <c r="M318" i="3"/>
  <c r="L263" i="3"/>
  <c r="M264" i="3"/>
  <c r="L262" i="3" l="1"/>
  <c r="M263" i="3"/>
  <c r="L320" i="3"/>
  <c r="M319" i="3"/>
  <c r="L321" i="3" l="1"/>
  <c r="M320" i="3"/>
  <c r="L261" i="3"/>
  <c r="M262" i="3"/>
  <c r="L260" i="3" l="1"/>
  <c r="M261" i="3"/>
  <c r="L322" i="3"/>
  <c r="M321" i="3"/>
  <c r="L323" i="3" l="1"/>
  <c r="M322" i="3"/>
  <c r="L259" i="3"/>
  <c r="M260" i="3"/>
  <c r="L258" i="3" l="1"/>
  <c r="M259" i="3"/>
  <c r="L324" i="3"/>
  <c r="M323" i="3"/>
  <c r="L325" i="3" l="1"/>
  <c r="M324" i="3"/>
  <c r="L257" i="3"/>
  <c r="M258" i="3"/>
  <c r="L256" i="3" l="1"/>
  <c r="M257" i="3"/>
  <c r="L326" i="3"/>
  <c r="M325" i="3"/>
  <c r="L327" i="3" l="1"/>
  <c r="M326" i="3"/>
  <c r="L255" i="3"/>
  <c r="M256" i="3"/>
  <c r="L254" i="3" l="1"/>
  <c r="M255" i="3"/>
  <c r="L328" i="3"/>
  <c r="M327" i="3"/>
  <c r="L329" i="3" l="1"/>
  <c r="M328" i="3"/>
  <c r="L253" i="3"/>
  <c r="M254" i="3"/>
  <c r="L252" i="3" l="1"/>
  <c r="M253" i="3"/>
  <c r="L330" i="3"/>
  <c r="M329" i="3"/>
  <c r="L331" i="3" l="1"/>
  <c r="M330" i="3"/>
  <c r="L251" i="3"/>
  <c r="M252" i="3"/>
  <c r="L250" i="3" l="1"/>
  <c r="M251" i="3"/>
  <c r="L332" i="3"/>
  <c r="M331" i="3"/>
  <c r="L333" i="3" l="1"/>
  <c r="M332" i="3"/>
  <c r="L249" i="3"/>
  <c r="M250" i="3"/>
  <c r="L248" i="3" l="1"/>
  <c r="M249" i="3"/>
  <c r="L334" i="3"/>
  <c r="M333" i="3"/>
  <c r="L335" i="3" l="1"/>
  <c r="M334" i="3"/>
  <c r="L247" i="3"/>
  <c r="M248" i="3"/>
  <c r="L246" i="3" l="1"/>
  <c r="M247" i="3"/>
  <c r="L336" i="3"/>
  <c r="M335" i="3"/>
  <c r="L337" i="3" l="1"/>
  <c r="M336" i="3"/>
  <c r="L245" i="3"/>
  <c r="M246" i="3"/>
  <c r="L244" i="3" l="1"/>
  <c r="M245" i="3"/>
  <c r="L338" i="3"/>
  <c r="M337" i="3"/>
  <c r="L339" i="3" l="1"/>
  <c r="M338" i="3"/>
  <c r="L243" i="3"/>
  <c r="M244" i="3"/>
  <c r="L242" i="3" l="1"/>
  <c r="M243" i="3"/>
  <c r="L340" i="3"/>
  <c r="M339" i="3"/>
  <c r="L341" i="3" l="1"/>
  <c r="M340" i="3"/>
  <c r="L241" i="3"/>
  <c r="M242" i="3"/>
  <c r="L240" i="3" l="1"/>
  <c r="M241" i="3"/>
  <c r="L342" i="3"/>
  <c r="M341" i="3"/>
  <c r="L343" i="3" l="1"/>
  <c r="M342" i="3"/>
  <c r="L239" i="3"/>
  <c r="M240" i="3"/>
  <c r="L238" i="3" l="1"/>
  <c r="M239" i="3"/>
  <c r="L344" i="3"/>
  <c r="M343" i="3"/>
  <c r="L345" i="3" l="1"/>
  <c r="M344" i="3"/>
  <c r="L237" i="3"/>
  <c r="M238" i="3"/>
  <c r="L236" i="3" l="1"/>
  <c r="M237" i="3"/>
  <c r="L346" i="3"/>
  <c r="M345" i="3"/>
  <c r="L347" i="3" l="1"/>
  <c r="M346" i="3"/>
  <c r="L235" i="3"/>
  <c r="M236" i="3"/>
  <c r="L234" i="3" l="1"/>
  <c r="M235" i="3"/>
  <c r="L348" i="3"/>
  <c r="M347" i="3"/>
  <c r="L349" i="3" l="1"/>
  <c r="M348" i="3"/>
  <c r="L233" i="3"/>
  <c r="M234" i="3"/>
  <c r="L232" i="3" l="1"/>
  <c r="M233" i="3"/>
  <c r="L350" i="3"/>
  <c r="M349" i="3"/>
  <c r="L351" i="3" l="1"/>
  <c r="M350" i="3"/>
  <c r="L231" i="3"/>
  <c r="M232" i="3"/>
  <c r="L230" i="3" l="1"/>
  <c r="M231" i="3"/>
  <c r="L352" i="3"/>
  <c r="M351" i="3"/>
  <c r="L353" i="3" l="1"/>
  <c r="M352" i="3"/>
  <c r="L229" i="3"/>
  <c r="M230" i="3"/>
  <c r="L228" i="3" l="1"/>
  <c r="M229" i="3"/>
  <c r="L354" i="3"/>
  <c r="M353" i="3"/>
  <c r="L355" i="3" l="1"/>
  <c r="M354" i="3"/>
  <c r="L227" i="3"/>
  <c r="M228" i="3"/>
  <c r="L226" i="3" l="1"/>
  <c r="M227" i="3"/>
  <c r="L356" i="3"/>
  <c r="M355" i="3"/>
  <c r="L357" i="3" l="1"/>
  <c r="M356" i="3"/>
  <c r="L225" i="3"/>
  <c r="M226" i="3"/>
  <c r="L224" i="3" l="1"/>
  <c r="M225" i="3"/>
  <c r="L358" i="3"/>
  <c r="M357" i="3"/>
  <c r="L359" i="3" l="1"/>
  <c r="M358" i="3"/>
  <c r="L223" i="3"/>
  <c r="M224" i="3"/>
  <c r="L222" i="3" l="1"/>
  <c r="M223" i="3"/>
  <c r="L360" i="3"/>
  <c r="M359" i="3"/>
  <c r="L361" i="3" l="1"/>
  <c r="M360" i="3"/>
  <c r="L221" i="3"/>
  <c r="M222" i="3"/>
  <c r="L220" i="3" l="1"/>
  <c r="M221" i="3"/>
  <c r="L362" i="3"/>
  <c r="M361" i="3"/>
  <c r="L363" i="3" l="1"/>
  <c r="M362" i="3"/>
  <c r="L219" i="3"/>
  <c r="M220" i="3"/>
  <c r="L218" i="3" l="1"/>
  <c r="M219" i="3"/>
  <c r="L364" i="3"/>
  <c r="M363" i="3"/>
  <c r="L365" i="3" l="1"/>
  <c r="M364" i="3"/>
  <c r="L217" i="3"/>
  <c r="M218" i="3"/>
  <c r="L216" i="3" l="1"/>
  <c r="M217" i="3"/>
  <c r="L366" i="3"/>
  <c r="M365" i="3"/>
  <c r="L367" i="3" l="1"/>
  <c r="M366" i="3"/>
  <c r="L215" i="3"/>
  <c r="M216" i="3"/>
  <c r="L214" i="3" l="1"/>
  <c r="M215" i="3"/>
  <c r="L368" i="3"/>
  <c r="M367" i="3"/>
  <c r="L369" i="3" l="1"/>
  <c r="M368" i="3"/>
  <c r="L213" i="3"/>
  <c r="M214" i="3"/>
  <c r="M213" i="3" l="1"/>
  <c r="L212" i="3"/>
  <c r="M212" i="3" s="1"/>
  <c r="M369" i="3"/>
  <c r="L370" i="3"/>
  <c r="M37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<sst xmlns="http://schemas.openxmlformats.org/spreadsheetml/2006/main" count="1225" uniqueCount="1188">
  <si>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</si>
  <si>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</si>
  <si>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</si>
  <si>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</si>
  <si>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</si>
  <si>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</si>
  <si>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</si>
  <si>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</si>
  <si>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</si>
  <si>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</si>
  <si>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</si>
  <si>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</si>
  <si>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</si>
  <si>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</si>
  <si>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</si>
  <si>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</si>
  <si>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</si>
  <si>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</si>
  <si>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</si>
  <si>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</si>
  <si>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</si>
  <si>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</si>
  <si>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</si>
  <si>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</si>
  <si>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</si>
  <si>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</si>
  <si>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</si>
  <si>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</si>
  <si>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</si>
  <si>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</si>
  <si>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</si>
  <si>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</si>
  <si>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</si>
  <si>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</si>
  <si>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</si>
  <si>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</si>
  <si>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</si>
  <si>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</si>
  <si>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</si>
  <si>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</si>
  <si>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</si>
  <si>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</si>
  <si>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</si>
  <si>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</si>
  <si>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</si>
  <si>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</si>
  <si>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</si>
  <si>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</si>
  <si>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</si>
  <si>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</si>
  <si>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</si>
  <si>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</si>
  <si>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</si>
  <si>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</si>
  <si>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</si>
  <si>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</si>
  <si>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</si>
  <si>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</si>
  <si>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</si>
  <si>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</si>
  <si>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</si>
  <si>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</si>
  <si>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</si>
  <si>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</si>
  <si>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</si>
  <si>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</si>
  <si>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</si>
  <si>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</si>
  <si>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</si>
  <si>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</si>
  <si>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</si>
  <si>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</si>
  <si>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</si>
  <si>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</si>
  <si>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</si>
  <si>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</si>
  <si>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</si>
  <si>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</si>
  <si>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</si>
  <si>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</si>
  <si>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</si>
  <si>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</si>
  <si>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</si>
  <si>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</si>
  <si>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</si>
  <si>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</si>
  <si>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</si>
  <si>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</si>
  <si>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</si>
  <si>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</si>
  <si>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</si>
  <si>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</si>
  <si>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</si>
  <si>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</si>
  <si>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</si>
  <si>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</si>
  <si>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</si>
  <si>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</si>
  <si>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</si>
  <si>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</si>
  <si>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</si>
  <si>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</si>
  <si>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</si>
  <si>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</si>
  <si>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</si>
  <si>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</si>
  <si>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</si>
  <si>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</si>
  <si>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</si>
  <si>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</si>
  <si>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</si>
  <si>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</si>
  <si>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</si>
  <si>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</si>
  <si>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</si>
  <si>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</si>
  <si>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</si>
  <si>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</si>
  <si>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</si>
  <si>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</si>
  <si>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</si>
  <si>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</si>
  <si>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</si>
  <si>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</si>
  <si>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</si>
  <si>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</si>
  <si>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</si>
  <si>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</si>
  <si>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</si>
  <si>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</si>
  <si>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</si>
  <si>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</si>
  <si>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</si>
  <si>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</si>
  <si>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</si>
  <si>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</si>
  <si>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</si>
  <si>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</si>
  <si>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</si>
  <si>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</si>
  <si>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</si>
  <si>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</si>
  <si>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</si>
  <si>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</si>
  <si>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</si>
  <si>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</si>
  <si>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</si>
  <si>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</si>
  <si>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</si>
  <si>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</si>
  <si>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</si>
  <si>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</si>
  <si>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</si>
  <si>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</si>
  <si>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</si>
  <si>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</si>
  <si>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</si>
  <si>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</si>
  <si>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</si>
  <si>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</si>
  <si>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</si>
  <si>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</si>
  <si>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</si>
  <si>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</si>
  <si>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</si>
  <si>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</si>
  <si>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</si>
  <si>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</si>
  <si>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</si>
  <si>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</si>
  <si>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</si>
  <si>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</si>
  <si>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</si>
  <si>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</si>
  <si>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</si>
  <si>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</si>
  <si>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</si>
  <si>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</si>
  <si>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</si>
  <si>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</si>
  <si>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</si>
  <si>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</si>
  <si>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</si>
  <si>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</si>
  <si>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</si>
  <si>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</si>
  <si>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</si>
  <si>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</si>
  <si>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</si>
  <si>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</si>
  <si>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</si>
  <si>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</si>
  <si>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</si>
  <si>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</si>
  <si>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</si>
  <si>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</si>
  <si>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</si>
  <si>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</si>
  <si>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</si>
  <si>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</si>
  <si>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</si>
  <si>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</si>
  <si>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</si>
  <si>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</si>
  <si>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</si>
  <si>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</si>
  <si>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</si>
  <si>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</si>
  <si>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</si>
  <si>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</si>
  <si>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</si>
  <si>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</si>
  <si>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</si>
  <si>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</si>
  <si>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</si>
  <si>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</si>
  <si>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</si>
  <si>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</si>
  <si>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</si>
  <si>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</si>
  <si>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</si>
  <si>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</si>
  <si>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</si>
  <si>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</si>
  <si>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</si>
  <si>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</si>
  <si>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</si>
  <si>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</si>
  <si>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</si>
  <si>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9/24/25</t>
  </si>
  <si>
    <t>CEG</t>
  </si>
  <si>
    <t>Constellation Energy Corporation (CEG)</t>
  </si>
  <si>
    <t xml:space="preserve">Founder(s): </t>
  </si>
  <si>
    <t>Current CEO: Joseph Dominguez</t>
  </si>
  <si>
    <t>Headquarters: Baltimore, MA</t>
  </si>
  <si>
    <t>Address: 1310 Point Street, Baltimore, MD 21231-3380 U.S.</t>
  </si>
  <si>
    <t>The Company now has nearly 60 gigawatts (GW) of generation capacity from its combined nuclear, solar, wind, hydro, gas-fired, and geothermal assets, making it the largest coast-to-coast power generator and a leading provider of clean, reliable energy in the U.S</t>
  </si>
  <si>
    <t>The Company's client base includes business, residential, and public sector customers</t>
  </si>
  <si>
    <t>Constellation’s wholesale and retail businesses serve around two million commercial, industrial, public sector, and residential customers across the U.S.</t>
  </si>
  <si>
    <t>The Company is at the forefront of meeting increased demand for carbon-free energy, especially from the growing data center sector and corporate sustainability initiatives</t>
  </si>
  <si>
    <t>It operates through five segments: Mid-Atlantic, Midwest, New York, ERCOT, and Other Power Regions</t>
  </si>
  <si>
    <t>The Company was incorporated in 2021 and is headquartered in Baltimore, Maryland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</si>
  <si>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</si>
  <si>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</si>
  <si>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</si>
  <si>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</si>
  <si>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</si>
  <si>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</si>
  <si>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</si>
  <si>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</si>
  <si>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</si>
  <si>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</si>
  <si>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</si>
  <si>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</si>
  <si>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</si>
  <si>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</si>
  <si>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</si>
  <si>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</si>
  <si>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</si>
  <si>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</si>
  <si>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</si>
  <si>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</si>
  <si>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</si>
  <si>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</si>
  <si>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</si>
  <si>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</si>
  <si>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</si>
  <si>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</si>
  <si>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</si>
  <si>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</si>
  <si>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</si>
  <si>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</si>
  <si>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</si>
  <si>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</si>
  <si>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</si>
  <si>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</si>
  <si>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</si>
  <si>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</si>
  <si>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</si>
  <si>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</si>
  <si>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</si>
  <si>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</si>
  <si>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</si>
  <si>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</si>
  <si>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</si>
  <si>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</si>
  <si>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</si>
  <si>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</si>
  <si>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</si>
  <si>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</si>
  <si>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</si>
  <si>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</si>
  <si>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</si>
  <si>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</si>
  <si>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</si>
  <si>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</si>
  <si>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</si>
  <si>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</si>
  <si>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</si>
  <si>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</si>
  <si>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</si>
  <si>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</si>
  <si>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</si>
  <si>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</si>
  <si>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</si>
  <si>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</si>
  <si>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</si>
  <si>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</si>
  <si>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</si>
  <si>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</si>
  <si>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</si>
  <si>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</si>
  <si>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</si>
  <si>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</si>
  <si>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</si>
  <si>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</si>
  <si>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</si>
  <si>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</si>
  <si>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</si>
  <si>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</si>
  <si>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</si>
  <si>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</si>
  <si>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</si>
  <si>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</si>
  <si>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</si>
  <si>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</si>
  <si>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</si>
  <si>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</si>
  <si>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</si>
  <si>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</si>
  <si>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</si>
  <si>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</si>
  <si>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</si>
  <si>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</si>
  <si>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</si>
  <si>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</si>
  <si>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</si>
  <si>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</si>
  <si>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</si>
  <si>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</si>
  <si>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</si>
  <si>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</si>
  <si>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</si>
  <si>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</si>
  <si>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</si>
  <si>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</si>
  <si>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</si>
  <si>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</si>
  <si>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</si>
  <si>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</si>
  <si>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</si>
  <si>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</si>
  <si>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</si>
  <si>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</si>
  <si>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</si>
  <si>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</si>
  <si>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</si>
  <si>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</si>
  <si>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</si>
  <si>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</si>
  <si>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</si>
  <si>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</si>
  <si>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</si>
  <si>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</si>
  <si>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</si>
  <si>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</si>
  <si>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</si>
  <si>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</si>
  <si>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</si>
  <si>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</si>
  <si>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</si>
  <si>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</si>
  <si>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</si>
  <si>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</si>
  <si>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</si>
  <si>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</si>
  <si>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</si>
  <si>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</si>
  <si>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</si>
  <si>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</si>
  <si>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</si>
  <si>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</si>
  <si>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</si>
  <si>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</si>
  <si>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</si>
  <si>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</si>
  <si>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</si>
  <si>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</si>
  <si>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</si>
  <si>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</si>
  <si>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</si>
  <si>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</si>
  <si>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</si>
  <si>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</si>
  <si>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</si>
  <si>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</si>
  <si>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</si>
  <si>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</si>
  <si>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</si>
  <si>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</si>
  <si>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</si>
  <si>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</si>
  <si>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</si>
  <si>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</si>
  <si>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</si>
  <si>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</si>
  <si>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</si>
  <si>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</si>
  <si>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</si>
  <si>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</si>
  <si>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</si>
  <si>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</si>
  <si>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</si>
  <si>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</si>
  <si>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</si>
  <si>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</si>
  <si>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</si>
  <si>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</si>
  <si>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</si>
  <si>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</si>
  <si>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</si>
  <si>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</si>
  <si>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</si>
  <si>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</si>
  <si>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</si>
  <si>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</si>
  <si>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</si>
  <si>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</si>
  <si>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</si>
  <si>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</si>
  <si>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</si>
  <si>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</si>
  <si>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</si>
  <si>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</si>
  <si>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</si>
  <si>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</si>
  <si>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</si>
  <si>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</si>
  <si>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</si>
  <si>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</si>
  <si>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</si>
  <si>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</si>
  <si>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</si>
  <si>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</si>
  <si>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</si>
  <si>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</si>
  <si>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</si>
  <si>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</si>
  <si>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</si>
  <si>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</si>
  <si>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</si>
  <si>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</si>
  <si>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</si>
  <si>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</si>
  <si>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</si>
  <si>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</si>
  <si>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</si>
  <si>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</si>
  <si>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</si>
  <si>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</si>
  <si>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</si>
  <si>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</si>
  <si>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</si>
  <si>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</si>
  <si>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</si>
  <si>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</si>
  <si>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</si>
  <si>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</si>
  <si>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</si>
  <si>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</si>
  <si>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</si>
  <si>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</si>
  <si>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</si>
  <si>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</si>
  <si>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</si>
  <si>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</si>
  <si>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</si>
  <si>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</si>
  <si>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</si>
  <si>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</si>
  <si>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</si>
  <si>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</si>
  <si>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</si>
  <si>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</si>
  <si>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</si>
  <si>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</si>
  <si>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</si>
  <si>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</si>
  <si>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</si>
  <si>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</si>
  <si>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</si>
  <si>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</si>
  <si>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</si>
  <si>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</si>
  <si>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</si>
  <si>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</si>
  <si>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</si>
  <si>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</si>
  <si>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</si>
  <si>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</si>
  <si>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</si>
  <si>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</si>
  <si>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</si>
  <si>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</si>
  <si>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</si>
  <si>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</si>
  <si>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</si>
  <si>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</si>
  <si>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</si>
  <si>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</si>
  <si>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</si>
  <si>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</si>
  <si>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</si>
  <si>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</si>
  <si>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</si>
  <si>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</si>
  <si>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</si>
  <si>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</si>
  <si>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</si>
  <si>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</si>
  <si>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</si>
  <si>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</si>
  <si>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</si>
  <si>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</si>
  <si>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</si>
  <si>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</si>
  <si>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</si>
  <si>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</si>
  <si>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</si>
  <si>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</si>
  <si>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</si>
  <si>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</si>
  <si>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</si>
  <si>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</si>
  <si>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</si>
  <si>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</si>
  <si>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</si>
  <si>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</si>
  <si>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</si>
  <si>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</si>
  <si>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</si>
  <si>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</si>
  <si>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</si>
  <si>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</si>
  <si>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</si>
  <si>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</si>
  <si>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</si>
  <si>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</si>
  <si>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</si>
  <si>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</si>
  <si>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</si>
  <si>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</si>
  <si>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</si>
  <si>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</si>
  <si>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</si>
  <si>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</si>
  <si>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</si>
  <si>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</si>
  <si>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</si>
  <si>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</si>
  <si>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</si>
  <si>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</si>
  <si>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</si>
  <si>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</si>
  <si>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</si>
  <si>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</si>
  <si>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</si>
  <si>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</si>
  <si>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</si>
  <si>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</si>
  <si>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</si>
  <si>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</si>
  <si>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</si>
  <si>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</si>
  <si>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</si>
  <si>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</si>
  <si>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</si>
  <si>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</si>
  <si>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</si>
  <si>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</si>
  <si>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</si>
  <si>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</si>
  <si>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</si>
  <si>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</si>
  <si>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</si>
  <si>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</si>
  <si>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</si>
  <si>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</si>
  <si>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</si>
  <si>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</si>
  <si>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</si>
  <si>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</si>
  <si>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</si>
  <si>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</si>
  <si>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</si>
  <si>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</si>
  <si>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</si>
  <si>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</si>
  <si>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</si>
  <si>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</si>
  <si>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</si>
  <si>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</si>
  <si>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</si>
  <si>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</si>
  <si>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</si>
  <si>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</si>
  <si>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</si>
  <si>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</si>
  <si>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</si>
  <si>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</si>
  <si>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</si>
  <si>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</si>
  <si>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</si>
  <si>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</si>
  <si>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</si>
  <si>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</si>
  <si>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</si>
  <si>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</si>
  <si>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</si>
  <si>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</si>
  <si>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</si>
  <si>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</si>
  <si>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</si>
  <si>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</si>
  <si>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</si>
  <si>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</si>
  <si>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</si>
  <si>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</si>
  <si>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</si>
  <si>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</si>
  <si>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</si>
  <si>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</si>
  <si>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</si>
  <si>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</si>
  <si>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</si>
  <si>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</si>
  <si>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</si>
  <si>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</si>
  <si>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</si>
  <si>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</si>
  <si>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</si>
  <si>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</si>
  <si>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</si>
  <si>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</si>
  <si>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</si>
  <si>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</si>
  <si>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</si>
  <si>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</si>
  <si>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</si>
  <si>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</si>
  <si>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</si>
  <si>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</si>
  <si>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</si>
  <si>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</si>
  <si>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</si>
  <si>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</si>
  <si>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</si>
  <si>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</si>
  <si>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</si>
  <si>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</si>
  <si>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</si>
  <si>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</si>
  <si>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</si>
  <si>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</si>
  <si>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</si>
  <si>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</si>
  <si>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</si>
  <si>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</si>
  <si>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</si>
  <si>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</si>
  <si>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</si>
  <si>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</si>
  <si>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</si>
  <si>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</si>
  <si>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</si>
  <si>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</si>
  <si>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</si>
  <si>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</si>
  <si>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</si>
  <si>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</si>
  <si>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</si>
  <si>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</si>
  <si>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</si>
  <si>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</si>
  <si>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</si>
  <si>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</si>
  <si>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</si>
  <si>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</si>
  <si>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</si>
  <si>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</si>
  <si>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</si>
  <si>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</si>
  <si>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</si>
  <si>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</si>
  <si>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</si>
  <si>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</si>
  <si>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</si>
  <si>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</si>
  <si>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</si>
  <si>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</si>
  <si>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</si>
  <si>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</si>
  <si>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</si>
  <si>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</si>
  <si>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</si>
  <si>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</si>
  <si>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</si>
  <si>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</si>
  <si>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</si>
  <si>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</si>
  <si>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</si>
  <si>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</si>
  <si>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</si>
  <si>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</si>
  <si>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</si>
  <si>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</si>
  <si>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</si>
  <si>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</si>
  <si>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</si>
  <si>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</si>
  <si>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</si>
  <si>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</si>
  <si>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</si>
  <si>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</si>
  <si>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</si>
  <si>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</si>
  <si>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</si>
  <si>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</si>
  <si>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</si>
  <si>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</si>
  <si>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</si>
  <si>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</si>
  <si>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</si>
  <si>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</si>
  <si>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</si>
  <si>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</si>
  <si>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</si>
  <si>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</si>
  <si>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</si>
  <si>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</si>
  <si>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</si>
  <si>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</si>
  <si>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</si>
  <si>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</si>
  <si>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</si>
  <si>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</si>
  <si>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</si>
  <si>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</si>
  <si>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</si>
  <si>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</si>
  <si>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</si>
  <si>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</si>
  <si>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</si>
  <si>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</si>
  <si>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</si>
  <si>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</si>
  <si>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</si>
  <si>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</si>
  <si>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</si>
  <si>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</si>
  <si>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</si>
  <si>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</si>
  <si>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</si>
  <si>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</si>
  <si>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</si>
  <si>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</si>
  <si>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</si>
  <si>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</si>
  <si>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</si>
  <si>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</si>
  <si>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</si>
  <si>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</si>
  <si>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</si>
  <si>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</si>
  <si>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</si>
  <si>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</si>
  <si>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</si>
  <si>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</si>
  <si>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</si>
  <si>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</si>
  <si>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</si>
  <si>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</si>
  <si>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</si>
  <si>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</si>
  <si>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</si>
  <si>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</si>
  <si>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</si>
  <si>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</si>
  <si>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</si>
  <si>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</si>
  <si>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</si>
  <si>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</si>
  <si>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</si>
  <si>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</si>
  <si>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</si>
  <si>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</si>
  <si>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</si>
  <si>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</si>
  <si>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</si>
  <si>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</si>
  <si>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</si>
  <si>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</si>
  <si>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</si>
  <si>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</si>
  <si>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</si>
  <si>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</si>
  <si>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</si>
  <si>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</si>
  <si>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</si>
  <si>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</si>
  <si>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</si>
  <si>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</si>
  <si>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</si>
  <si>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</si>
  <si>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</si>
  <si>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</si>
  <si>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</si>
  <si>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</si>
  <si>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</si>
  <si>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</si>
  <si>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</si>
  <si>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</si>
  <si>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</si>
  <si>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</si>
  <si>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</si>
  <si>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</si>
  <si>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</si>
  <si>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</si>
  <si>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</si>
  <si>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</si>
  <si>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</si>
  <si>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</si>
  <si>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</si>
  <si>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</si>
  <si>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</si>
  <si>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</si>
  <si>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</si>
  <si>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</si>
  <si>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</si>
  <si>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</si>
  <si>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</si>
  <si>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</si>
  <si>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</si>
  <si>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</si>
  <si>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</si>
  <si>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</si>
  <si>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</si>
  <si>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</si>
  <si>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</si>
  <si>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</si>
  <si>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</si>
  <si>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</si>
  <si>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</si>
  <si>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</si>
  <si>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</si>
  <si>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</si>
  <si>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</si>
  <si>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</si>
  <si>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</si>
  <si>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</si>
  <si>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</si>
  <si>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</si>
  <si>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</si>
  <si>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</si>
  <si>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</si>
  <si>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</si>
  <si>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</si>
  <si>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</si>
  <si>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</si>
  <si>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</si>
  <si>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</si>
  <si>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</si>
  <si>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</si>
  <si>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</si>
  <si>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</si>
  <si>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</si>
  <si>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</si>
  <si>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</si>
  <si>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</si>
  <si>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</si>
  <si>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</si>
  <si>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</si>
  <si>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</si>
  <si>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</si>
  <si>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</si>
  <si>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</si>
  <si>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</si>
  <si>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</si>
  <si>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</si>
  <si>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</si>
  <si>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</si>
  <si>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</si>
  <si>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</si>
  <si>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</si>
  <si>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</si>
  <si>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</si>
  <si>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</si>
  <si>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</si>
  <si>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</si>
  <si>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</si>
  <si>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</si>
  <si>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</si>
  <si>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</si>
  <si>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</si>
  <si>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</si>
  <si>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</si>
  <si>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</si>
  <si>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</si>
  <si>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</si>
  <si>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</si>
  <si>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</si>
  <si>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</si>
  <si>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</si>
  <si>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</si>
  <si>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</si>
  <si>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</si>
  <si>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</si>
  <si>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</si>
  <si>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</si>
  <si>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</si>
  <si>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</si>
  <si>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</si>
  <si>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</si>
  <si>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</si>
  <si>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</si>
  <si>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</si>
  <si>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</si>
  <si>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</si>
  <si>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</si>
  <si>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</si>
  <si>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</si>
  <si>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</si>
  <si>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</si>
  <si>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</si>
  <si>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</si>
  <si>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</si>
  <si>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</si>
  <si>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</si>
  <si>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</si>
  <si>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</si>
  <si>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</si>
  <si>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</si>
  <si>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</si>
  <si>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</si>
  <si>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</si>
  <si>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</si>
  <si>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</si>
  <si>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</si>
  <si>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</si>
  <si>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</si>
  <si>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</si>
  <si>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</si>
  <si>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</si>
  <si>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</si>
  <si>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</si>
  <si>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</si>
  <si>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</si>
  <si>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</si>
  <si>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</si>
  <si>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</si>
  <si>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</si>
  <si>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</si>
  <si>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</si>
  <si>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</si>
  <si>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</si>
  <si>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</si>
  <si>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</si>
  <si>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</si>
  <si>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</si>
  <si>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</si>
  <si>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</si>
  <si>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</si>
  <si>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</si>
  <si>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</si>
  <si>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</si>
  <si>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</si>
  <si>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</si>
  <si>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</si>
  <si>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</si>
  <si>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</si>
  <si>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</si>
  <si>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</si>
  <si>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</si>
  <si>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</si>
  <si>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</si>
  <si>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</si>
  <si>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</si>
  <si>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</si>
  <si>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</si>
  <si>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</si>
  <si>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</si>
  <si>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</si>
  <si>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</si>
  <si>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</si>
  <si>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</si>
  <si>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</si>
  <si>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</si>
  <si>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</si>
  <si>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</si>
  <si>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</si>
  <si>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</si>
  <si>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</si>
  <si>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</si>
  <si>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</si>
  <si>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</si>
  <si>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</si>
  <si>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</si>
  <si>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</si>
  <si>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</si>
  <si>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</si>
  <si>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</si>
  <si>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</si>
  <si>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</si>
  <si>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</si>
  <si>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</si>
  <si>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</si>
  <si>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</si>
  <si>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</si>
  <si>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</si>
  <si>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</si>
  <si>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</si>
  <si>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</si>
  <si>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</si>
  <si>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</si>
  <si>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</si>
  <si>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</si>
  <si>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</si>
  <si>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</si>
  <si>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</si>
  <si>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</si>
  <si>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</si>
  <si>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</si>
  <si>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</si>
  <si>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</si>
  <si>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</si>
  <si>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</si>
  <si>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</si>
  <si>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</si>
  <si>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</si>
  <si>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</si>
  <si>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</si>
  <si>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</si>
  <si>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</si>
  <si>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</si>
  <si>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</si>
  <si>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</si>
  <si>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</si>
  <si>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</si>
  <si>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</si>
  <si>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</si>
  <si>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</si>
  <si>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</si>
  <si>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</si>
  <si>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</si>
  <si>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</si>
  <si>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</si>
  <si>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</si>
  <si>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</si>
  <si>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</si>
  <si>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</si>
  <si>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</si>
  <si>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</si>
  <si>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</si>
  <si>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</si>
  <si>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</si>
  <si>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</si>
  <si>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</si>
  <si>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</si>
  <si>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</si>
  <si>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</si>
  <si>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</si>
  <si>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</si>
  <si>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</si>
  <si>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</si>
  <si>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</si>
  <si>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</si>
  <si>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</si>
  <si>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</si>
  <si>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</si>
  <si>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</si>
  <si>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</si>
  <si>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</si>
  <si>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</si>
  <si>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</si>
  <si>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</si>
  <si>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</si>
  <si>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</si>
  <si>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</si>
  <si>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</si>
  <si>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</si>
  <si>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</si>
  <si>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</si>
  <si>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</si>
  <si>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</si>
  <si>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</si>
  <si>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</si>
  <si>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</si>
  <si>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</si>
  <si>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</si>
  <si>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</si>
  <si>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</si>
  <si>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</si>
  <si>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</si>
  <si>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</si>
  <si>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</si>
  <si>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</si>
  <si>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</si>
  <si>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</si>
  <si>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</si>
  <si>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</si>
  <si>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</si>
  <si>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</si>
  <si>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</si>
  <si>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</si>
  <si>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</si>
  <si>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</si>
  <si>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</si>
  <si>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</si>
  <si>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</si>
  <si>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</si>
  <si>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</si>
  <si>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</si>
  <si>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</si>
  <si>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</si>
  <si>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</si>
  <si>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</si>
  <si>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</si>
  <si>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</si>
  <si>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</si>
  <si>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</si>
  <si>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</si>
  <si>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</si>
  <si>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</si>
  <si>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</si>
  <si>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</si>
  <si>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</si>
  <si>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</si>
  <si>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</si>
  <si>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</si>
  <si>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</si>
  <si>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</si>
  <si>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</si>
  <si>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</si>
  <si>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</si>
  <si>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</si>
  <si>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</si>
  <si>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</si>
  <si>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</si>
  <si>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</si>
  <si>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</si>
  <si>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</si>
  <si>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</si>
  <si>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</si>
  <si>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</si>
  <si>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</si>
  <si>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</si>
  <si>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</si>
  <si>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</si>
  <si>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</si>
  <si>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</si>
  <si>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</si>
  <si>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</si>
  <si>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</si>
  <si>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</si>
  <si>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r>
      <rPr>
        <i/>
        <sz val="11"/>
        <color theme="1"/>
        <rFont val="Calibre"/>
      </rPr>
      <t>922</t>
    </r>
    <r>
      <rPr>
        <sz val="11"/>
        <color theme="1"/>
        <rFont val="Calibre"/>
      </rPr>
      <t xml:space="preserve"> Trading Days? (From: </t>
    </r>
    <r>
      <rPr>
        <i/>
        <sz val="11"/>
        <color theme="1"/>
        <rFont val="Calibre"/>
      </rPr>
      <t>1/29/22 - 9/24/25</t>
    </r>
    <r>
      <rPr>
        <sz val="11"/>
        <color theme="1"/>
        <rFont val="Calibre"/>
      </rPr>
      <t>)</t>
    </r>
  </si>
  <si>
    <t>More</t>
  </si>
  <si>
    <t>https://www.sec.gov/edgar/browse/?CIK=1868275&amp;owner=exclude</t>
  </si>
  <si>
    <t>https://www.constellationenergy.com/</t>
  </si>
  <si>
    <t xml:space="preserve">Financial Stmts. Notes/Observations </t>
  </si>
  <si>
    <t xml:space="preserve">General Notes/Observations </t>
  </si>
  <si>
    <t xml:space="preserve">Revenue Breakdown by Segment </t>
  </si>
  <si>
    <t>Founded: 1999</t>
  </si>
  <si>
    <t>Surging energy needs from hyperscale data center clusters have driven incredible demand for energy … investigate long-term power purchase agreements (PPAs)</t>
  </si>
  <si>
    <t>The Company is currently adding additional nuclear capacity by reopening the Calvert Cliffs, Illinois project and the Three Mile Island Facility out in NY</t>
  </si>
  <si>
    <t xml:space="preserve">Constellation Energy is the largest Independent Power Producer (IPP) in the United States … Also operates the nation’s largest fleet of nuclear power plants </t>
  </si>
  <si>
    <t>Constellation Energy is a leading U.S. producer and supplier of clean, carbon-free electricity … ~10% of the nation’s clean energy</t>
  </si>
  <si>
    <t>https://investors.constellationenergy.com/</t>
  </si>
  <si>
    <t>https://seekingalpha.com/symbol/CEG</t>
  </si>
  <si>
    <t>https://stockanalysis.com/stocks/ceg/company/</t>
  </si>
  <si>
    <t>https://www.macrotrends.net/stocks/charts/CEG/constellation-energy/income-statement?freq=A</t>
  </si>
  <si>
    <t>https://www.gurufocus.com/term/wacc/CEG</t>
  </si>
  <si>
    <t>(833) 883 - 0162</t>
  </si>
  <si>
    <t>Employees: 14,264</t>
  </si>
  <si>
    <t>Industry: Utilities - Nuclear / Renewables</t>
  </si>
  <si>
    <t>Sector: Utilities</t>
  </si>
  <si>
    <t>IPO: Re-established as an independent company on February 1, 2022 … Spun off from Exelon</t>
  </si>
  <si>
    <t>Fiscal Year: [January - December]</t>
  </si>
  <si>
    <t>Registered Exchange: 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</si>
</sst>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 applyAlignment="1">
      <alignment horizontal="left" indent="5"/>
    </xf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43" fontId="2" fillId="0" borderId="0" xfId="3" applyFont="1" applyAlignment="1">
      <alignment horizontal="right" indent="1"/>
    </xf>
    <xf numFmtId="166" fontId="2" fillId="0" borderId="0" xfId="3" applyNumberFormat="1" applyFont="1" applyAlignment="1">
      <alignment horizontal="right" indent="1"/>
    </xf>
    <xf numFmtId="0" fontId="1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(CEG)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Analysis'!$I$210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Analysis'!$I$212:$I$368</c:f>
              <c:numCache>
                <c:formatCode>0.00%</c:formatCode>
                <c:ptCount val="157"/>
                <c:pt idx="0">
                  <c:v>-7.8000000000000055E-2</c:v>
                </c:pt>
                <c:pt idx="1">
                  <c:v>-7.7000000000000055E-2</c:v>
                </c:pt>
                <c:pt idx="2">
                  <c:v>-7.6000000000000054E-2</c:v>
                </c:pt>
                <c:pt idx="3">
                  <c:v>-7.5000000000000053E-2</c:v>
                </c:pt>
                <c:pt idx="4">
                  <c:v>-7.4000000000000052E-2</c:v>
                </c:pt>
                <c:pt idx="5">
                  <c:v>-7.3000000000000051E-2</c:v>
                </c:pt>
                <c:pt idx="6">
                  <c:v>-7.200000000000005E-2</c:v>
                </c:pt>
                <c:pt idx="7">
                  <c:v>-7.1000000000000049E-2</c:v>
                </c:pt>
                <c:pt idx="8">
                  <c:v>-7.0000000000000048E-2</c:v>
                </c:pt>
                <c:pt idx="9">
                  <c:v>-6.9000000000000047E-2</c:v>
                </c:pt>
                <c:pt idx="10">
                  <c:v>-6.8000000000000047E-2</c:v>
                </c:pt>
                <c:pt idx="11">
                  <c:v>-6.7000000000000046E-2</c:v>
                </c:pt>
                <c:pt idx="12">
                  <c:v>-6.6000000000000045E-2</c:v>
                </c:pt>
                <c:pt idx="13">
                  <c:v>-6.5000000000000044E-2</c:v>
                </c:pt>
                <c:pt idx="14">
                  <c:v>-6.4000000000000043E-2</c:v>
                </c:pt>
                <c:pt idx="15">
                  <c:v>-6.3000000000000042E-2</c:v>
                </c:pt>
                <c:pt idx="16">
                  <c:v>-6.2000000000000048E-2</c:v>
                </c:pt>
                <c:pt idx="17">
                  <c:v>-6.1000000000000047E-2</c:v>
                </c:pt>
                <c:pt idx="18">
                  <c:v>-6.0000000000000046E-2</c:v>
                </c:pt>
                <c:pt idx="19">
                  <c:v>-5.9000000000000045E-2</c:v>
                </c:pt>
                <c:pt idx="20">
                  <c:v>-5.8000000000000045E-2</c:v>
                </c:pt>
                <c:pt idx="21">
                  <c:v>-5.7000000000000044E-2</c:v>
                </c:pt>
                <c:pt idx="22">
                  <c:v>-5.6000000000000043E-2</c:v>
                </c:pt>
                <c:pt idx="23">
                  <c:v>-5.5000000000000042E-2</c:v>
                </c:pt>
                <c:pt idx="24">
                  <c:v>-5.4000000000000041E-2</c:v>
                </c:pt>
                <c:pt idx="25">
                  <c:v>-5.300000000000004E-2</c:v>
                </c:pt>
                <c:pt idx="26">
                  <c:v>-5.2000000000000039E-2</c:v>
                </c:pt>
                <c:pt idx="27">
                  <c:v>-5.1000000000000038E-2</c:v>
                </c:pt>
                <c:pt idx="28">
                  <c:v>-5.0000000000000037E-2</c:v>
                </c:pt>
                <c:pt idx="29">
                  <c:v>-4.9000000000000037E-2</c:v>
                </c:pt>
                <c:pt idx="30">
                  <c:v>-4.8000000000000036E-2</c:v>
                </c:pt>
                <c:pt idx="31">
                  <c:v>-4.7000000000000035E-2</c:v>
                </c:pt>
                <c:pt idx="32">
                  <c:v>-4.6000000000000034E-2</c:v>
                </c:pt>
                <c:pt idx="33">
                  <c:v>-4.5000000000000033E-2</c:v>
                </c:pt>
                <c:pt idx="34">
                  <c:v>-4.4000000000000032E-2</c:v>
                </c:pt>
                <c:pt idx="35">
                  <c:v>-4.3000000000000031E-2</c:v>
                </c:pt>
                <c:pt idx="36">
                  <c:v>-4.200000000000003E-2</c:v>
                </c:pt>
                <c:pt idx="37">
                  <c:v>-4.1000000000000029E-2</c:v>
                </c:pt>
                <c:pt idx="38">
                  <c:v>-4.0000000000000029E-2</c:v>
                </c:pt>
                <c:pt idx="39">
                  <c:v>-3.9000000000000028E-2</c:v>
                </c:pt>
                <c:pt idx="40">
                  <c:v>-3.8000000000000027E-2</c:v>
                </c:pt>
                <c:pt idx="41">
                  <c:v>-3.7000000000000026E-2</c:v>
                </c:pt>
                <c:pt idx="42">
                  <c:v>-3.6000000000000025E-2</c:v>
                </c:pt>
                <c:pt idx="43">
                  <c:v>-3.5000000000000024E-2</c:v>
                </c:pt>
                <c:pt idx="44">
                  <c:v>-3.4000000000000023E-2</c:v>
                </c:pt>
                <c:pt idx="45">
                  <c:v>-3.3000000000000022E-2</c:v>
                </c:pt>
                <c:pt idx="46">
                  <c:v>-3.2000000000000021E-2</c:v>
                </c:pt>
                <c:pt idx="47">
                  <c:v>-3.1000000000000021E-2</c:v>
                </c:pt>
                <c:pt idx="48">
                  <c:v>-3.000000000000002E-2</c:v>
                </c:pt>
                <c:pt idx="49">
                  <c:v>-2.9000000000000019E-2</c:v>
                </c:pt>
                <c:pt idx="50">
                  <c:v>-2.8000000000000018E-2</c:v>
                </c:pt>
                <c:pt idx="51">
                  <c:v>-2.7000000000000017E-2</c:v>
                </c:pt>
                <c:pt idx="52">
                  <c:v>-2.6000000000000016E-2</c:v>
                </c:pt>
                <c:pt idx="53">
                  <c:v>-2.5000000000000015E-2</c:v>
                </c:pt>
                <c:pt idx="54">
                  <c:v>-2.4000000000000014E-2</c:v>
                </c:pt>
                <c:pt idx="55">
                  <c:v>-2.3000000000000013E-2</c:v>
                </c:pt>
                <c:pt idx="56">
                  <c:v>-2.2000000000000013E-2</c:v>
                </c:pt>
                <c:pt idx="57">
                  <c:v>-2.1000000000000012E-2</c:v>
                </c:pt>
                <c:pt idx="58">
                  <c:v>-2.0000000000000011E-2</c:v>
                </c:pt>
                <c:pt idx="59">
                  <c:v>-1.900000000000001E-2</c:v>
                </c:pt>
                <c:pt idx="60">
                  <c:v>-1.8000000000000009E-2</c:v>
                </c:pt>
                <c:pt idx="61">
                  <c:v>-1.7000000000000008E-2</c:v>
                </c:pt>
                <c:pt idx="62">
                  <c:v>-1.6000000000000007E-2</c:v>
                </c:pt>
                <c:pt idx="63">
                  <c:v>-1.5000000000000006E-2</c:v>
                </c:pt>
                <c:pt idx="64">
                  <c:v>-1.4000000000000005E-2</c:v>
                </c:pt>
                <c:pt idx="65">
                  <c:v>-1.3000000000000005E-2</c:v>
                </c:pt>
                <c:pt idx="66">
                  <c:v>-1.2000000000000004E-2</c:v>
                </c:pt>
                <c:pt idx="67">
                  <c:v>-1.1000000000000003E-2</c:v>
                </c:pt>
                <c:pt idx="68">
                  <c:v>-1.0000000000000002E-2</c:v>
                </c:pt>
                <c:pt idx="69">
                  <c:v>-9.0000000000000011E-3</c:v>
                </c:pt>
                <c:pt idx="70">
                  <c:v>-8.0000000000000002E-3</c:v>
                </c:pt>
                <c:pt idx="71">
                  <c:v>-7.0000000000000001E-3</c:v>
                </c:pt>
                <c:pt idx="72">
                  <c:v>-6.0000000000000001E-3</c:v>
                </c:pt>
                <c:pt idx="73">
                  <c:v>-5.0000000000000001E-3</c:v>
                </c:pt>
                <c:pt idx="74">
                  <c:v>-4.0000000000000001E-3</c:v>
                </c:pt>
                <c:pt idx="75">
                  <c:v>-3.0000000000000001E-3</c:v>
                </c:pt>
                <c:pt idx="76">
                  <c:v>-2E-3</c:v>
                </c:pt>
                <c:pt idx="77">
                  <c:v>-1E-3</c:v>
                </c:pt>
                <c:pt idx="78">
                  <c:v>0</c:v>
                </c:pt>
                <c:pt idx="79">
                  <c:v>1E-3</c:v>
                </c:pt>
                <c:pt idx="80">
                  <c:v>2E-3</c:v>
                </c:pt>
                <c:pt idx="81">
                  <c:v>3.0000000000000001E-3</c:v>
                </c:pt>
                <c:pt idx="82">
                  <c:v>4.0000000000000001E-3</c:v>
                </c:pt>
                <c:pt idx="83">
                  <c:v>5.0000000000000001E-3</c:v>
                </c:pt>
                <c:pt idx="84">
                  <c:v>6.0000000000000001E-3</c:v>
                </c:pt>
                <c:pt idx="85">
                  <c:v>7.0000000000000001E-3</c:v>
                </c:pt>
                <c:pt idx="86">
                  <c:v>8.0000000000000002E-3</c:v>
                </c:pt>
                <c:pt idx="87">
                  <c:v>9.0000000000000011E-3</c:v>
                </c:pt>
                <c:pt idx="88">
                  <c:v>1.0000000000000002E-2</c:v>
                </c:pt>
                <c:pt idx="89">
                  <c:v>1.1000000000000003E-2</c:v>
                </c:pt>
                <c:pt idx="90">
                  <c:v>1.2000000000000004E-2</c:v>
                </c:pt>
                <c:pt idx="91">
                  <c:v>1.3000000000000005E-2</c:v>
                </c:pt>
                <c:pt idx="92">
                  <c:v>1.4000000000000005E-2</c:v>
                </c:pt>
                <c:pt idx="93">
                  <c:v>1.5000000000000006E-2</c:v>
                </c:pt>
                <c:pt idx="94">
                  <c:v>1.6000000000000007E-2</c:v>
                </c:pt>
                <c:pt idx="95">
                  <c:v>1.7000000000000008E-2</c:v>
                </c:pt>
                <c:pt idx="96">
                  <c:v>1.8000000000000009E-2</c:v>
                </c:pt>
                <c:pt idx="97">
                  <c:v>1.900000000000001E-2</c:v>
                </c:pt>
                <c:pt idx="98">
                  <c:v>2.0000000000000011E-2</c:v>
                </c:pt>
                <c:pt idx="99">
                  <c:v>2.1000000000000012E-2</c:v>
                </c:pt>
                <c:pt idx="100">
                  <c:v>2.2000000000000013E-2</c:v>
                </c:pt>
                <c:pt idx="101">
                  <c:v>2.3000000000000013E-2</c:v>
                </c:pt>
                <c:pt idx="102">
                  <c:v>2.4000000000000014E-2</c:v>
                </c:pt>
                <c:pt idx="103">
                  <c:v>2.5000000000000015E-2</c:v>
                </c:pt>
                <c:pt idx="104">
                  <c:v>2.6000000000000016E-2</c:v>
                </c:pt>
                <c:pt idx="105">
                  <c:v>2.7000000000000017E-2</c:v>
                </c:pt>
                <c:pt idx="106">
                  <c:v>2.8000000000000018E-2</c:v>
                </c:pt>
                <c:pt idx="107">
                  <c:v>2.9000000000000019E-2</c:v>
                </c:pt>
                <c:pt idx="108">
                  <c:v>3.000000000000002E-2</c:v>
                </c:pt>
                <c:pt idx="109">
                  <c:v>3.1000000000000021E-2</c:v>
                </c:pt>
                <c:pt idx="110">
                  <c:v>3.2000000000000021E-2</c:v>
                </c:pt>
                <c:pt idx="111">
                  <c:v>3.3000000000000022E-2</c:v>
                </c:pt>
                <c:pt idx="112">
                  <c:v>3.4000000000000023E-2</c:v>
                </c:pt>
                <c:pt idx="113">
                  <c:v>3.5000000000000024E-2</c:v>
                </c:pt>
                <c:pt idx="114">
                  <c:v>3.6000000000000025E-2</c:v>
                </c:pt>
                <c:pt idx="115">
                  <c:v>3.7000000000000026E-2</c:v>
                </c:pt>
                <c:pt idx="116">
                  <c:v>3.8000000000000027E-2</c:v>
                </c:pt>
                <c:pt idx="117">
                  <c:v>3.9000000000000028E-2</c:v>
                </c:pt>
                <c:pt idx="118">
                  <c:v>4.0000000000000029E-2</c:v>
                </c:pt>
                <c:pt idx="119">
                  <c:v>4.1000000000000029E-2</c:v>
                </c:pt>
                <c:pt idx="120">
                  <c:v>4.200000000000003E-2</c:v>
                </c:pt>
                <c:pt idx="121">
                  <c:v>4.3000000000000031E-2</c:v>
                </c:pt>
                <c:pt idx="122">
                  <c:v>4.4000000000000032E-2</c:v>
                </c:pt>
                <c:pt idx="123">
                  <c:v>4.5000000000000033E-2</c:v>
                </c:pt>
                <c:pt idx="124">
                  <c:v>4.6000000000000034E-2</c:v>
                </c:pt>
                <c:pt idx="125">
                  <c:v>4.7000000000000035E-2</c:v>
                </c:pt>
                <c:pt idx="126">
                  <c:v>4.8000000000000036E-2</c:v>
                </c:pt>
                <c:pt idx="127">
                  <c:v>4.9000000000000037E-2</c:v>
                </c:pt>
                <c:pt idx="128">
                  <c:v>5.0000000000000037E-2</c:v>
                </c:pt>
                <c:pt idx="129">
                  <c:v>5.1000000000000038E-2</c:v>
                </c:pt>
                <c:pt idx="130">
                  <c:v>5.2000000000000039E-2</c:v>
                </c:pt>
                <c:pt idx="131">
                  <c:v>5.300000000000004E-2</c:v>
                </c:pt>
                <c:pt idx="132">
                  <c:v>5.4000000000000041E-2</c:v>
                </c:pt>
                <c:pt idx="133">
                  <c:v>5.5000000000000042E-2</c:v>
                </c:pt>
                <c:pt idx="134">
                  <c:v>5.6000000000000043E-2</c:v>
                </c:pt>
                <c:pt idx="135">
                  <c:v>5.7000000000000044E-2</c:v>
                </c:pt>
                <c:pt idx="136">
                  <c:v>5.8000000000000045E-2</c:v>
                </c:pt>
                <c:pt idx="137">
                  <c:v>5.9000000000000045E-2</c:v>
                </c:pt>
                <c:pt idx="138">
                  <c:v>6.0000000000000046E-2</c:v>
                </c:pt>
                <c:pt idx="139">
                  <c:v>6.1000000000000047E-2</c:v>
                </c:pt>
                <c:pt idx="140">
                  <c:v>6.2000000000000048E-2</c:v>
                </c:pt>
                <c:pt idx="141">
                  <c:v>6.3000000000000042E-2</c:v>
                </c:pt>
                <c:pt idx="142">
                  <c:v>6.4000000000000043E-2</c:v>
                </c:pt>
                <c:pt idx="143">
                  <c:v>6.5000000000000044E-2</c:v>
                </c:pt>
                <c:pt idx="144">
                  <c:v>6.6000000000000045E-2</c:v>
                </c:pt>
                <c:pt idx="145">
                  <c:v>6.7000000000000046E-2</c:v>
                </c:pt>
                <c:pt idx="146">
                  <c:v>6.8000000000000047E-2</c:v>
                </c:pt>
                <c:pt idx="147">
                  <c:v>6.9000000000000047E-2</c:v>
                </c:pt>
                <c:pt idx="148">
                  <c:v>7.0000000000000048E-2</c:v>
                </c:pt>
                <c:pt idx="149">
                  <c:v>7.1000000000000049E-2</c:v>
                </c:pt>
                <c:pt idx="150">
                  <c:v>7.200000000000005E-2</c:v>
                </c:pt>
                <c:pt idx="151">
                  <c:v>7.3000000000000051E-2</c:v>
                </c:pt>
                <c:pt idx="152">
                  <c:v>7.4000000000000052E-2</c:v>
                </c:pt>
                <c:pt idx="153">
                  <c:v>7.5000000000000053E-2</c:v>
                </c:pt>
                <c:pt idx="154">
                  <c:v>7.6000000000000054E-2</c:v>
                </c:pt>
                <c:pt idx="155">
                  <c:v>7.7000000000000055E-2</c:v>
                </c:pt>
                <c:pt idx="156">
                  <c:v>7.8000000000000055E-2</c:v>
                </c:pt>
              </c:numCache>
            </c:numRef>
          </c:xVal>
          <c:yVal>
            <c:numRef>
              <c:f>'Notes | Quant Analysis'!$J$212:$J$368</c:f>
              <c:numCache>
                <c:formatCode>General</c:formatCode>
                <c:ptCount val="157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4</c:v>
                </c:pt>
                <c:pt idx="43">
                  <c:v>6</c:v>
                </c:pt>
                <c:pt idx="44">
                  <c:v>0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2</c:v>
                </c:pt>
                <c:pt idx="49">
                  <c:v>8</c:v>
                </c:pt>
                <c:pt idx="50">
                  <c:v>5</c:v>
                </c:pt>
                <c:pt idx="51">
                  <c:v>3</c:v>
                </c:pt>
                <c:pt idx="52">
                  <c:v>5</c:v>
                </c:pt>
                <c:pt idx="53">
                  <c:v>4</c:v>
                </c:pt>
                <c:pt idx="54">
                  <c:v>7</c:v>
                </c:pt>
                <c:pt idx="55">
                  <c:v>9</c:v>
                </c:pt>
                <c:pt idx="56">
                  <c:v>5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11</c:v>
                </c:pt>
                <c:pt idx="61">
                  <c:v>16</c:v>
                </c:pt>
                <c:pt idx="62">
                  <c:v>10</c:v>
                </c:pt>
                <c:pt idx="63">
                  <c:v>14</c:v>
                </c:pt>
                <c:pt idx="64">
                  <c:v>20</c:v>
                </c:pt>
                <c:pt idx="65">
                  <c:v>16</c:v>
                </c:pt>
                <c:pt idx="66">
                  <c:v>14</c:v>
                </c:pt>
                <c:pt idx="67">
                  <c:v>17</c:v>
                </c:pt>
                <c:pt idx="68">
                  <c:v>13</c:v>
                </c:pt>
                <c:pt idx="69">
                  <c:v>11</c:v>
                </c:pt>
                <c:pt idx="70">
                  <c:v>22</c:v>
                </c:pt>
                <c:pt idx="71">
                  <c:v>17</c:v>
                </c:pt>
                <c:pt idx="72">
                  <c:v>21</c:v>
                </c:pt>
                <c:pt idx="73">
                  <c:v>11</c:v>
                </c:pt>
                <c:pt idx="74">
                  <c:v>24</c:v>
                </c:pt>
                <c:pt idx="75">
                  <c:v>19</c:v>
                </c:pt>
                <c:pt idx="76">
                  <c:v>8</c:v>
                </c:pt>
                <c:pt idx="77">
                  <c:v>22</c:v>
                </c:pt>
                <c:pt idx="78">
                  <c:v>21</c:v>
                </c:pt>
                <c:pt idx="79">
                  <c:v>19</c:v>
                </c:pt>
                <c:pt idx="80">
                  <c:v>16</c:v>
                </c:pt>
                <c:pt idx="81">
                  <c:v>18</c:v>
                </c:pt>
                <c:pt idx="82">
                  <c:v>16</c:v>
                </c:pt>
                <c:pt idx="83">
                  <c:v>16</c:v>
                </c:pt>
                <c:pt idx="84">
                  <c:v>21</c:v>
                </c:pt>
                <c:pt idx="85">
                  <c:v>29</c:v>
                </c:pt>
                <c:pt idx="86">
                  <c:v>15</c:v>
                </c:pt>
                <c:pt idx="87">
                  <c:v>23</c:v>
                </c:pt>
                <c:pt idx="88">
                  <c:v>11</c:v>
                </c:pt>
                <c:pt idx="89">
                  <c:v>15</c:v>
                </c:pt>
                <c:pt idx="90">
                  <c:v>14</c:v>
                </c:pt>
                <c:pt idx="91">
                  <c:v>14</c:v>
                </c:pt>
                <c:pt idx="92">
                  <c:v>4</c:v>
                </c:pt>
                <c:pt idx="93">
                  <c:v>14</c:v>
                </c:pt>
                <c:pt idx="94">
                  <c:v>11</c:v>
                </c:pt>
                <c:pt idx="95">
                  <c:v>16</c:v>
                </c:pt>
                <c:pt idx="96">
                  <c:v>13</c:v>
                </c:pt>
                <c:pt idx="97">
                  <c:v>15</c:v>
                </c:pt>
                <c:pt idx="98">
                  <c:v>9</c:v>
                </c:pt>
                <c:pt idx="99">
                  <c:v>6</c:v>
                </c:pt>
                <c:pt idx="100">
                  <c:v>8</c:v>
                </c:pt>
                <c:pt idx="101">
                  <c:v>8</c:v>
                </c:pt>
                <c:pt idx="102">
                  <c:v>11</c:v>
                </c:pt>
                <c:pt idx="103">
                  <c:v>7</c:v>
                </c:pt>
                <c:pt idx="104">
                  <c:v>3</c:v>
                </c:pt>
                <c:pt idx="105">
                  <c:v>6</c:v>
                </c:pt>
                <c:pt idx="106">
                  <c:v>10</c:v>
                </c:pt>
                <c:pt idx="107">
                  <c:v>4</c:v>
                </c:pt>
                <c:pt idx="108">
                  <c:v>8</c:v>
                </c:pt>
                <c:pt idx="109">
                  <c:v>7</c:v>
                </c:pt>
                <c:pt idx="110">
                  <c:v>3</c:v>
                </c:pt>
                <c:pt idx="111">
                  <c:v>3</c:v>
                </c:pt>
                <c:pt idx="112">
                  <c:v>4</c:v>
                </c:pt>
                <c:pt idx="113">
                  <c:v>4</c:v>
                </c:pt>
                <c:pt idx="114">
                  <c:v>5</c:v>
                </c:pt>
                <c:pt idx="115">
                  <c:v>4</c:v>
                </c:pt>
                <c:pt idx="116">
                  <c:v>3</c:v>
                </c:pt>
                <c:pt idx="117">
                  <c:v>1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1</c:v>
                </c:pt>
                <c:pt idx="125">
                  <c:v>4</c:v>
                </c:pt>
                <c:pt idx="126">
                  <c:v>3</c:v>
                </c:pt>
                <c:pt idx="127">
                  <c:v>3</c:v>
                </c:pt>
                <c:pt idx="128">
                  <c:v>1</c:v>
                </c:pt>
                <c:pt idx="129">
                  <c:v>0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3</c:v>
                </c:pt>
                <c:pt idx="137">
                  <c:v>0</c:v>
                </c:pt>
                <c:pt idx="138">
                  <c:v>2</c:v>
                </c:pt>
                <c:pt idx="139">
                  <c:v>0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Analysis'!$L$210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Analysis'!$L$212:$L$370</c:f>
              <c:numCache>
                <c:formatCode>0.00%</c:formatCode>
                <c:ptCount val="159"/>
                <c:pt idx="0">
                  <c:v>-7.9000000000000056E-2</c:v>
                </c:pt>
                <c:pt idx="1">
                  <c:v>-7.8000000000000055E-2</c:v>
                </c:pt>
                <c:pt idx="2">
                  <c:v>-7.7000000000000055E-2</c:v>
                </c:pt>
                <c:pt idx="3">
                  <c:v>-7.6000000000000054E-2</c:v>
                </c:pt>
                <c:pt idx="4">
                  <c:v>-7.5000000000000053E-2</c:v>
                </c:pt>
                <c:pt idx="5">
                  <c:v>-7.4000000000000052E-2</c:v>
                </c:pt>
                <c:pt idx="6">
                  <c:v>-7.3000000000000051E-2</c:v>
                </c:pt>
                <c:pt idx="7">
                  <c:v>-7.200000000000005E-2</c:v>
                </c:pt>
                <c:pt idx="8">
                  <c:v>-7.1000000000000049E-2</c:v>
                </c:pt>
                <c:pt idx="9">
                  <c:v>-7.0000000000000048E-2</c:v>
                </c:pt>
                <c:pt idx="10">
                  <c:v>-6.9000000000000047E-2</c:v>
                </c:pt>
                <c:pt idx="11">
                  <c:v>-6.8000000000000047E-2</c:v>
                </c:pt>
                <c:pt idx="12">
                  <c:v>-6.7000000000000046E-2</c:v>
                </c:pt>
                <c:pt idx="13">
                  <c:v>-6.6000000000000045E-2</c:v>
                </c:pt>
                <c:pt idx="14">
                  <c:v>-6.5000000000000044E-2</c:v>
                </c:pt>
                <c:pt idx="15">
                  <c:v>-6.4000000000000043E-2</c:v>
                </c:pt>
                <c:pt idx="16">
                  <c:v>-6.3000000000000042E-2</c:v>
                </c:pt>
                <c:pt idx="17">
                  <c:v>-6.2000000000000048E-2</c:v>
                </c:pt>
                <c:pt idx="18">
                  <c:v>-6.1000000000000047E-2</c:v>
                </c:pt>
                <c:pt idx="19">
                  <c:v>-6.0000000000000046E-2</c:v>
                </c:pt>
                <c:pt idx="20">
                  <c:v>-5.9000000000000045E-2</c:v>
                </c:pt>
                <c:pt idx="21">
                  <c:v>-5.8000000000000045E-2</c:v>
                </c:pt>
                <c:pt idx="22">
                  <c:v>-5.7000000000000044E-2</c:v>
                </c:pt>
                <c:pt idx="23">
                  <c:v>-5.6000000000000043E-2</c:v>
                </c:pt>
                <c:pt idx="24">
                  <c:v>-5.5000000000000042E-2</c:v>
                </c:pt>
                <c:pt idx="25">
                  <c:v>-5.4000000000000041E-2</c:v>
                </c:pt>
                <c:pt idx="26">
                  <c:v>-5.300000000000004E-2</c:v>
                </c:pt>
                <c:pt idx="27">
                  <c:v>-5.2000000000000039E-2</c:v>
                </c:pt>
                <c:pt idx="28">
                  <c:v>-5.1000000000000038E-2</c:v>
                </c:pt>
                <c:pt idx="29">
                  <c:v>-5.0000000000000037E-2</c:v>
                </c:pt>
                <c:pt idx="30">
                  <c:v>-4.9000000000000037E-2</c:v>
                </c:pt>
                <c:pt idx="31">
                  <c:v>-4.8000000000000036E-2</c:v>
                </c:pt>
                <c:pt idx="32">
                  <c:v>-4.7000000000000035E-2</c:v>
                </c:pt>
                <c:pt idx="33">
                  <c:v>-4.6000000000000034E-2</c:v>
                </c:pt>
                <c:pt idx="34">
                  <c:v>-4.5000000000000033E-2</c:v>
                </c:pt>
                <c:pt idx="35">
                  <c:v>-4.4000000000000032E-2</c:v>
                </c:pt>
                <c:pt idx="36">
                  <c:v>-4.3000000000000031E-2</c:v>
                </c:pt>
                <c:pt idx="37">
                  <c:v>-4.200000000000003E-2</c:v>
                </c:pt>
                <c:pt idx="38">
                  <c:v>-4.1000000000000029E-2</c:v>
                </c:pt>
                <c:pt idx="39">
                  <c:v>-4.0000000000000029E-2</c:v>
                </c:pt>
                <c:pt idx="40">
                  <c:v>-3.9000000000000028E-2</c:v>
                </c:pt>
                <c:pt idx="41">
                  <c:v>-3.8000000000000027E-2</c:v>
                </c:pt>
                <c:pt idx="42">
                  <c:v>-3.7000000000000026E-2</c:v>
                </c:pt>
                <c:pt idx="43">
                  <c:v>-3.6000000000000025E-2</c:v>
                </c:pt>
                <c:pt idx="44">
                  <c:v>-3.5000000000000024E-2</c:v>
                </c:pt>
                <c:pt idx="45">
                  <c:v>-3.4000000000000023E-2</c:v>
                </c:pt>
                <c:pt idx="46">
                  <c:v>-3.3000000000000022E-2</c:v>
                </c:pt>
                <c:pt idx="47">
                  <c:v>-3.2000000000000021E-2</c:v>
                </c:pt>
                <c:pt idx="48">
                  <c:v>-3.1000000000000021E-2</c:v>
                </c:pt>
                <c:pt idx="49">
                  <c:v>-3.000000000000002E-2</c:v>
                </c:pt>
                <c:pt idx="50">
                  <c:v>-2.9000000000000019E-2</c:v>
                </c:pt>
                <c:pt idx="51">
                  <c:v>-2.8000000000000018E-2</c:v>
                </c:pt>
                <c:pt idx="52">
                  <c:v>-2.7000000000000017E-2</c:v>
                </c:pt>
                <c:pt idx="53">
                  <c:v>-2.6000000000000016E-2</c:v>
                </c:pt>
                <c:pt idx="54">
                  <c:v>-2.5000000000000015E-2</c:v>
                </c:pt>
                <c:pt idx="55">
                  <c:v>-2.4000000000000014E-2</c:v>
                </c:pt>
                <c:pt idx="56">
                  <c:v>-2.3000000000000013E-2</c:v>
                </c:pt>
                <c:pt idx="57">
                  <c:v>-2.2000000000000013E-2</c:v>
                </c:pt>
                <c:pt idx="58">
                  <c:v>-2.1000000000000012E-2</c:v>
                </c:pt>
                <c:pt idx="59">
                  <c:v>-2.0000000000000011E-2</c:v>
                </c:pt>
                <c:pt idx="60">
                  <c:v>-1.900000000000001E-2</c:v>
                </c:pt>
                <c:pt idx="61">
                  <c:v>-1.8000000000000009E-2</c:v>
                </c:pt>
                <c:pt idx="62">
                  <c:v>-1.7000000000000008E-2</c:v>
                </c:pt>
                <c:pt idx="63">
                  <c:v>-1.6000000000000007E-2</c:v>
                </c:pt>
                <c:pt idx="64">
                  <c:v>-1.5000000000000006E-2</c:v>
                </c:pt>
                <c:pt idx="65">
                  <c:v>-1.4000000000000005E-2</c:v>
                </c:pt>
                <c:pt idx="66">
                  <c:v>-1.3000000000000005E-2</c:v>
                </c:pt>
                <c:pt idx="67">
                  <c:v>-1.2000000000000004E-2</c:v>
                </c:pt>
                <c:pt idx="68">
                  <c:v>-1.1000000000000003E-2</c:v>
                </c:pt>
                <c:pt idx="69">
                  <c:v>-1.0000000000000002E-2</c:v>
                </c:pt>
                <c:pt idx="70">
                  <c:v>-9.0000000000000011E-3</c:v>
                </c:pt>
                <c:pt idx="71">
                  <c:v>-8.0000000000000002E-3</c:v>
                </c:pt>
                <c:pt idx="72">
                  <c:v>-7.0000000000000001E-3</c:v>
                </c:pt>
                <c:pt idx="73">
                  <c:v>-6.0000000000000001E-3</c:v>
                </c:pt>
                <c:pt idx="74">
                  <c:v>-5.0000000000000001E-3</c:v>
                </c:pt>
                <c:pt idx="75">
                  <c:v>-4.0000000000000001E-3</c:v>
                </c:pt>
                <c:pt idx="76">
                  <c:v>-3.0000000000000001E-3</c:v>
                </c:pt>
                <c:pt idx="77">
                  <c:v>-2E-3</c:v>
                </c:pt>
                <c:pt idx="78">
                  <c:v>-1E-3</c:v>
                </c:pt>
                <c:pt idx="79">
                  <c:v>0</c:v>
                </c:pt>
                <c:pt idx="80">
                  <c:v>1E-3</c:v>
                </c:pt>
                <c:pt idx="81">
                  <c:v>2E-3</c:v>
                </c:pt>
                <c:pt idx="82">
                  <c:v>3.0000000000000001E-3</c:v>
                </c:pt>
                <c:pt idx="83">
                  <c:v>4.0000000000000001E-3</c:v>
                </c:pt>
                <c:pt idx="84">
                  <c:v>5.0000000000000001E-3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8.0000000000000002E-3</c:v>
                </c:pt>
                <c:pt idx="88">
                  <c:v>9.0000000000000011E-3</c:v>
                </c:pt>
                <c:pt idx="89">
                  <c:v>1.0000000000000002E-2</c:v>
                </c:pt>
                <c:pt idx="90">
                  <c:v>1.1000000000000003E-2</c:v>
                </c:pt>
                <c:pt idx="91">
                  <c:v>1.2000000000000004E-2</c:v>
                </c:pt>
                <c:pt idx="92">
                  <c:v>1.3000000000000005E-2</c:v>
                </c:pt>
                <c:pt idx="93">
                  <c:v>1.4000000000000005E-2</c:v>
                </c:pt>
                <c:pt idx="94">
                  <c:v>1.5000000000000006E-2</c:v>
                </c:pt>
                <c:pt idx="95">
                  <c:v>1.6000000000000007E-2</c:v>
                </c:pt>
                <c:pt idx="96">
                  <c:v>1.7000000000000008E-2</c:v>
                </c:pt>
                <c:pt idx="97">
                  <c:v>1.8000000000000009E-2</c:v>
                </c:pt>
                <c:pt idx="98">
                  <c:v>1.900000000000001E-2</c:v>
                </c:pt>
                <c:pt idx="99">
                  <c:v>2.0000000000000011E-2</c:v>
                </c:pt>
                <c:pt idx="100">
                  <c:v>2.1000000000000012E-2</c:v>
                </c:pt>
                <c:pt idx="101">
                  <c:v>2.2000000000000013E-2</c:v>
                </c:pt>
                <c:pt idx="102">
                  <c:v>2.3000000000000013E-2</c:v>
                </c:pt>
                <c:pt idx="103">
                  <c:v>2.4000000000000014E-2</c:v>
                </c:pt>
                <c:pt idx="104">
                  <c:v>2.5000000000000015E-2</c:v>
                </c:pt>
                <c:pt idx="105">
                  <c:v>2.6000000000000016E-2</c:v>
                </c:pt>
                <c:pt idx="106">
                  <c:v>2.7000000000000017E-2</c:v>
                </c:pt>
                <c:pt idx="107">
                  <c:v>2.8000000000000018E-2</c:v>
                </c:pt>
                <c:pt idx="108">
                  <c:v>2.9000000000000019E-2</c:v>
                </c:pt>
                <c:pt idx="109">
                  <c:v>3.000000000000002E-2</c:v>
                </c:pt>
                <c:pt idx="110">
                  <c:v>3.1000000000000021E-2</c:v>
                </c:pt>
                <c:pt idx="111">
                  <c:v>3.2000000000000021E-2</c:v>
                </c:pt>
                <c:pt idx="112">
                  <c:v>3.3000000000000022E-2</c:v>
                </c:pt>
                <c:pt idx="113">
                  <c:v>3.4000000000000023E-2</c:v>
                </c:pt>
                <c:pt idx="114">
                  <c:v>3.5000000000000024E-2</c:v>
                </c:pt>
                <c:pt idx="115">
                  <c:v>3.6000000000000025E-2</c:v>
                </c:pt>
                <c:pt idx="116">
                  <c:v>3.7000000000000026E-2</c:v>
                </c:pt>
                <c:pt idx="117">
                  <c:v>3.8000000000000027E-2</c:v>
                </c:pt>
                <c:pt idx="118">
                  <c:v>3.9000000000000028E-2</c:v>
                </c:pt>
                <c:pt idx="119">
                  <c:v>4.0000000000000029E-2</c:v>
                </c:pt>
                <c:pt idx="120">
                  <c:v>4.1000000000000029E-2</c:v>
                </c:pt>
                <c:pt idx="121">
                  <c:v>4.200000000000003E-2</c:v>
                </c:pt>
                <c:pt idx="122">
                  <c:v>4.3000000000000031E-2</c:v>
                </c:pt>
                <c:pt idx="123">
                  <c:v>4.4000000000000032E-2</c:v>
                </c:pt>
                <c:pt idx="124">
                  <c:v>4.5000000000000033E-2</c:v>
                </c:pt>
                <c:pt idx="125">
                  <c:v>4.6000000000000034E-2</c:v>
                </c:pt>
                <c:pt idx="126">
                  <c:v>4.7000000000000035E-2</c:v>
                </c:pt>
                <c:pt idx="127">
                  <c:v>4.8000000000000036E-2</c:v>
                </c:pt>
                <c:pt idx="128">
                  <c:v>4.9000000000000037E-2</c:v>
                </c:pt>
                <c:pt idx="129">
                  <c:v>5.0000000000000037E-2</c:v>
                </c:pt>
                <c:pt idx="130">
                  <c:v>5.1000000000000038E-2</c:v>
                </c:pt>
                <c:pt idx="131">
                  <c:v>5.2000000000000039E-2</c:v>
                </c:pt>
                <c:pt idx="132">
                  <c:v>5.300000000000004E-2</c:v>
                </c:pt>
                <c:pt idx="133">
                  <c:v>5.4000000000000041E-2</c:v>
                </c:pt>
                <c:pt idx="134">
                  <c:v>5.5000000000000042E-2</c:v>
                </c:pt>
                <c:pt idx="135">
                  <c:v>5.6000000000000043E-2</c:v>
                </c:pt>
                <c:pt idx="136">
                  <c:v>5.7000000000000044E-2</c:v>
                </c:pt>
                <c:pt idx="137">
                  <c:v>5.8000000000000045E-2</c:v>
                </c:pt>
                <c:pt idx="138">
                  <c:v>5.9000000000000045E-2</c:v>
                </c:pt>
                <c:pt idx="139">
                  <c:v>6.0000000000000046E-2</c:v>
                </c:pt>
                <c:pt idx="140">
                  <c:v>6.1000000000000047E-2</c:v>
                </c:pt>
                <c:pt idx="141">
                  <c:v>6.2000000000000048E-2</c:v>
                </c:pt>
                <c:pt idx="142">
                  <c:v>6.3000000000000042E-2</c:v>
                </c:pt>
                <c:pt idx="143">
                  <c:v>6.4000000000000043E-2</c:v>
                </c:pt>
                <c:pt idx="144">
                  <c:v>6.5000000000000044E-2</c:v>
                </c:pt>
                <c:pt idx="145">
                  <c:v>6.6000000000000045E-2</c:v>
                </c:pt>
                <c:pt idx="146">
                  <c:v>6.7000000000000046E-2</c:v>
                </c:pt>
                <c:pt idx="147">
                  <c:v>6.8000000000000047E-2</c:v>
                </c:pt>
                <c:pt idx="148">
                  <c:v>6.9000000000000047E-2</c:v>
                </c:pt>
                <c:pt idx="149">
                  <c:v>7.0000000000000048E-2</c:v>
                </c:pt>
                <c:pt idx="150">
                  <c:v>7.1000000000000049E-2</c:v>
                </c:pt>
                <c:pt idx="151">
                  <c:v>7.200000000000005E-2</c:v>
                </c:pt>
                <c:pt idx="152">
                  <c:v>7.3000000000000051E-2</c:v>
                </c:pt>
                <c:pt idx="153">
                  <c:v>7.4000000000000052E-2</c:v>
                </c:pt>
                <c:pt idx="154">
                  <c:v>7.5000000000000053E-2</c:v>
                </c:pt>
                <c:pt idx="155">
                  <c:v>7.6000000000000054E-2</c:v>
                </c:pt>
                <c:pt idx="156">
                  <c:v>7.7000000000000055E-2</c:v>
                </c:pt>
                <c:pt idx="157">
                  <c:v>7.8000000000000055E-2</c:v>
                </c:pt>
                <c:pt idx="158">
                  <c:v>7.9000000000000056E-2</c:v>
                </c:pt>
              </c:numCache>
            </c:numRef>
          </c:xVal>
          <c:yVal>
            <c:numRef>
              <c:f>'Notes | Quant Analysis'!$M$212:$M$370</c:f>
              <c:numCache>
                <c:formatCode>General</c:formatCode>
                <c:ptCount val="159"/>
                <c:pt idx="0">
                  <c:v>0.11601948329836063</c:v>
                </c:pt>
                <c:pt idx="1">
                  <c:v>0.13097612318842955</c:v>
                </c:pt>
                <c:pt idx="2">
                  <c:v>0.147636356027712</c:v>
                </c:pt>
                <c:pt idx="3">
                  <c:v>0.16616306127850716</c:v>
                </c:pt>
                <c:pt idx="4">
                  <c:v>0.18673066059432475</c:v>
                </c:pt>
                <c:pt idx="5">
                  <c:v>0.20952544124715913</c:v>
                </c:pt>
                <c:pt idx="6">
                  <c:v>0.23474582430188048</c:v>
                </c:pt>
                <c:pt idx="7">
                  <c:v>0.26260256811470856</c:v>
                </c:pt>
                <c:pt idx="8">
                  <c:v>0.2933188973035602</c:v>
                </c:pt>
                <c:pt idx="9">
                  <c:v>0.32713054698324751</c:v>
                </c:pt>
                <c:pt idx="10">
                  <c:v>0.36428571179215252</c:v>
                </c:pt>
                <c:pt idx="11">
                  <c:v>0.40504488907352948</c:v>
                </c:pt>
                <c:pt idx="12">
                  <c:v>0.44968060552846106</c:v>
                </c:pt>
                <c:pt idx="13">
                  <c:v>0.49847701674298095</c:v>
                </c:pt>
                <c:pt idx="14">
                  <c:v>0.55172936922280391</c:v>
                </c:pt>
                <c:pt idx="15">
                  <c:v>0.60974331495849732</c:v>
                </c:pt>
                <c:pt idx="16">
                  <c:v>0.67283406910378785</c:v>
                </c:pt>
                <c:pt idx="17">
                  <c:v>0.74132540209057185</c:v>
                </c:pt>
                <c:pt idx="18">
                  <c:v>0.81554845843492219</c:v>
                </c:pt>
                <c:pt idx="19">
                  <c:v>0.89584039561569551</c:v>
                </c:pt>
                <c:pt idx="20">
                  <c:v>0.98254283773553008</c:v>
                </c:pt>
                <c:pt idx="21">
                  <c:v>1.0760001402047055</c:v>
                </c:pt>
                <c:pt idx="22">
                  <c:v>1.1765574634199121</c:v>
                </c:pt>
                <c:pt idx="23">
                  <c:v>1.2845586553376644</c:v>
                </c:pt>
                <c:pt idx="24">
                  <c:v>1.4003439449574564</c:v>
                </c:pt>
                <c:pt idx="25">
                  <c:v>1.5242474510204449</c:v>
                </c:pt>
                <c:pt idx="26">
                  <c:v>1.6565945126794532</c:v>
                </c:pt>
                <c:pt idx="27">
                  <c:v>1.7976988514849714</c:v>
                </c:pt>
                <c:pt idx="28">
                  <c:v>1.9478595767355424</c:v>
                </c:pt>
                <c:pt idx="29">
                  <c:v>2.1073580490309403</c:v>
                </c:pt>
                <c:pt idx="30">
                  <c:v>2.2764546197109747</c:v>
                </c:pt>
                <c:pt idx="31">
                  <c:v>2.4553852667255782</c:v>
                </c:pt>
                <c:pt idx="32">
                  <c:v>2.6443581503240692</c:v>
                </c:pt>
                <c:pt idx="33">
                  <c:v>2.8435501147310132</c:v>
                </c:pt>
                <c:pt idx="34">
                  <c:v>3.0531031646483791</c:v>
                </c:pt>
                <c:pt idx="35">
                  <c:v>3.2731209479423899</c:v>
                </c:pt>
                <c:pt idx="36">
                  <c:v>3.5036652781908941</c:v>
                </c:pt>
                <c:pt idx="37">
                  <c:v>3.7447527328351797</c:v>
                </c:pt>
                <c:pt idx="38">
                  <c:v>3.9963513644510611</c:v>
                </c:pt>
                <c:pt idx="39">
                  <c:v>4.2583775640811661</c:v>
                </c:pt>
                <c:pt idx="40">
                  <c:v>4.5306931166089894</c:v>
                </c:pt>
                <c:pt idx="41">
                  <c:v>4.8131024887637599</c:v>
                </c:pt>
                <c:pt idx="42">
                  <c:v>5.1053503904857491</c:v>
                </c:pt>
                <c:pt idx="43">
                  <c:v>5.4071196500213219</c:v>
                </c:pt>
                <c:pt idx="44">
                  <c:v>5.7180294422283575</c:v>
                </c:pt>
                <c:pt idx="45">
                  <c:v>6.0376339081350547</c:v>
                </c:pt>
                <c:pt idx="46">
                  <c:v>6.365421201794808</c:v>
                </c:pt>
                <c:pt idx="47">
                  <c:v>6.7008129979114477</c:v>
                </c:pt>
                <c:pt idx="48">
                  <c:v>7.0431644905754744</c:v>
                </c:pt>
                <c:pt idx="49">
                  <c:v>7.3917649097650671</c:v>
                </c:pt>
                <c:pt idx="50">
                  <c:v>7.7458385780467527</c:v>
                </c:pt>
                <c:pt idx="51">
                  <c:v>8.104546525190452</c:v>
                </c:pt>
                <c:pt idx="52">
                  <c:v>8.4669886732321018</c:v>
                </c:pt>
                <c:pt idx="53">
                  <c:v>8.8322065989235856</c:v>
                </c:pt>
                <c:pt idx="54">
                  <c:v>9.1991868745624981</c:v>
                </c:pt>
                <c:pt idx="55">
                  <c:v>9.566864981959462</c:v>
                </c:pt>
                <c:pt idx="56">
                  <c:v>9.9341297878524486</c:v>
                </c:pt>
                <c:pt idx="57">
                  <c:v>10.299828562496334</c:v>
                </c:pt>
                <c:pt idx="58">
                  <c:v>10.662772516527712</c:v>
                </c:pt>
                <c:pt idx="59">
                  <c:v>11.021742824620222</c:v>
                </c:pt>
                <c:pt idx="60">
                  <c:v>11.375497097997632</c:v>
                </c:pt>
                <c:pt idx="61">
                  <c:v>11.722776261655348</c:v>
                </c:pt>
                <c:pt idx="62">
                  <c:v>12.062311786250614</c:v>
                </c:pt>
                <c:pt idx="63">
                  <c:v>12.392833219150464</c:v>
                </c:pt>
                <c:pt idx="64">
                  <c:v>12.713075954163843</c:v>
                </c:pt>
                <c:pt idx="65">
                  <c:v>13.021789175115408</c:v>
                </c:pt>
                <c:pt idx="66">
                  <c:v>13.317743904720929</c:v>
                </c:pt>
                <c:pt idx="67">
                  <c:v>13.599741087268358</c:v>
                </c:pt>
                <c:pt idx="68">
                  <c:v>13.866619631455098</c:v>
                </c:pt>
                <c:pt idx="69">
                  <c:v>14.117264338430283</c:v>
                </c:pt>
                <c:pt idx="70">
                  <c:v>14.350613639679471</c:v>
                </c:pt>
                <c:pt idx="71">
                  <c:v>14.565667069892731</c:v>
                </c:pt>
                <c:pt idx="72">
                  <c:v>14.761492401387756</c:v>
                </c:pt>
                <c:pt idx="73">
                  <c:v>14.937232369014904</c:v>
                </c:pt>
                <c:pt idx="74">
                  <c:v>15.092110917734537</c:v>
                </c:pt>
                <c:pt idx="75">
                  <c:v>15.225438909198266</c:v>
                </c:pt>
                <c:pt idx="76">
                  <c:v>15.336619228640002</c:v>
                </c:pt>
                <c:pt idx="77">
                  <c:v>15.425151239132671</c:v>
                </c:pt>
                <c:pt idx="78">
                  <c:v>15.490634536721318</c:v>
                </c:pt>
                <c:pt idx="79">
                  <c:v>15.532771967021933</c:v>
                </c:pt>
                <c:pt idx="80">
                  <c:v>15.551371871485246</c:v>
                </c:pt>
                <c:pt idx="81">
                  <c:v>15.546349539565515</c:v>
                </c:pt>
                <c:pt idx="82">
                  <c:v>15.517727851398124</c:v>
                </c:pt>
                <c:pt idx="83">
                  <c:v>15.465637104163227</c:v>
                </c:pt>
                <c:pt idx="84">
                  <c:v>15.390314023979366</c:v>
                </c:pt>
                <c:pt idx="85">
                  <c:v>15.292099973812306</c:v>
                </c:pt>
                <c:pt idx="86">
                  <c:v>15.171438376382856</c:v>
                </c:pt>
                <c:pt idx="87">
                  <c:v>15.028871379297451</c:v>
                </c:pt>
                <c:pt idx="88">
                  <c:v>14.865035797495624</c:v>
                </c:pt>
                <c:pt idx="89">
                  <c:v>14.680658375504589</c:v>
                </c:pt>
                <c:pt idx="90">
                  <c:v>14.476550418815068</c:v>
                </c:pt>
                <c:pt idx="91">
                  <c:v>14.253601849857247</c:v>
                </c:pt>
                <c:pt idx="92">
                  <c:v>14.012774749483826</c:v>
                </c:pt>
                <c:pt idx="93">
                  <c:v>13.75509644949353</c:v>
                </c:pt>
                <c:pt idx="94">
                  <c:v>13.481652245501328</c:v>
                </c:pt>
                <c:pt idx="95">
                  <c:v>13.19357780234184</c:v>
                </c:pt>
                <c:pt idx="96">
                  <c:v>12.892051326155915</c:v>
                </c:pt>
                <c:pt idx="97">
                  <c:v>12.578285578346323</c:v>
                </c:pt>
                <c:pt idx="98">
                  <c:v>12.253519806700961</c:v>
                </c:pt>
                <c:pt idx="99">
                  <c:v>11.91901166818829</c:v>
                </c:pt>
                <c:pt idx="100">
                  <c:v>11.576029216260501</c:v>
                </c:pt>
                <c:pt idx="101">
                  <c:v>11.225843022998662</c:v>
                </c:pt>
                <c:pt idx="102">
                  <c:v>10.869718503154914</c:v>
                </c:pt>
                <c:pt idx="103">
                  <c:v>10.508908503154794</c:v>
                </c:pt>
                <c:pt idx="104">
                  <c:v>10.144646213491502</c:v>
                </c:pt>
                <c:pt idx="105">
                  <c:v>9.7781384577544443</c:v>
                </c:pt>
                <c:pt idx="106">
                  <c:v>9.4105594058738173</c:v>
                </c:pt>
                <c:pt idx="107">
                  <c:v>9.0430447531224107</c:v>
                </c:pt>
                <c:pt idx="108">
                  <c:v>8.6766864000892738</c:v>
                </c:pt>
                <c:pt idx="109">
                  <c:v>8.3125276623222391</c:v>
                </c:pt>
                <c:pt idx="110">
                  <c:v>7.951559031721775</c:v>
                </c:pt>
                <c:pt idx="111">
                  <c:v>7.5947145051495264</c:v>
                </c:pt>
                <c:pt idx="112">
                  <c:v>7.2428684891801298</c:v>
                </c:pt>
                <c:pt idx="113">
                  <c:v>6.8968332835576902</c:v>
                </c:pt>
                <c:pt idx="114">
                  <c:v>6.5573571397973005</c:v>
                </c:pt>
                <c:pt idx="115">
                  <c:v>6.225122885567389</c:v>
                </c:pt>
                <c:pt idx="116">
                  <c:v>5.9007471000637457</c:v>
                </c:pt>
                <c:pt idx="117">
                  <c:v>5.5847798205952159</c:v>
                </c:pt>
                <c:pt idx="118">
                  <c:v>5.2777047560895616</c:v>
                </c:pt>
                <c:pt idx="119">
                  <c:v>4.9799399792320669</c:v>
                </c:pt>
                <c:pt idx="120">
                  <c:v>4.6918390654957021</c:v>
                </c:pt>
                <c:pt idx="121">
                  <c:v>4.4136926444273819</c:v>
                </c:pt>
                <c:pt idx="122">
                  <c:v>4.1457303262280378</c:v>
                </c:pt>
                <c:pt idx="123">
                  <c:v>3.8881229649042646</c:v>
                </c:pt>
                <c:pt idx="124">
                  <c:v>3.6409852180671161</c:v>
                </c:pt>
                <c:pt idx="125">
                  <c:v>3.4043783627924777</c:v>
                </c:pt>
                <c:pt idx="126">
                  <c:v>3.1783133268137518</c:v>
                </c:pt>
                <c:pt idx="127">
                  <c:v>2.9627538946613372</c:v>
                </c:pt>
                <c:pt idx="128">
                  <c:v>2.7576200491596592</c:v>
                </c:pt>
                <c:pt idx="129">
                  <c:v>2.5627914099014824</c:v>
                </c:pt>
                <c:pt idx="130">
                  <c:v>2.3781107318981052</c:v>
                </c:pt>
                <c:pt idx="131">
                  <c:v>2.2033874295070759</c:v>
                </c:pt>
                <c:pt idx="132">
                  <c:v>2.0384010929189809</c:v>
                </c:pt>
                <c:pt idx="133">
                  <c:v>1.8829049668937548</c:v>
                </c:pt>
                <c:pt idx="134">
                  <c:v>1.7366293640266881</c:v>
                </c:pt>
                <c:pt idx="135">
                  <c:v>1.5992849875477357</c:v>
                </c:pt>
                <c:pt idx="136">
                  <c:v>1.4705661414692504</c:v>
                </c:pt>
                <c:pt idx="137">
                  <c:v>1.350153808753209</c:v>
                </c:pt>
                <c:pt idx="138">
                  <c:v>1.237718581028624</c:v>
                </c:pt>
                <c:pt idx="139">
                  <c:v>1.132923426215263</c:v>
                </c:pt>
                <c:pt idx="140">
                  <c:v>1.0354262831668697</c:v>
                </c:pt>
                <c:pt idx="141">
                  <c:v>0.94488247510520451</c:v>
                </c:pt>
                <c:pt idx="142">
                  <c:v>0.86094693614878914</c:v>
                </c:pt>
                <c:pt idx="143">
                  <c:v>0.78327624762476178</c:v>
                </c:pt>
                <c:pt idx="144">
                  <c:v>0.71153048307018674</c:v>
                </c:pt>
                <c:pt idx="145">
                  <c:v>0.64537486286597079</c:v>
                </c:pt>
                <c:pt idx="146">
                  <c:v>0.58448122129172919</c:v>
                </c:pt>
                <c:pt idx="147">
                  <c:v>0.52852929043649077</c:v>
                </c:pt>
                <c:pt idx="148">
                  <c:v>0.47720780684474889</c:v>
                </c:pt>
                <c:pt idx="149">
                  <c:v>0.43021544801979522</c:v>
                </c:pt>
                <c:pt idx="150">
                  <c:v>0.38726160694935946</c:v>
                </c:pt>
                <c:pt idx="151">
                  <c:v>0.34806701366764081</c:v>
                </c:pt>
                <c:pt idx="152">
                  <c:v>0.31236421353056126</c:v>
                </c:pt>
                <c:pt idx="153">
                  <c:v>0.27989791236708922</c:v>
                </c:pt>
                <c:pt idx="154">
                  <c:v>0.25042519898998411</c:v>
                </c:pt>
                <c:pt idx="155">
                  <c:v>0.22371565571677052</c:v>
                </c:pt>
                <c:pt idx="156">
                  <c:v>0.19955136757956785</c:v>
                </c:pt>
                <c:pt idx="157">
                  <c:v>0.17772684080463991</c:v>
                </c:pt>
                <c:pt idx="158">
                  <c:v>0.15804884093354898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Analysis'!$O$212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9153279737139806E-2"/>
                  <c:y val="-2.7103213295791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0851051661095"/>
                      <c:h val="7.74483459783175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Analysis'!$P$212:$P$213</c:f>
              <c:numCache>
                <c:formatCode>0.00%</c:formatCode>
                <c:ptCount val="2"/>
                <c:pt idx="0">
                  <c:v>1.2874627680160681E-3</c:v>
                </c:pt>
                <c:pt idx="1">
                  <c:v>1.2874627680160681E-3</c:v>
                </c:pt>
              </c:numCache>
            </c:numRef>
          </c:xVal>
          <c:yVal>
            <c:numRef>
              <c:f>'Notes | Quant Analysis'!$Q$212:$Q$213</c:f>
              <c:numCache>
                <c:formatCode>General</c:formatCode>
                <c:ptCount val="2"/>
                <c:pt idx="0">
                  <c:v>0</c:v>
                </c:pt>
                <c:pt idx="1">
                  <c:v>15.5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Analysis'!$O$214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Analysis'!$P$214:$P$215</c:f>
              <c:numCache>
                <c:formatCode>0.00%</c:formatCode>
                <c:ptCount val="2"/>
                <c:pt idx="0">
                  <c:v>-7.5667271655321083E-2</c:v>
                </c:pt>
                <c:pt idx="1">
                  <c:v>-7.5667271655321083E-2</c:v>
                </c:pt>
              </c:numCache>
            </c:numRef>
          </c:xVal>
          <c:yVal>
            <c:numRef>
              <c:f>'Notes | Quant Analysis'!$Q$214:$Q$215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Analysis'!$O$216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879279002957442E-2"/>
                  <c:y val="-9.36264935804797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Analysis'!$P$216:$P$217</c:f>
              <c:numCache>
                <c:formatCode>0.00%</c:formatCode>
                <c:ptCount val="2"/>
                <c:pt idx="0">
                  <c:v>-5.0015693514208696E-2</c:v>
                </c:pt>
                <c:pt idx="1">
                  <c:v>-5.0015693514208696E-2</c:v>
                </c:pt>
              </c:numCache>
            </c:numRef>
          </c:xVal>
          <c:yVal>
            <c:numRef>
              <c:f>'Notes | Quant Analysis'!$Q$216:$Q$217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Analysis'!$O$218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7.3253368933681201E-2"/>
                  <c:y val="-0.102912505232940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-2.4364115373096316E-2</c:v>
                </c:pt>
                <c:pt idx="1">
                  <c:v>-2.4364115373096316E-2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Analysis'!$O$220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3950575337201675E-2"/>
                  <c:y val="-0.10029351215630353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2.6939040909128451E-2</c:v>
                </c:pt>
                <c:pt idx="1">
                  <c:v>2.6939040909128451E-2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Analysis'!$O$222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4.778938837673867E-2"/>
                  <c:y val="-9.124393579185047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5.2590619050240837E-2</c:v>
                </c:pt>
                <c:pt idx="1">
                  <c:v>5.2590619050240837E-2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Analysis'!$O$224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3.3059335599489925E-2"/>
                  <c:y val="-3.713397771540630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Analysis'!$P$224:$P$225</c:f>
              <c:numCache>
                <c:formatCode>0.00%</c:formatCode>
                <c:ptCount val="2"/>
                <c:pt idx="0">
                  <c:v>7.8242197191353224E-2</c:v>
                </c:pt>
                <c:pt idx="1">
                  <c:v>7.8242197191353224E-2</c:v>
                </c:pt>
              </c:numCache>
            </c:numRef>
          </c:xVal>
          <c:yVal>
            <c:numRef>
              <c:f>'Notes | Quant Analysis'!$Q$224:$Q$225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9.0000000000000024E-2"/>
          <c:min val="-9.000000000000002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9525</xdr:rowOff>
    </xdr:from>
    <xdr:to>
      <xdr:col>8</xdr:col>
      <xdr:colOff>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60771-5842-4161-8037-5AA31C016A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633" r="5499"/>
        <a:stretch>
          <a:fillRect/>
        </a:stretch>
      </xdr:blipFill>
      <xdr:spPr>
        <a:xfrm>
          <a:off x="2838450" y="381000"/>
          <a:ext cx="1819275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69</xdr:row>
      <xdr:rowOff>190499</xdr:rowOff>
    </xdr:from>
    <xdr:to>
      <xdr:col>23</xdr:col>
      <xdr:colOff>0</xdr:colOff>
      <xdr:row>100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106</xdr:row>
      <xdr:rowOff>0</xdr:rowOff>
    </xdr:from>
    <xdr:to>
      <xdr:col>23</xdr:col>
      <xdr:colOff>0</xdr:colOff>
      <xdr:row>134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171</xdr:row>
      <xdr:rowOff>0</xdr:rowOff>
    </xdr:from>
    <xdr:to>
      <xdr:col>23</xdr:col>
      <xdr:colOff>0</xdr:colOff>
      <xdr:row>199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139</xdr:row>
      <xdr:rowOff>0</xdr:rowOff>
    </xdr:from>
    <xdr:to>
      <xdr:col>23</xdr:col>
      <xdr:colOff>0</xdr:colOff>
      <xdr:row>167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36</xdr:row>
      <xdr:rowOff>11205</xdr:rowOff>
    </xdr:from>
    <xdr:to>
      <xdr:col>17</xdr:col>
      <xdr:colOff>11205</xdr:colOff>
      <xdr:row>65</xdr:row>
      <xdr:rowOff>33617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0B8452-EAA0-48CC-AE69-9036A727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2912" y="6488205"/>
          <a:ext cx="5457264" cy="5221941"/>
        </a:xfrm>
        <a:prstGeom prst="rect">
          <a:avLst/>
        </a:prstGeom>
      </xdr:spPr>
    </xdr:pic>
    <xdr:clientData/>
  </xdr:twoCellAnchor>
  <xdr:twoCellAnchor editAs="oneCell">
    <xdr:from>
      <xdr:col>8</xdr:col>
      <xdr:colOff>11206</xdr:colOff>
      <xdr:row>2</xdr:row>
      <xdr:rowOff>11206</xdr:rowOff>
    </xdr:from>
    <xdr:to>
      <xdr:col>18</xdr:col>
      <xdr:colOff>593912</xdr:colOff>
      <xdr:row>30</xdr:row>
      <xdr:rowOff>173294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F3CEC6-2393-A1F5-B6F0-B05861B8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118" y="381000"/>
          <a:ext cx="6633882" cy="5182323"/>
        </a:xfrm>
        <a:prstGeom prst="rect">
          <a:avLst/>
        </a:prstGeom>
      </xdr:spPr>
    </xdr:pic>
    <xdr:clientData/>
  </xdr:twoCellAnchor>
  <xdr:twoCellAnchor editAs="oneCell">
    <xdr:from>
      <xdr:col>18</xdr:col>
      <xdr:colOff>537883</xdr:colOff>
      <xdr:row>2</xdr:row>
      <xdr:rowOff>11206</xdr:rowOff>
    </xdr:from>
    <xdr:to>
      <xdr:col>30</xdr:col>
      <xdr:colOff>1</xdr:colOff>
      <xdr:row>31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4526C0-521A-ADD6-B00A-7E2F8496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1971" y="381000"/>
          <a:ext cx="6723530" cy="51883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onstellationenergy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abSelected="1" topLeftCell="A12" workbookViewId="0">
      <selection activeCell="C3" sqref="C3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42578125" style="1" customWidth="1"/>
    <col min="4" max="4" width="9.140625" style="1" customWidth="1"/>
    <col min="5" max="16384" width="9.140625" style="1"/>
  </cols>
  <sheetData>
    <row r="2" spans="2:18" ht="15">
      <c r="B2" s="2" t="s">
        <v>230</v>
      </c>
    </row>
    <row r="3" spans="2:18">
      <c r="B3" s="1" t="s">
        <v>0</v>
      </c>
      <c r="C3" s="67">
        <v>339.13</v>
      </c>
      <c r="D3" s="43" t="s">
        <v>229</v>
      </c>
    </row>
    <row r="4" spans="2:18">
      <c r="B4" s="1" t="s">
        <v>1</v>
      </c>
      <c r="C4" s="44">
        <v>312.40499999999997</v>
      </c>
      <c r="D4" s="1" t="s">
        <v>225</v>
      </c>
    </row>
    <row r="5" spans="2:18">
      <c r="B5" s="1" t="s">
        <v>2</v>
      </c>
      <c r="C5" s="68">
        <f>C3*C4</f>
        <v>105945.90764999999</v>
      </c>
    </row>
    <row r="6" spans="2:18">
      <c r="B6" s="1" t="s">
        <v>3</v>
      </c>
      <c r="C6" s="68">
        <f>1974+88</f>
        <v>2062</v>
      </c>
      <c r="D6" s="1" t="s">
        <v>225</v>
      </c>
    </row>
    <row r="7" spans="2:18">
      <c r="B7" s="1" t="s">
        <v>4</v>
      </c>
      <c r="C7" s="68">
        <f>900+125+7286</f>
        <v>8311</v>
      </c>
      <c r="D7" s="1" t="s">
        <v>225</v>
      </c>
    </row>
    <row r="8" spans="2:18">
      <c r="B8" s="1" t="s">
        <v>5</v>
      </c>
      <c r="C8" s="68">
        <f>C5-C6+C7</f>
        <v>112194.90764999999</v>
      </c>
    </row>
    <row r="10" spans="2:18" ht="15">
      <c r="B10" s="2" t="s">
        <v>231</v>
      </c>
    </row>
    <row r="12" spans="2:18" ht="15">
      <c r="B12" s="1" t="s">
        <v>232</v>
      </c>
      <c r="G12" s="1" t="s">
        <v>1187</v>
      </c>
      <c r="N12" s="1" t="s">
        <v>205</v>
      </c>
      <c r="Q12" s="2"/>
    </row>
    <row r="13" spans="2:18">
      <c r="B13" s="1" t="s">
        <v>1171</v>
      </c>
      <c r="G13" s="1" t="s">
        <v>235</v>
      </c>
      <c r="N13" s="1" t="s">
        <v>7</v>
      </c>
      <c r="Q13" s="45" t="s">
        <v>1166</v>
      </c>
    </row>
    <row r="14" spans="2:18">
      <c r="B14" s="1" t="s">
        <v>234</v>
      </c>
      <c r="G14" s="1" t="s">
        <v>6</v>
      </c>
      <c r="N14" s="1" t="s">
        <v>210</v>
      </c>
      <c r="Q14" s="45" t="s">
        <v>1167</v>
      </c>
    </row>
    <row r="15" spans="2:18">
      <c r="B15" s="1" t="s">
        <v>233</v>
      </c>
      <c r="G15" s="1" t="s">
        <v>202</v>
      </c>
      <c r="O15" s="1" t="s">
        <v>209</v>
      </c>
      <c r="R15" s="45" t="s">
        <v>1176</v>
      </c>
    </row>
    <row r="16" spans="2:18">
      <c r="B16" s="1" t="s">
        <v>1182</v>
      </c>
      <c r="G16" s="1" t="s">
        <v>195</v>
      </c>
      <c r="H16" s="1" t="s">
        <v>1181</v>
      </c>
      <c r="J16" s="1" t="s">
        <v>196</v>
      </c>
      <c r="N16" s="1" t="s">
        <v>199</v>
      </c>
      <c r="Q16" s="45" t="s">
        <v>1177</v>
      </c>
    </row>
    <row r="17" spans="1:17">
      <c r="B17" s="1" t="s">
        <v>1183</v>
      </c>
      <c r="N17" s="1" t="s">
        <v>200</v>
      </c>
      <c r="Q17" s="45" t="s">
        <v>1178</v>
      </c>
    </row>
    <row r="18" spans="1:17">
      <c r="B18" s="1" t="s">
        <v>1184</v>
      </c>
      <c r="N18" s="1" t="s">
        <v>211</v>
      </c>
      <c r="Q18" s="45" t="s">
        <v>1179</v>
      </c>
    </row>
    <row r="19" spans="1:17">
      <c r="B19" s="1" t="s">
        <v>1185</v>
      </c>
      <c r="N19" s="1" t="s">
        <v>212</v>
      </c>
      <c r="Q19" s="45" t="s">
        <v>1180</v>
      </c>
    </row>
    <row r="20" spans="1:17">
      <c r="B20" s="1" t="s">
        <v>1186</v>
      </c>
      <c r="N20" s="1" t="s">
        <v>8</v>
      </c>
      <c r="Q20" s="45" t="s">
        <v>201</v>
      </c>
    </row>
    <row r="21" spans="1:17">
      <c r="Q21" s="45"/>
    </row>
    <row r="22" spans="1:17" ht="15">
      <c r="A22" s="2" t="s">
        <v>9</v>
      </c>
      <c r="N22" s="2"/>
    </row>
    <row r="23" spans="1:17">
      <c r="B23" s="1" t="s">
        <v>1174</v>
      </c>
    </row>
    <row r="24" spans="1:17">
      <c r="C24" s="1" t="s">
        <v>1175</v>
      </c>
    </row>
    <row r="25" spans="1:17">
      <c r="C25" s="1" t="s">
        <v>236</v>
      </c>
    </row>
    <row r="26" spans="1:17">
      <c r="B26" s="1" t="s">
        <v>240</v>
      </c>
    </row>
    <row r="27" spans="1:17">
      <c r="B27" s="1" t="s">
        <v>237</v>
      </c>
    </row>
    <row r="28" spans="1:17">
      <c r="C28" s="1" t="s">
        <v>238</v>
      </c>
    </row>
    <row r="29" spans="1:17">
      <c r="B29" s="1" t="s">
        <v>239</v>
      </c>
    </row>
    <row r="30" spans="1:17">
      <c r="C30" s="1" t="s">
        <v>1172</v>
      </c>
    </row>
    <row r="31" spans="1:17">
      <c r="C31" s="1" t="s">
        <v>1173</v>
      </c>
    </row>
    <row r="32" spans="1:17">
      <c r="B32" s="1" t="s">
        <v>241</v>
      </c>
    </row>
    <row r="34" spans="1:1" ht="15">
      <c r="A34" s="2" t="s">
        <v>203</v>
      </c>
    </row>
  </sheetData>
  <hyperlinks>
    <hyperlink ref="Q20" r:id="rId1" xr:uid="{14375537-5C3D-4253-9650-337AB6789785}"/>
    <hyperlink ref="Q14" r:id="rId2" xr:uid="{A27323D2-875E-46EF-B8DB-EA58A187E877}"/>
  </hyperlinks>
  <pageMargins left="0.7" right="0.7" top="0.75" bottom="0.75" header="0.3" footer="0.3"/>
  <ignoredErrors>
    <ignoredError sqref="D3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2"/>
  <sheetViews>
    <sheetView zoomScale="70" zoomScaleNormal="70" workbookViewId="0">
      <pane xSplit="2" ySplit="3" topLeftCell="AQ99" activePane="bottomRight" state="frozen"/>
      <selection pane="topRight" activeCell="C1" sqref="C1"/>
      <selection pane="bottomLeft" activeCell="A4" sqref="A4"/>
      <selection pane="bottomRight" activeCell="DI80" sqref="DI80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5"/>
    <col min="79" max="103" width="9.140625" style="1"/>
    <col min="104" max="165" width="9.140625" style="35"/>
    <col min="166" max="16384" width="9.140625" style="1"/>
  </cols>
  <sheetData>
    <row r="1" spans="2:166" ht="15">
      <c r="B1" s="1" t="s">
        <v>118</v>
      </c>
      <c r="AY1" s="33" t="s">
        <v>90</v>
      </c>
      <c r="BC1" s="33" t="s">
        <v>94</v>
      </c>
      <c r="BG1" s="33" t="s">
        <v>98</v>
      </c>
      <c r="BK1" s="33" t="s">
        <v>102</v>
      </c>
      <c r="BO1" s="33" t="s">
        <v>106</v>
      </c>
      <c r="BS1" s="33" t="s">
        <v>110</v>
      </c>
    </row>
    <row r="2" spans="2:166">
      <c r="B2" s="1" t="s">
        <v>119</v>
      </c>
    </row>
    <row r="3" spans="2:166" ht="15">
      <c r="B3" s="2" t="s">
        <v>120</v>
      </c>
      <c r="C3" s="2" t="s">
        <v>122</v>
      </c>
      <c r="D3" s="33" t="s">
        <v>44</v>
      </c>
      <c r="E3" s="33" t="s">
        <v>45</v>
      </c>
      <c r="F3" s="33" t="s">
        <v>123</v>
      </c>
      <c r="G3" s="33" t="s">
        <v>46</v>
      </c>
      <c r="H3" s="33" t="s">
        <v>47</v>
      </c>
      <c r="I3" s="33" t="s">
        <v>48</v>
      </c>
      <c r="J3" s="33" t="s">
        <v>49</v>
      </c>
      <c r="K3" s="33" t="s">
        <v>50</v>
      </c>
      <c r="L3" s="33" t="s">
        <v>51</v>
      </c>
      <c r="M3" s="33" t="s">
        <v>52</v>
      </c>
      <c r="N3" s="33" t="s">
        <v>53</v>
      </c>
      <c r="O3" s="33" t="s">
        <v>54</v>
      </c>
      <c r="P3" s="33" t="s">
        <v>55</v>
      </c>
      <c r="Q3" s="33" t="s">
        <v>56</v>
      </c>
      <c r="R3" s="33" t="s">
        <v>57</v>
      </c>
      <c r="S3" s="33" t="s">
        <v>58</v>
      </c>
      <c r="T3" s="33" t="s">
        <v>59</v>
      </c>
      <c r="U3" s="33" t="s">
        <v>60</v>
      </c>
      <c r="V3" s="33" t="s">
        <v>61</v>
      </c>
      <c r="W3" s="33" t="s">
        <v>62</v>
      </c>
      <c r="X3" s="33" t="s">
        <v>63</v>
      </c>
      <c r="Y3" s="33" t="s">
        <v>64</v>
      </c>
      <c r="Z3" s="33" t="s">
        <v>65</v>
      </c>
      <c r="AA3" s="33" t="s">
        <v>66</v>
      </c>
      <c r="AB3" s="33" t="s">
        <v>67</v>
      </c>
      <c r="AC3" s="33" t="s">
        <v>68</v>
      </c>
      <c r="AD3" s="33" t="s">
        <v>69</v>
      </c>
      <c r="AE3" s="33" t="s">
        <v>70</v>
      </c>
      <c r="AF3" s="33" t="s">
        <v>71</v>
      </c>
      <c r="AG3" s="33" t="s">
        <v>72</v>
      </c>
      <c r="AH3" s="33" t="s">
        <v>73</v>
      </c>
      <c r="AI3" s="33" t="s">
        <v>74</v>
      </c>
      <c r="AJ3" s="33" t="s">
        <v>75</v>
      </c>
      <c r="AK3" s="33" t="s">
        <v>76</v>
      </c>
      <c r="AL3" s="33" t="s">
        <v>77</v>
      </c>
      <c r="AM3" s="33" t="s">
        <v>78</v>
      </c>
      <c r="AN3" s="33" t="s">
        <v>79</v>
      </c>
      <c r="AO3" s="33" t="s">
        <v>80</v>
      </c>
      <c r="AP3" s="33" t="s">
        <v>81</v>
      </c>
      <c r="AQ3" s="33" t="s">
        <v>82</v>
      </c>
      <c r="AR3" s="33" t="s">
        <v>83</v>
      </c>
      <c r="AS3" s="33" t="s">
        <v>84</v>
      </c>
      <c r="AT3" s="33" t="s">
        <v>85</v>
      </c>
      <c r="AU3" s="33" t="s">
        <v>86</v>
      </c>
      <c r="AV3" s="33" t="s">
        <v>87</v>
      </c>
      <c r="AW3" s="33" t="s">
        <v>88</v>
      </c>
      <c r="AX3" s="33" t="s">
        <v>89</v>
      </c>
      <c r="AY3" s="33" t="s">
        <v>90</v>
      </c>
      <c r="AZ3" s="33" t="s">
        <v>91</v>
      </c>
      <c r="BA3" s="33" t="s">
        <v>92</v>
      </c>
      <c r="BB3" s="33" t="s">
        <v>93</v>
      </c>
      <c r="BC3" s="33" t="s">
        <v>94</v>
      </c>
      <c r="BD3" s="33" t="s">
        <v>95</v>
      </c>
      <c r="BE3" s="33" t="s">
        <v>96</v>
      </c>
      <c r="BF3" s="33" t="s">
        <v>97</v>
      </c>
      <c r="BG3" s="33" t="s">
        <v>98</v>
      </c>
      <c r="BH3" s="33" t="s">
        <v>99</v>
      </c>
      <c r="BI3" s="33" t="s">
        <v>100</v>
      </c>
      <c r="BJ3" s="33" t="s">
        <v>101</v>
      </c>
      <c r="BK3" s="33" t="s">
        <v>102</v>
      </c>
      <c r="BL3" s="33" t="s">
        <v>103</v>
      </c>
      <c r="BM3" s="33" t="s">
        <v>104</v>
      </c>
      <c r="BN3" s="33" t="s">
        <v>105</v>
      </c>
      <c r="BO3" s="33" t="s">
        <v>106</v>
      </c>
      <c r="BP3" s="33" t="s">
        <v>107</v>
      </c>
      <c r="BQ3" s="33" t="s">
        <v>108</v>
      </c>
      <c r="BR3" s="33" t="s">
        <v>109</v>
      </c>
      <c r="BS3" s="33" t="s">
        <v>110</v>
      </c>
      <c r="BT3" s="34" t="s">
        <v>111</v>
      </c>
      <c r="BU3" s="34" t="s">
        <v>112</v>
      </c>
      <c r="BV3" s="34" t="s">
        <v>113</v>
      </c>
      <c r="BW3" s="34" t="s">
        <v>114</v>
      </c>
      <c r="BX3" s="34" t="s">
        <v>115</v>
      </c>
      <c r="BY3" s="34" t="s">
        <v>116</v>
      </c>
      <c r="BZ3" s="34" t="s">
        <v>117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34">
        <f t="shared" si="0"/>
        <v>2025</v>
      </c>
      <c r="DA3" s="34">
        <f t="shared" si="0"/>
        <v>2026</v>
      </c>
      <c r="DB3" s="34">
        <f t="shared" si="0"/>
        <v>2027</v>
      </c>
      <c r="DC3" s="34">
        <f t="shared" si="0"/>
        <v>2028</v>
      </c>
      <c r="DD3" s="34">
        <f t="shared" si="0"/>
        <v>2029</v>
      </c>
      <c r="DE3" s="34">
        <f t="shared" si="0"/>
        <v>2030</v>
      </c>
      <c r="DF3" s="34">
        <f t="shared" si="0"/>
        <v>2031</v>
      </c>
      <c r="DG3" s="34">
        <f t="shared" si="0"/>
        <v>2032</v>
      </c>
      <c r="DH3" s="34">
        <f t="shared" si="0"/>
        <v>2033</v>
      </c>
      <c r="DI3" s="34">
        <f t="shared" si="0"/>
        <v>2034</v>
      </c>
      <c r="DJ3" s="34">
        <f t="shared" si="0"/>
        <v>2035</v>
      </c>
      <c r="DK3" s="34">
        <f t="shared" si="0"/>
        <v>2036</v>
      </c>
      <c r="DL3" s="34">
        <f t="shared" si="0"/>
        <v>2037</v>
      </c>
      <c r="DM3" s="34">
        <f t="shared" si="0"/>
        <v>2038</v>
      </c>
      <c r="DN3" s="34">
        <f t="shared" si="0"/>
        <v>2039</v>
      </c>
      <c r="DO3" s="34">
        <f t="shared" si="0"/>
        <v>2040</v>
      </c>
      <c r="DP3" s="34">
        <f t="shared" si="0"/>
        <v>2041</v>
      </c>
      <c r="DQ3" s="34">
        <f t="shared" si="0"/>
        <v>2042</v>
      </c>
      <c r="DR3" s="34">
        <f t="shared" si="0"/>
        <v>2043</v>
      </c>
      <c r="DS3" s="34">
        <f t="shared" si="0"/>
        <v>2044</v>
      </c>
      <c r="DT3" s="34">
        <f t="shared" si="0"/>
        <v>2045</v>
      </c>
      <c r="DU3" s="34">
        <f t="shared" si="0"/>
        <v>2046</v>
      </c>
      <c r="DV3" s="34">
        <f t="shared" si="0"/>
        <v>2047</v>
      </c>
      <c r="DW3" s="34">
        <f t="shared" si="0"/>
        <v>2048</v>
      </c>
      <c r="DX3" s="34">
        <f t="shared" si="0"/>
        <v>2049</v>
      </c>
      <c r="DY3" s="34">
        <f t="shared" si="0"/>
        <v>2050</v>
      </c>
      <c r="DZ3" s="34">
        <f t="shared" si="0"/>
        <v>2051</v>
      </c>
      <c r="EA3" s="34">
        <f t="shared" si="0"/>
        <v>2052</v>
      </c>
      <c r="EB3" s="34">
        <f t="shared" si="0"/>
        <v>2053</v>
      </c>
      <c r="EC3" s="34">
        <f t="shared" si="0"/>
        <v>2054</v>
      </c>
      <c r="ED3" s="34">
        <f t="shared" si="0"/>
        <v>2055</v>
      </c>
      <c r="EE3" s="34">
        <f t="shared" si="0"/>
        <v>2056</v>
      </c>
      <c r="EF3" s="34">
        <f t="shared" si="0"/>
        <v>2057</v>
      </c>
      <c r="EG3" s="34">
        <f t="shared" si="0"/>
        <v>2058</v>
      </c>
      <c r="EH3" s="34">
        <f t="shared" si="0"/>
        <v>2059</v>
      </c>
      <c r="EI3" s="34">
        <f t="shared" si="0"/>
        <v>2060</v>
      </c>
      <c r="EJ3" s="34">
        <f t="shared" si="0"/>
        <v>2061</v>
      </c>
      <c r="EK3" s="34">
        <f t="shared" si="0"/>
        <v>2062</v>
      </c>
      <c r="EL3" s="34">
        <f t="shared" si="0"/>
        <v>2063</v>
      </c>
      <c r="EM3" s="34">
        <f t="shared" si="0"/>
        <v>2064</v>
      </c>
      <c r="EN3" s="34">
        <f t="shared" si="0"/>
        <v>2065</v>
      </c>
      <c r="EO3" s="34">
        <f t="shared" si="0"/>
        <v>2066</v>
      </c>
      <c r="EP3" s="34">
        <f t="shared" si="0"/>
        <v>2067</v>
      </c>
      <c r="EQ3" s="34">
        <f t="shared" si="0"/>
        <v>2068</v>
      </c>
      <c r="ER3" s="34">
        <f t="shared" si="0"/>
        <v>2069</v>
      </c>
      <c r="ES3" s="34">
        <f t="shared" si="0"/>
        <v>2070</v>
      </c>
      <c r="ET3" s="34">
        <f t="shared" si="0"/>
        <v>2071</v>
      </c>
      <c r="EU3" s="34">
        <f t="shared" si="0"/>
        <v>2072</v>
      </c>
      <c r="EV3" s="34">
        <f t="shared" si="0"/>
        <v>2073</v>
      </c>
      <c r="EW3" s="34">
        <f t="shared" ref="EW3:FG3" si="1">EV3+1</f>
        <v>2074</v>
      </c>
      <c r="EX3" s="34">
        <f t="shared" si="1"/>
        <v>2075</v>
      </c>
      <c r="EY3" s="34">
        <f t="shared" si="1"/>
        <v>2076</v>
      </c>
      <c r="EZ3" s="34">
        <f t="shared" si="1"/>
        <v>2077</v>
      </c>
      <c r="FA3" s="34">
        <f t="shared" si="1"/>
        <v>2078</v>
      </c>
      <c r="FB3" s="34">
        <f t="shared" si="1"/>
        <v>2079</v>
      </c>
      <c r="FC3" s="34">
        <f t="shared" si="1"/>
        <v>2080</v>
      </c>
      <c r="FD3" s="34">
        <f t="shared" si="1"/>
        <v>2081</v>
      </c>
      <c r="FE3" s="34">
        <f t="shared" si="1"/>
        <v>2082</v>
      </c>
      <c r="FF3" s="34">
        <f t="shared" si="1"/>
        <v>2083</v>
      </c>
      <c r="FG3" s="34">
        <f t="shared" si="1"/>
        <v>2084</v>
      </c>
      <c r="FH3" s="34"/>
      <c r="FI3" s="34"/>
      <c r="FJ3" s="2"/>
    </row>
    <row r="4" spans="2:166">
      <c r="B4" s="36" t="s">
        <v>125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35">
        <f t="shared" ref="CZ4:DI4" si="2">CY4*(1+CZ16)</f>
        <v>0</v>
      </c>
      <c r="DA4" s="35">
        <f t="shared" si="2"/>
        <v>0</v>
      </c>
      <c r="DB4" s="35">
        <f t="shared" si="2"/>
        <v>0</v>
      </c>
      <c r="DC4" s="35">
        <f t="shared" si="2"/>
        <v>0</v>
      </c>
      <c r="DD4" s="35">
        <f t="shared" si="2"/>
        <v>0</v>
      </c>
      <c r="DE4" s="35">
        <f t="shared" si="2"/>
        <v>0</v>
      </c>
      <c r="DF4" s="35">
        <f t="shared" si="2"/>
        <v>0</v>
      </c>
      <c r="DG4" s="35">
        <f t="shared" si="2"/>
        <v>0</v>
      </c>
      <c r="DH4" s="35">
        <f t="shared" si="2"/>
        <v>0</v>
      </c>
      <c r="DI4" s="35">
        <f t="shared" si="2"/>
        <v>0</v>
      </c>
    </row>
    <row r="5" spans="2:166">
      <c r="B5" s="36" t="s">
        <v>126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35">
        <f t="shared" ref="CZ5:DI5" si="20">CY5*(1+CZ17)</f>
        <v>0</v>
      </c>
      <c r="DA5" s="35">
        <f t="shared" si="20"/>
        <v>0</v>
      </c>
      <c r="DB5" s="35">
        <f t="shared" si="20"/>
        <v>0</v>
      </c>
      <c r="DC5" s="35">
        <f t="shared" si="20"/>
        <v>0</v>
      </c>
      <c r="DD5" s="35">
        <f t="shared" si="20"/>
        <v>0</v>
      </c>
      <c r="DE5" s="35">
        <f t="shared" si="20"/>
        <v>0</v>
      </c>
      <c r="DF5" s="35">
        <f t="shared" si="20"/>
        <v>0</v>
      </c>
      <c r="DG5" s="35">
        <f t="shared" si="20"/>
        <v>0</v>
      </c>
      <c r="DH5" s="35">
        <f t="shared" si="20"/>
        <v>0</v>
      </c>
      <c r="DI5" s="35">
        <f t="shared" si="20"/>
        <v>0</v>
      </c>
    </row>
    <row r="6" spans="2:166">
      <c r="B6" s="36" t="s">
        <v>127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35">
        <f t="shared" ref="CZ6:DI6" si="21">CY6*(1+CZ18)</f>
        <v>0</v>
      </c>
      <c r="DA6" s="35">
        <f t="shared" si="21"/>
        <v>0</v>
      </c>
      <c r="DB6" s="35">
        <f t="shared" si="21"/>
        <v>0</v>
      </c>
      <c r="DC6" s="35">
        <f t="shared" si="21"/>
        <v>0</v>
      </c>
      <c r="DD6" s="35">
        <f t="shared" si="21"/>
        <v>0</v>
      </c>
      <c r="DE6" s="35">
        <f t="shared" si="21"/>
        <v>0</v>
      </c>
      <c r="DF6" s="35">
        <f t="shared" si="21"/>
        <v>0</v>
      </c>
      <c r="DG6" s="35">
        <f t="shared" si="21"/>
        <v>0</v>
      </c>
      <c r="DH6" s="35">
        <f t="shared" si="21"/>
        <v>0</v>
      </c>
      <c r="DI6" s="35">
        <f t="shared" si="21"/>
        <v>0</v>
      </c>
    </row>
    <row r="7" spans="2:166">
      <c r="B7" s="36" t="s">
        <v>124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35">
        <f t="shared" ref="CZ7:DI7" si="22">CY7*(1+CZ19)</f>
        <v>0</v>
      </c>
      <c r="DA7" s="35">
        <f t="shared" si="22"/>
        <v>0</v>
      </c>
      <c r="DB7" s="35">
        <f t="shared" si="22"/>
        <v>0</v>
      </c>
      <c r="DC7" s="35">
        <f t="shared" si="22"/>
        <v>0</v>
      </c>
      <c r="DD7" s="35">
        <f t="shared" si="22"/>
        <v>0</v>
      </c>
      <c r="DE7" s="35">
        <f t="shared" si="22"/>
        <v>0</v>
      </c>
      <c r="DF7" s="35">
        <f t="shared" si="22"/>
        <v>0</v>
      </c>
      <c r="DG7" s="35">
        <f t="shared" si="22"/>
        <v>0</v>
      </c>
      <c r="DH7" s="35">
        <f t="shared" si="22"/>
        <v>0</v>
      </c>
      <c r="DI7" s="35">
        <f t="shared" si="22"/>
        <v>0</v>
      </c>
    </row>
    <row r="8" spans="2:166">
      <c r="B8" s="36" t="s">
        <v>128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35">
        <f t="shared" ref="CZ8:DI8" si="23">CY8*(1+CZ20)</f>
        <v>0</v>
      </c>
      <c r="DA8" s="35">
        <f t="shared" si="23"/>
        <v>0</v>
      </c>
      <c r="DB8" s="35">
        <f t="shared" si="23"/>
        <v>0</v>
      </c>
      <c r="DC8" s="35">
        <f t="shared" si="23"/>
        <v>0</v>
      </c>
      <c r="DD8" s="35">
        <f t="shared" si="23"/>
        <v>0</v>
      </c>
      <c r="DE8" s="35">
        <f t="shared" si="23"/>
        <v>0</v>
      </c>
      <c r="DF8" s="35">
        <f t="shared" si="23"/>
        <v>0</v>
      </c>
      <c r="DG8" s="35">
        <f t="shared" si="23"/>
        <v>0</v>
      </c>
      <c r="DH8" s="35">
        <f t="shared" si="23"/>
        <v>0</v>
      </c>
      <c r="DI8" s="35">
        <f t="shared" si="23"/>
        <v>0</v>
      </c>
    </row>
    <row r="9" spans="2:166">
      <c r="B9" s="36" t="s">
        <v>129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35">
        <f t="shared" ref="CZ9:DI9" si="24">CY9*(1+CZ21)</f>
        <v>0</v>
      </c>
      <c r="DA9" s="35">
        <f t="shared" si="24"/>
        <v>0</v>
      </c>
      <c r="DB9" s="35">
        <f t="shared" si="24"/>
        <v>0</v>
      </c>
      <c r="DC9" s="35">
        <f t="shared" si="24"/>
        <v>0</v>
      </c>
      <c r="DD9" s="35">
        <f t="shared" si="24"/>
        <v>0</v>
      </c>
      <c r="DE9" s="35">
        <f t="shared" si="24"/>
        <v>0</v>
      </c>
      <c r="DF9" s="35">
        <f t="shared" si="24"/>
        <v>0</v>
      </c>
      <c r="DG9" s="35">
        <f t="shared" si="24"/>
        <v>0</v>
      </c>
      <c r="DH9" s="35">
        <f t="shared" si="24"/>
        <v>0</v>
      </c>
      <c r="DI9" s="35">
        <f t="shared" si="24"/>
        <v>0</v>
      </c>
    </row>
    <row r="10" spans="2:166">
      <c r="B10" s="36" t="s">
        <v>130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35">
        <f t="shared" ref="CZ10:DI10" si="25">CY10*(1+CZ22)</f>
        <v>0</v>
      </c>
      <c r="DA10" s="35">
        <f t="shared" si="25"/>
        <v>0</v>
      </c>
      <c r="DB10" s="35">
        <f t="shared" si="25"/>
        <v>0</v>
      </c>
      <c r="DC10" s="35">
        <f t="shared" si="25"/>
        <v>0</v>
      </c>
      <c r="DD10" s="35">
        <f t="shared" si="25"/>
        <v>0</v>
      </c>
      <c r="DE10" s="35">
        <f t="shared" si="25"/>
        <v>0</v>
      </c>
      <c r="DF10" s="35">
        <f t="shared" si="25"/>
        <v>0</v>
      </c>
      <c r="DG10" s="35">
        <f t="shared" si="25"/>
        <v>0</v>
      </c>
      <c r="DH10" s="35">
        <f t="shared" si="25"/>
        <v>0</v>
      </c>
      <c r="DI10" s="35">
        <f t="shared" si="25"/>
        <v>0</v>
      </c>
    </row>
    <row r="11" spans="2:166">
      <c r="B11" s="36" t="s">
        <v>131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35">
        <f t="shared" ref="CZ11:DI11" si="26">CY11*(1+CZ23)</f>
        <v>0</v>
      </c>
      <c r="DA11" s="35">
        <f t="shared" si="26"/>
        <v>0</v>
      </c>
      <c r="DB11" s="35">
        <f t="shared" si="26"/>
        <v>0</v>
      </c>
      <c r="DC11" s="35">
        <f t="shared" si="26"/>
        <v>0</v>
      </c>
      <c r="DD11" s="35">
        <f t="shared" si="26"/>
        <v>0</v>
      </c>
      <c r="DE11" s="35">
        <f t="shared" si="26"/>
        <v>0</v>
      </c>
      <c r="DF11" s="35">
        <f t="shared" si="26"/>
        <v>0</v>
      </c>
      <c r="DG11" s="35">
        <f t="shared" si="26"/>
        <v>0</v>
      </c>
      <c r="DH11" s="35">
        <f t="shared" si="26"/>
        <v>0</v>
      </c>
      <c r="DI11" s="35">
        <f t="shared" si="26"/>
        <v>0</v>
      </c>
    </row>
    <row r="12" spans="2:166">
      <c r="B12" s="36" t="s">
        <v>132</v>
      </c>
      <c r="C12" s="36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35">
        <f t="shared" ref="CZ12:DI12" si="27">CY12*(1+CZ24)</f>
        <v>0</v>
      </c>
      <c r="DA12" s="35">
        <f t="shared" si="27"/>
        <v>0</v>
      </c>
      <c r="DB12" s="35">
        <f t="shared" si="27"/>
        <v>0</v>
      </c>
      <c r="DC12" s="35">
        <f t="shared" si="27"/>
        <v>0</v>
      </c>
      <c r="DD12" s="35">
        <f t="shared" si="27"/>
        <v>0</v>
      </c>
      <c r="DE12" s="35">
        <f t="shared" si="27"/>
        <v>0</v>
      </c>
      <c r="DF12" s="35">
        <f t="shared" si="27"/>
        <v>0</v>
      </c>
      <c r="DG12" s="35">
        <f t="shared" si="27"/>
        <v>0</v>
      </c>
      <c r="DH12" s="35">
        <f t="shared" si="27"/>
        <v>0</v>
      </c>
      <c r="DI12" s="35">
        <f t="shared" si="27"/>
        <v>0</v>
      </c>
    </row>
    <row r="13" spans="2:166">
      <c r="B13" s="36" t="s">
        <v>133</v>
      </c>
      <c r="C13" s="36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35">
        <f t="shared" ref="CZ13:DI13" si="28">CY13*(1+CZ25)</f>
        <v>0</v>
      </c>
      <c r="DA13" s="35">
        <f t="shared" si="28"/>
        <v>0</v>
      </c>
      <c r="DB13" s="35">
        <f t="shared" si="28"/>
        <v>0</v>
      </c>
      <c r="DC13" s="35">
        <f t="shared" si="28"/>
        <v>0</v>
      </c>
      <c r="DD13" s="35">
        <f t="shared" si="28"/>
        <v>0</v>
      </c>
      <c r="DE13" s="35">
        <f t="shared" si="28"/>
        <v>0</v>
      </c>
      <c r="DF13" s="35">
        <f t="shared" si="28"/>
        <v>0</v>
      </c>
      <c r="DG13" s="35">
        <f t="shared" si="28"/>
        <v>0</v>
      </c>
      <c r="DH13" s="35">
        <f t="shared" si="28"/>
        <v>0</v>
      </c>
      <c r="DI13" s="35">
        <f t="shared" si="28"/>
        <v>0</v>
      </c>
    </row>
    <row r="14" spans="2:166" s="2" customFormat="1" ht="15">
      <c r="B14" s="33" t="s">
        <v>121</v>
      </c>
      <c r="C14" s="47"/>
      <c r="BT14" s="34"/>
      <c r="BU14" s="34"/>
      <c r="BV14" s="34"/>
      <c r="BW14" s="34"/>
      <c r="BX14" s="34"/>
      <c r="BY14" s="34"/>
      <c r="BZ14" s="34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34">
        <f>SUM(CZ4:CZ13)</f>
        <v>0</v>
      </c>
      <c r="DA14" s="34">
        <f t="shared" ref="DA14:DI14" si="29">SUM(DA4:DA13)</f>
        <v>0</v>
      </c>
      <c r="DB14" s="34">
        <f t="shared" si="29"/>
        <v>0</v>
      </c>
      <c r="DC14" s="34">
        <f t="shared" si="29"/>
        <v>0</v>
      </c>
      <c r="DD14" s="34">
        <f t="shared" si="29"/>
        <v>0</v>
      </c>
      <c r="DE14" s="34">
        <f t="shared" si="29"/>
        <v>0</v>
      </c>
      <c r="DF14" s="34">
        <f t="shared" si="29"/>
        <v>0</v>
      </c>
      <c r="DG14" s="34">
        <f t="shared" si="29"/>
        <v>0</v>
      </c>
      <c r="DH14" s="34">
        <f t="shared" si="29"/>
        <v>0</v>
      </c>
      <c r="DI14" s="34">
        <f t="shared" si="29"/>
        <v>0</v>
      </c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</row>
    <row r="15" spans="2:166">
      <c r="B15" s="36"/>
      <c r="C15" s="36"/>
    </row>
    <row r="16" spans="2:166">
      <c r="B16" s="37" t="s">
        <v>136</v>
      </c>
      <c r="CJ16" s="1" t="e">
        <f t="shared" ref="CJ16:CY16" si="30">CJ4/CI4-1</f>
        <v>#DIV/0!</v>
      </c>
      <c r="CK16" s="1" t="e">
        <f t="shared" si="30"/>
        <v>#DIV/0!</v>
      </c>
      <c r="CL16" s="1" t="e">
        <f t="shared" si="30"/>
        <v>#DIV/0!</v>
      </c>
      <c r="CM16" s="1" t="e">
        <f t="shared" si="30"/>
        <v>#DIV/0!</v>
      </c>
      <c r="CN16" s="1" t="e">
        <f t="shared" si="30"/>
        <v>#DIV/0!</v>
      </c>
      <c r="CO16" s="1" t="e">
        <f t="shared" si="30"/>
        <v>#DIV/0!</v>
      </c>
      <c r="CP16" s="1" t="e">
        <f t="shared" si="30"/>
        <v>#DIV/0!</v>
      </c>
      <c r="CQ16" s="1" t="e">
        <f t="shared" si="30"/>
        <v>#DIV/0!</v>
      </c>
      <c r="CR16" s="1" t="e">
        <f t="shared" si="30"/>
        <v>#DIV/0!</v>
      </c>
      <c r="CS16" s="1" t="e">
        <f t="shared" si="30"/>
        <v>#DIV/0!</v>
      </c>
      <c r="CT16" s="1" t="e">
        <f t="shared" si="30"/>
        <v>#DIV/0!</v>
      </c>
      <c r="CU16" s="1" t="e">
        <f t="shared" si="30"/>
        <v>#DIV/0!</v>
      </c>
      <c r="CV16" s="1" t="e">
        <f t="shared" si="30"/>
        <v>#DIV/0!</v>
      </c>
      <c r="CW16" s="1" t="e">
        <f t="shared" si="30"/>
        <v>#DIV/0!</v>
      </c>
      <c r="CX16" s="1" t="e">
        <f t="shared" si="30"/>
        <v>#DIV/0!</v>
      </c>
      <c r="CY16" s="1" t="e">
        <f t="shared" si="30"/>
        <v>#DIV/0!</v>
      </c>
      <c r="CZ16" s="46">
        <v>1</v>
      </c>
      <c r="DA16" s="46">
        <v>1</v>
      </c>
      <c r="DB16" s="46">
        <v>1</v>
      </c>
      <c r="DC16" s="46">
        <v>1</v>
      </c>
      <c r="DD16" s="46">
        <v>1</v>
      </c>
      <c r="DE16" s="46">
        <v>1</v>
      </c>
      <c r="DF16" s="46">
        <v>1</v>
      </c>
      <c r="DG16" s="46">
        <v>1</v>
      </c>
      <c r="DH16" s="46">
        <v>1</v>
      </c>
      <c r="DI16" s="46">
        <v>1</v>
      </c>
    </row>
    <row r="17" spans="2:165">
      <c r="B17" s="37" t="s">
        <v>137</v>
      </c>
      <c r="CJ17" s="1" t="e">
        <f t="shared" ref="CJ17:CY17" si="31">CJ5/CI5-1</f>
        <v>#DIV/0!</v>
      </c>
      <c r="CK17" s="1" t="e">
        <f t="shared" si="31"/>
        <v>#DIV/0!</v>
      </c>
      <c r="CL17" s="1" t="e">
        <f t="shared" si="31"/>
        <v>#DIV/0!</v>
      </c>
      <c r="CM17" s="1" t="e">
        <f t="shared" si="31"/>
        <v>#DIV/0!</v>
      </c>
      <c r="CN17" s="1" t="e">
        <f t="shared" si="31"/>
        <v>#DIV/0!</v>
      </c>
      <c r="CO17" s="1" t="e">
        <f t="shared" si="31"/>
        <v>#DIV/0!</v>
      </c>
      <c r="CP17" s="1" t="e">
        <f t="shared" si="31"/>
        <v>#DIV/0!</v>
      </c>
      <c r="CQ17" s="1" t="e">
        <f t="shared" si="31"/>
        <v>#DIV/0!</v>
      </c>
      <c r="CR17" s="1" t="e">
        <f t="shared" si="31"/>
        <v>#DIV/0!</v>
      </c>
      <c r="CS17" s="1" t="e">
        <f t="shared" si="31"/>
        <v>#DIV/0!</v>
      </c>
      <c r="CT17" s="1" t="e">
        <f t="shared" si="31"/>
        <v>#DIV/0!</v>
      </c>
      <c r="CU17" s="1" t="e">
        <f t="shared" si="31"/>
        <v>#DIV/0!</v>
      </c>
      <c r="CV17" s="1" t="e">
        <f t="shared" si="31"/>
        <v>#DIV/0!</v>
      </c>
      <c r="CW17" s="1" t="e">
        <f t="shared" si="31"/>
        <v>#DIV/0!</v>
      </c>
      <c r="CX17" s="1" t="e">
        <f t="shared" si="31"/>
        <v>#DIV/0!</v>
      </c>
      <c r="CY17" s="1" t="e">
        <f t="shared" si="31"/>
        <v>#DIV/0!</v>
      </c>
      <c r="CZ17" s="46">
        <v>1</v>
      </c>
      <c r="DA17" s="46">
        <v>1</v>
      </c>
      <c r="DB17" s="46">
        <v>1</v>
      </c>
      <c r="DC17" s="46">
        <v>1</v>
      </c>
      <c r="DD17" s="46">
        <v>1</v>
      </c>
      <c r="DE17" s="46">
        <v>1</v>
      </c>
      <c r="DF17" s="46">
        <v>1</v>
      </c>
      <c r="DG17" s="46">
        <v>1</v>
      </c>
      <c r="DH17" s="46">
        <v>1</v>
      </c>
      <c r="DI17" s="46">
        <v>1</v>
      </c>
    </row>
    <row r="18" spans="2:165">
      <c r="B18" s="37" t="s">
        <v>138</v>
      </c>
      <c r="CJ18" s="1" t="e">
        <f t="shared" ref="CJ18:CY18" si="32">CJ6/CI6-1</f>
        <v>#DIV/0!</v>
      </c>
      <c r="CK18" s="1" t="e">
        <f t="shared" si="32"/>
        <v>#DIV/0!</v>
      </c>
      <c r="CL18" s="1" t="e">
        <f t="shared" si="32"/>
        <v>#DIV/0!</v>
      </c>
      <c r="CM18" s="1" t="e">
        <f t="shared" si="32"/>
        <v>#DIV/0!</v>
      </c>
      <c r="CN18" s="1" t="e">
        <f t="shared" si="32"/>
        <v>#DIV/0!</v>
      </c>
      <c r="CO18" s="1" t="e">
        <f t="shared" si="32"/>
        <v>#DIV/0!</v>
      </c>
      <c r="CP18" s="1" t="e">
        <f t="shared" si="32"/>
        <v>#DIV/0!</v>
      </c>
      <c r="CQ18" s="1" t="e">
        <f t="shared" si="32"/>
        <v>#DIV/0!</v>
      </c>
      <c r="CR18" s="1" t="e">
        <f t="shared" si="32"/>
        <v>#DIV/0!</v>
      </c>
      <c r="CS18" s="1" t="e">
        <f t="shared" si="32"/>
        <v>#DIV/0!</v>
      </c>
      <c r="CT18" s="1" t="e">
        <f t="shared" si="32"/>
        <v>#DIV/0!</v>
      </c>
      <c r="CU18" s="1" t="e">
        <f t="shared" si="32"/>
        <v>#DIV/0!</v>
      </c>
      <c r="CV18" s="1" t="e">
        <f t="shared" si="32"/>
        <v>#DIV/0!</v>
      </c>
      <c r="CW18" s="1" t="e">
        <f t="shared" si="32"/>
        <v>#DIV/0!</v>
      </c>
      <c r="CX18" s="1" t="e">
        <f t="shared" si="32"/>
        <v>#DIV/0!</v>
      </c>
      <c r="CY18" s="1" t="e">
        <f t="shared" si="32"/>
        <v>#DIV/0!</v>
      </c>
      <c r="CZ18" s="46">
        <v>1</v>
      </c>
      <c r="DA18" s="46">
        <v>1</v>
      </c>
      <c r="DB18" s="46">
        <v>1</v>
      </c>
      <c r="DC18" s="46">
        <v>1</v>
      </c>
      <c r="DD18" s="46">
        <v>1</v>
      </c>
      <c r="DE18" s="46">
        <v>1</v>
      </c>
      <c r="DF18" s="46">
        <v>1</v>
      </c>
      <c r="DG18" s="46">
        <v>1</v>
      </c>
      <c r="DH18" s="46">
        <v>1</v>
      </c>
      <c r="DI18" s="46">
        <v>1</v>
      </c>
    </row>
    <row r="19" spans="2:165">
      <c r="B19" s="37" t="s">
        <v>139</v>
      </c>
      <c r="CJ19" s="1" t="e">
        <f t="shared" ref="CJ19:CY19" si="33">CJ7/CI7-1</f>
        <v>#DIV/0!</v>
      </c>
      <c r="CK19" s="1" t="e">
        <f t="shared" si="33"/>
        <v>#DIV/0!</v>
      </c>
      <c r="CL19" s="1" t="e">
        <f t="shared" si="33"/>
        <v>#DIV/0!</v>
      </c>
      <c r="CM19" s="1" t="e">
        <f t="shared" si="33"/>
        <v>#DIV/0!</v>
      </c>
      <c r="CN19" s="1" t="e">
        <f t="shared" si="33"/>
        <v>#DIV/0!</v>
      </c>
      <c r="CO19" s="1" t="e">
        <f t="shared" si="33"/>
        <v>#DIV/0!</v>
      </c>
      <c r="CP19" s="1" t="e">
        <f t="shared" si="33"/>
        <v>#DIV/0!</v>
      </c>
      <c r="CQ19" s="1" t="e">
        <f t="shared" si="33"/>
        <v>#DIV/0!</v>
      </c>
      <c r="CR19" s="1" t="e">
        <f t="shared" si="33"/>
        <v>#DIV/0!</v>
      </c>
      <c r="CS19" s="1" t="e">
        <f t="shared" si="33"/>
        <v>#DIV/0!</v>
      </c>
      <c r="CT19" s="1" t="e">
        <f t="shared" si="33"/>
        <v>#DIV/0!</v>
      </c>
      <c r="CU19" s="1" t="e">
        <f t="shared" si="33"/>
        <v>#DIV/0!</v>
      </c>
      <c r="CV19" s="1" t="e">
        <f t="shared" si="33"/>
        <v>#DIV/0!</v>
      </c>
      <c r="CW19" s="1" t="e">
        <f t="shared" si="33"/>
        <v>#DIV/0!</v>
      </c>
      <c r="CX19" s="1" t="e">
        <f t="shared" si="33"/>
        <v>#DIV/0!</v>
      </c>
      <c r="CY19" s="1" t="e">
        <f t="shared" si="33"/>
        <v>#DIV/0!</v>
      </c>
      <c r="CZ19" s="46">
        <v>1</v>
      </c>
      <c r="DA19" s="46">
        <v>1</v>
      </c>
      <c r="DB19" s="46">
        <v>1</v>
      </c>
      <c r="DC19" s="46">
        <v>1</v>
      </c>
      <c r="DD19" s="46">
        <v>1</v>
      </c>
      <c r="DE19" s="46">
        <v>1</v>
      </c>
      <c r="DF19" s="46">
        <v>1</v>
      </c>
      <c r="DG19" s="46">
        <v>1</v>
      </c>
      <c r="DH19" s="46">
        <v>1</v>
      </c>
      <c r="DI19" s="46">
        <v>1</v>
      </c>
    </row>
    <row r="20" spans="2:165">
      <c r="B20" s="37" t="s">
        <v>140</v>
      </c>
      <c r="CJ20" s="1" t="e">
        <f t="shared" ref="CJ20:CY20" si="34">CJ8/CI8-1</f>
        <v>#DIV/0!</v>
      </c>
      <c r="CK20" s="1" t="e">
        <f t="shared" si="34"/>
        <v>#DIV/0!</v>
      </c>
      <c r="CL20" s="1" t="e">
        <f t="shared" si="34"/>
        <v>#DIV/0!</v>
      </c>
      <c r="CM20" s="1" t="e">
        <f t="shared" si="34"/>
        <v>#DIV/0!</v>
      </c>
      <c r="CN20" s="1" t="e">
        <f t="shared" si="34"/>
        <v>#DIV/0!</v>
      </c>
      <c r="CO20" s="1" t="e">
        <f t="shared" si="34"/>
        <v>#DIV/0!</v>
      </c>
      <c r="CP20" s="1" t="e">
        <f t="shared" si="34"/>
        <v>#DIV/0!</v>
      </c>
      <c r="CQ20" s="1" t="e">
        <f t="shared" si="34"/>
        <v>#DIV/0!</v>
      </c>
      <c r="CR20" s="1" t="e">
        <f t="shared" si="34"/>
        <v>#DIV/0!</v>
      </c>
      <c r="CS20" s="1" t="e">
        <f t="shared" si="34"/>
        <v>#DIV/0!</v>
      </c>
      <c r="CT20" s="1" t="e">
        <f t="shared" si="34"/>
        <v>#DIV/0!</v>
      </c>
      <c r="CU20" s="1" t="e">
        <f t="shared" si="34"/>
        <v>#DIV/0!</v>
      </c>
      <c r="CV20" s="1" t="e">
        <f t="shared" si="34"/>
        <v>#DIV/0!</v>
      </c>
      <c r="CW20" s="1" t="e">
        <f t="shared" si="34"/>
        <v>#DIV/0!</v>
      </c>
      <c r="CX20" s="1" t="e">
        <f t="shared" si="34"/>
        <v>#DIV/0!</v>
      </c>
      <c r="CY20" s="1" t="e">
        <f t="shared" si="34"/>
        <v>#DIV/0!</v>
      </c>
      <c r="CZ20" s="46">
        <v>1</v>
      </c>
      <c r="DA20" s="46">
        <v>1</v>
      </c>
      <c r="DB20" s="46">
        <v>1</v>
      </c>
      <c r="DC20" s="46">
        <v>1</v>
      </c>
      <c r="DD20" s="46">
        <v>1</v>
      </c>
      <c r="DE20" s="46">
        <v>1</v>
      </c>
      <c r="DF20" s="46">
        <v>1</v>
      </c>
      <c r="DG20" s="46">
        <v>1</v>
      </c>
      <c r="DH20" s="46">
        <v>1</v>
      </c>
      <c r="DI20" s="46">
        <v>1</v>
      </c>
    </row>
    <row r="21" spans="2:165">
      <c r="B21" s="37" t="s">
        <v>141</v>
      </c>
      <c r="CJ21" s="1" t="e">
        <f t="shared" ref="CJ21:CY21" si="35">CJ9/CI9-1</f>
        <v>#DIV/0!</v>
      </c>
      <c r="CK21" s="1" t="e">
        <f t="shared" si="35"/>
        <v>#DIV/0!</v>
      </c>
      <c r="CL21" s="1" t="e">
        <f t="shared" si="35"/>
        <v>#DIV/0!</v>
      </c>
      <c r="CM21" s="1" t="e">
        <f t="shared" si="35"/>
        <v>#DIV/0!</v>
      </c>
      <c r="CN21" s="1" t="e">
        <f t="shared" si="35"/>
        <v>#DIV/0!</v>
      </c>
      <c r="CO21" s="1" t="e">
        <f t="shared" si="35"/>
        <v>#DIV/0!</v>
      </c>
      <c r="CP21" s="1" t="e">
        <f t="shared" si="35"/>
        <v>#DIV/0!</v>
      </c>
      <c r="CQ21" s="1" t="e">
        <f t="shared" si="35"/>
        <v>#DIV/0!</v>
      </c>
      <c r="CR21" s="1" t="e">
        <f t="shared" si="35"/>
        <v>#DIV/0!</v>
      </c>
      <c r="CS21" s="1" t="e">
        <f t="shared" si="35"/>
        <v>#DIV/0!</v>
      </c>
      <c r="CT21" s="1" t="e">
        <f t="shared" si="35"/>
        <v>#DIV/0!</v>
      </c>
      <c r="CU21" s="1" t="e">
        <f t="shared" si="35"/>
        <v>#DIV/0!</v>
      </c>
      <c r="CV21" s="1" t="e">
        <f t="shared" si="35"/>
        <v>#DIV/0!</v>
      </c>
      <c r="CW21" s="1" t="e">
        <f t="shared" si="35"/>
        <v>#DIV/0!</v>
      </c>
      <c r="CX21" s="1" t="e">
        <f t="shared" si="35"/>
        <v>#DIV/0!</v>
      </c>
      <c r="CY21" s="1" t="e">
        <f t="shared" si="35"/>
        <v>#DIV/0!</v>
      </c>
      <c r="CZ21" s="46">
        <v>1</v>
      </c>
      <c r="DA21" s="46">
        <v>1</v>
      </c>
      <c r="DB21" s="46">
        <v>1</v>
      </c>
      <c r="DC21" s="46">
        <v>1</v>
      </c>
      <c r="DD21" s="46">
        <v>1</v>
      </c>
      <c r="DE21" s="46">
        <v>1</v>
      </c>
      <c r="DF21" s="46">
        <v>1</v>
      </c>
      <c r="DG21" s="46">
        <v>1</v>
      </c>
      <c r="DH21" s="46">
        <v>1</v>
      </c>
      <c r="DI21" s="46">
        <v>1</v>
      </c>
    </row>
    <row r="22" spans="2:165">
      <c r="B22" s="37" t="s">
        <v>144</v>
      </c>
      <c r="CJ22" s="1" t="e">
        <f t="shared" ref="CJ22:CY22" si="36">CJ10/CI10-1</f>
        <v>#DIV/0!</v>
      </c>
      <c r="CK22" s="1" t="e">
        <f t="shared" si="36"/>
        <v>#DIV/0!</v>
      </c>
      <c r="CL22" s="1" t="e">
        <f t="shared" si="36"/>
        <v>#DIV/0!</v>
      </c>
      <c r="CM22" s="1" t="e">
        <f t="shared" si="36"/>
        <v>#DIV/0!</v>
      </c>
      <c r="CN22" s="1" t="e">
        <f t="shared" si="36"/>
        <v>#DIV/0!</v>
      </c>
      <c r="CO22" s="1" t="e">
        <f t="shared" si="36"/>
        <v>#DIV/0!</v>
      </c>
      <c r="CP22" s="1" t="e">
        <f t="shared" si="36"/>
        <v>#DIV/0!</v>
      </c>
      <c r="CQ22" s="1" t="e">
        <f t="shared" si="36"/>
        <v>#DIV/0!</v>
      </c>
      <c r="CR22" s="1" t="e">
        <f t="shared" si="36"/>
        <v>#DIV/0!</v>
      </c>
      <c r="CS22" s="1" t="e">
        <f t="shared" si="36"/>
        <v>#DIV/0!</v>
      </c>
      <c r="CT22" s="1" t="e">
        <f t="shared" si="36"/>
        <v>#DIV/0!</v>
      </c>
      <c r="CU22" s="1" t="e">
        <f t="shared" si="36"/>
        <v>#DIV/0!</v>
      </c>
      <c r="CV22" s="1" t="e">
        <f t="shared" si="36"/>
        <v>#DIV/0!</v>
      </c>
      <c r="CW22" s="1" t="e">
        <f t="shared" si="36"/>
        <v>#DIV/0!</v>
      </c>
      <c r="CX22" s="1" t="e">
        <f t="shared" si="36"/>
        <v>#DIV/0!</v>
      </c>
      <c r="CY22" s="1" t="e">
        <f t="shared" si="36"/>
        <v>#DIV/0!</v>
      </c>
      <c r="CZ22" s="46">
        <v>1</v>
      </c>
      <c r="DA22" s="46">
        <v>1</v>
      </c>
      <c r="DB22" s="46">
        <v>1</v>
      </c>
      <c r="DC22" s="46">
        <v>1</v>
      </c>
      <c r="DD22" s="46">
        <v>1</v>
      </c>
      <c r="DE22" s="46">
        <v>1</v>
      </c>
      <c r="DF22" s="46">
        <v>1</v>
      </c>
      <c r="DG22" s="46">
        <v>1</v>
      </c>
      <c r="DH22" s="46">
        <v>1</v>
      </c>
      <c r="DI22" s="46">
        <v>1</v>
      </c>
    </row>
    <row r="23" spans="2:165">
      <c r="B23" s="37" t="s">
        <v>143</v>
      </c>
      <c r="CJ23" s="1" t="e">
        <f t="shared" ref="CJ23:CY23" si="37">CJ11/CI11-1</f>
        <v>#DIV/0!</v>
      </c>
      <c r="CK23" s="1" t="e">
        <f t="shared" si="37"/>
        <v>#DIV/0!</v>
      </c>
      <c r="CL23" s="1" t="e">
        <f t="shared" si="37"/>
        <v>#DIV/0!</v>
      </c>
      <c r="CM23" s="1" t="e">
        <f t="shared" si="37"/>
        <v>#DIV/0!</v>
      </c>
      <c r="CN23" s="1" t="e">
        <f t="shared" si="37"/>
        <v>#DIV/0!</v>
      </c>
      <c r="CO23" s="1" t="e">
        <f t="shared" si="37"/>
        <v>#DIV/0!</v>
      </c>
      <c r="CP23" s="1" t="e">
        <f t="shared" si="37"/>
        <v>#DIV/0!</v>
      </c>
      <c r="CQ23" s="1" t="e">
        <f t="shared" si="37"/>
        <v>#DIV/0!</v>
      </c>
      <c r="CR23" s="1" t="e">
        <f t="shared" si="37"/>
        <v>#DIV/0!</v>
      </c>
      <c r="CS23" s="1" t="e">
        <f t="shared" si="37"/>
        <v>#DIV/0!</v>
      </c>
      <c r="CT23" s="1" t="e">
        <f t="shared" si="37"/>
        <v>#DIV/0!</v>
      </c>
      <c r="CU23" s="1" t="e">
        <f t="shared" si="37"/>
        <v>#DIV/0!</v>
      </c>
      <c r="CV23" s="1" t="e">
        <f t="shared" si="37"/>
        <v>#DIV/0!</v>
      </c>
      <c r="CW23" s="1" t="e">
        <f t="shared" si="37"/>
        <v>#DIV/0!</v>
      </c>
      <c r="CX23" s="1" t="e">
        <f t="shared" si="37"/>
        <v>#DIV/0!</v>
      </c>
      <c r="CY23" s="1" t="e">
        <f t="shared" si="37"/>
        <v>#DIV/0!</v>
      </c>
      <c r="CZ23" s="46">
        <v>1</v>
      </c>
      <c r="DA23" s="46">
        <v>1</v>
      </c>
      <c r="DB23" s="46">
        <v>1</v>
      </c>
      <c r="DC23" s="46">
        <v>1</v>
      </c>
      <c r="DD23" s="46">
        <v>1</v>
      </c>
      <c r="DE23" s="46">
        <v>1</v>
      </c>
      <c r="DF23" s="46">
        <v>1</v>
      </c>
      <c r="DG23" s="46">
        <v>1</v>
      </c>
      <c r="DH23" s="46">
        <v>1</v>
      </c>
      <c r="DI23" s="46">
        <v>1</v>
      </c>
    </row>
    <row r="24" spans="2:165">
      <c r="B24" s="37" t="s">
        <v>145</v>
      </c>
      <c r="CJ24" s="1" t="e">
        <f t="shared" ref="CJ24:CY24" si="38">CJ12/CI12-1</f>
        <v>#DIV/0!</v>
      </c>
      <c r="CK24" s="1" t="e">
        <f t="shared" si="38"/>
        <v>#DIV/0!</v>
      </c>
      <c r="CL24" s="1" t="e">
        <f t="shared" si="38"/>
        <v>#DIV/0!</v>
      </c>
      <c r="CM24" s="1" t="e">
        <f t="shared" si="38"/>
        <v>#DIV/0!</v>
      </c>
      <c r="CN24" s="1" t="e">
        <f t="shared" si="38"/>
        <v>#DIV/0!</v>
      </c>
      <c r="CO24" s="1" t="e">
        <f t="shared" si="38"/>
        <v>#DIV/0!</v>
      </c>
      <c r="CP24" s="1" t="e">
        <f t="shared" si="38"/>
        <v>#DIV/0!</v>
      </c>
      <c r="CQ24" s="1" t="e">
        <f t="shared" si="38"/>
        <v>#DIV/0!</v>
      </c>
      <c r="CR24" s="1" t="e">
        <f t="shared" si="38"/>
        <v>#DIV/0!</v>
      </c>
      <c r="CS24" s="1" t="e">
        <f t="shared" si="38"/>
        <v>#DIV/0!</v>
      </c>
      <c r="CT24" s="1" t="e">
        <f t="shared" si="38"/>
        <v>#DIV/0!</v>
      </c>
      <c r="CU24" s="1" t="e">
        <f t="shared" si="38"/>
        <v>#DIV/0!</v>
      </c>
      <c r="CV24" s="1" t="e">
        <f t="shared" si="38"/>
        <v>#DIV/0!</v>
      </c>
      <c r="CW24" s="1" t="e">
        <f t="shared" si="38"/>
        <v>#DIV/0!</v>
      </c>
      <c r="CX24" s="1" t="e">
        <f t="shared" si="38"/>
        <v>#DIV/0!</v>
      </c>
      <c r="CY24" s="1" t="e">
        <f t="shared" si="38"/>
        <v>#DIV/0!</v>
      </c>
      <c r="CZ24" s="46">
        <v>1</v>
      </c>
      <c r="DA24" s="46">
        <v>1</v>
      </c>
      <c r="DB24" s="46">
        <v>1</v>
      </c>
      <c r="DC24" s="46">
        <v>1</v>
      </c>
      <c r="DD24" s="46">
        <v>1</v>
      </c>
      <c r="DE24" s="46">
        <v>1</v>
      </c>
      <c r="DF24" s="46">
        <v>1</v>
      </c>
      <c r="DG24" s="46">
        <v>1</v>
      </c>
      <c r="DH24" s="46">
        <v>1</v>
      </c>
      <c r="DI24" s="46">
        <v>1</v>
      </c>
    </row>
    <row r="25" spans="2:165">
      <c r="B25" s="37" t="s">
        <v>142</v>
      </c>
      <c r="CJ25" s="1" t="e">
        <f t="shared" ref="CJ25:CY25" si="39">CJ13/CI13-1</f>
        <v>#DIV/0!</v>
      </c>
      <c r="CK25" s="1" t="e">
        <f t="shared" si="39"/>
        <v>#DIV/0!</v>
      </c>
      <c r="CL25" s="1" t="e">
        <f t="shared" si="39"/>
        <v>#DIV/0!</v>
      </c>
      <c r="CM25" s="1" t="e">
        <f t="shared" si="39"/>
        <v>#DIV/0!</v>
      </c>
      <c r="CN25" s="1" t="e">
        <f t="shared" si="39"/>
        <v>#DIV/0!</v>
      </c>
      <c r="CO25" s="1" t="e">
        <f t="shared" si="39"/>
        <v>#DIV/0!</v>
      </c>
      <c r="CP25" s="1" t="e">
        <f t="shared" si="39"/>
        <v>#DIV/0!</v>
      </c>
      <c r="CQ25" s="1" t="e">
        <f t="shared" si="39"/>
        <v>#DIV/0!</v>
      </c>
      <c r="CR25" s="1" t="e">
        <f t="shared" si="39"/>
        <v>#DIV/0!</v>
      </c>
      <c r="CS25" s="1" t="e">
        <f t="shared" si="39"/>
        <v>#DIV/0!</v>
      </c>
      <c r="CT25" s="1" t="e">
        <f t="shared" si="39"/>
        <v>#DIV/0!</v>
      </c>
      <c r="CU25" s="1" t="e">
        <f t="shared" si="39"/>
        <v>#DIV/0!</v>
      </c>
      <c r="CV25" s="1" t="e">
        <f t="shared" si="39"/>
        <v>#DIV/0!</v>
      </c>
      <c r="CW25" s="1" t="e">
        <f t="shared" si="39"/>
        <v>#DIV/0!</v>
      </c>
      <c r="CX25" s="1" t="e">
        <f t="shared" si="39"/>
        <v>#DIV/0!</v>
      </c>
      <c r="CY25" s="1" t="e">
        <f t="shared" si="39"/>
        <v>#DIV/0!</v>
      </c>
      <c r="CZ25" s="46">
        <v>1</v>
      </c>
      <c r="DA25" s="46">
        <v>1</v>
      </c>
      <c r="DB25" s="46">
        <v>1</v>
      </c>
      <c r="DC25" s="46">
        <v>1</v>
      </c>
      <c r="DD25" s="46">
        <v>1</v>
      </c>
      <c r="DE25" s="46">
        <v>1</v>
      </c>
      <c r="DF25" s="46">
        <v>1</v>
      </c>
      <c r="DG25" s="46">
        <v>1</v>
      </c>
      <c r="DH25" s="46">
        <v>1</v>
      </c>
      <c r="DI25" s="46">
        <v>1</v>
      </c>
    </row>
    <row r="26" spans="2:165" s="2" customFormat="1" ht="15">
      <c r="B26" s="33" t="s">
        <v>213</v>
      </c>
      <c r="BT26" s="34"/>
      <c r="BU26" s="34"/>
      <c r="BV26" s="34"/>
      <c r="BW26" s="34"/>
      <c r="BX26" s="34"/>
      <c r="BY26" s="34"/>
      <c r="BZ26" s="34"/>
      <c r="CJ26" s="2" t="e">
        <f t="shared" ref="CJ26:CY26" si="40">CJ14/CI14-1</f>
        <v>#DIV/0!</v>
      </c>
      <c r="CK26" s="2" t="e">
        <f t="shared" si="40"/>
        <v>#DIV/0!</v>
      </c>
      <c r="CL26" s="2" t="e">
        <f t="shared" si="40"/>
        <v>#DIV/0!</v>
      </c>
      <c r="CM26" s="2" t="e">
        <f t="shared" si="40"/>
        <v>#DIV/0!</v>
      </c>
      <c r="CN26" s="2" t="e">
        <f t="shared" si="40"/>
        <v>#DIV/0!</v>
      </c>
      <c r="CO26" s="2" t="e">
        <f t="shared" si="40"/>
        <v>#DIV/0!</v>
      </c>
      <c r="CP26" s="2" t="e">
        <f t="shared" si="40"/>
        <v>#DIV/0!</v>
      </c>
      <c r="CQ26" s="2" t="e">
        <f t="shared" si="40"/>
        <v>#DIV/0!</v>
      </c>
      <c r="CR26" s="2" t="e">
        <f t="shared" si="40"/>
        <v>#DIV/0!</v>
      </c>
      <c r="CS26" s="2" t="e">
        <f t="shared" si="40"/>
        <v>#DIV/0!</v>
      </c>
      <c r="CT26" s="2" t="e">
        <f t="shared" si="40"/>
        <v>#DIV/0!</v>
      </c>
      <c r="CU26" s="2" t="e">
        <f t="shared" si="40"/>
        <v>#DIV/0!</v>
      </c>
      <c r="CV26" s="2" t="e">
        <f t="shared" si="40"/>
        <v>#DIV/0!</v>
      </c>
      <c r="CW26" s="2" t="e">
        <f t="shared" si="40"/>
        <v>#DIV/0!</v>
      </c>
      <c r="CX26" s="2" t="e">
        <f t="shared" si="40"/>
        <v>#DIV/0!</v>
      </c>
      <c r="CY26" s="2" t="e">
        <f t="shared" si="40"/>
        <v>#DIV/0!</v>
      </c>
      <c r="CZ26" s="48" t="e">
        <f>CZ14/CY14-1</f>
        <v>#DIV/0!</v>
      </c>
      <c r="DA26" s="48" t="e">
        <f t="shared" ref="DA26:DI26" si="41">DA14/CZ14-1</f>
        <v>#DIV/0!</v>
      </c>
      <c r="DB26" s="48" t="e">
        <f t="shared" si="41"/>
        <v>#DIV/0!</v>
      </c>
      <c r="DC26" s="48" t="e">
        <f t="shared" si="41"/>
        <v>#DIV/0!</v>
      </c>
      <c r="DD26" s="48" t="e">
        <f t="shared" si="41"/>
        <v>#DIV/0!</v>
      </c>
      <c r="DE26" s="48" t="e">
        <f t="shared" si="41"/>
        <v>#DIV/0!</v>
      </c>
      <c r="DF26" s="48" t="e">
        <f t="shared" si="41"/>
        <v>#DIV/0!</v>
      </c>
      <c r="DG26" s="48" t="e">
        <f t="shared" si="41"/>
        <v>#DIV/0!</v>
      </c>
      <c r="DH26" s="48" t="e">
        <f t="shared" si="41"/>
        <v>#DIV/0!</v>
      </c>
      <c r="DI26" s="48" t="e">
        <f t="shared" si="41"/>
        <v>#DIV/0!</v>
      </c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</row>
    <row r="28" spans="2:165" ht="15">
      <c r="B28" s="33" t="s">
        <v>134</v>
      </c>
      <c r="CY28" s="1" t="e">
        <f>CY4/CY14</f>
        <v>#DIV/0!</v>
      </c>
    </row>
    <row r="29" spans="2:165" ht="15">
      <c r="B29" s="33" t="s">
        <v>135</v>
      </c>
    </row>
    <row r="31" spans="2:165">
      <c r="B31" s="1" t="s">
        <v>146</v>
      </c>
      <c r="CI31" s="1">
        <f t="shared" ref="CI31:CI34" si="42">SUM(C31:F31)</f>
        <v>0</v>
      </c>
      <c r="CJ31" s="1">
        <f t="shared" ref="CJ31:CJ34" si="43">SUM(G31:J31)</f>
        <v>0</v>
      </c>
      <c r="CK31" s="1">
        <f t="shared" ref="CK31:CK34" si="44">SUM(K31:N31)</f>
        <v>0</v>
      </c>
      <c r="CL31" s="1">
        <f t="shared" ref="CL31:CL34" si="45">SUM(O31:R31)</f>
        <v>0</v>
      </c>
      <c r="CM31" s="1">
        <f t="shared" ref="CM31:CM34" si="46">SUM(S31:V31)</f>
        <v>0</v>
      </c>
      <c r="CN31" s="1">
        <f t="shared" ref="CN31:CN34" si="47">SUM(W31:Z31)</f>
        <v>0</v>
      </c>
      <c r="CO31" s="1">
        <f t="shared" ref="CO31:CO34" si="48">SUM(AA31:AD31)</f>
        <v>0</v>
      </c>
      <c r="CP31" s="1">
        <f t="shared" ref="CP31:CP34" si="49">SUM(AE31:AH31)</f>
        <v>0</v>
      </c>
      <c r="CQ31" s="1">
        <f t="shared" ref="CQ31:CQ34" si="50">SUM(AI31:AL31)</f>
        <v>0</v>
      </c>
      <c r="CR31" s="1">
        <f t="shared" ref="CR31:CR34" si="51">SUM(AM31:AP31)</f>
        <v>0</v>
      </c>
      <c r="CS31" s="1">
        <f t="shared" ref="CS31:CS34" si="52">SUM(AQ31:AT31)</f>
        <v>0</v>
      </c>
      <c r="CT31" s="1">
        <f t="shared" ref="CT31:CT34" si="53">SUM(AU31:AX31)</f>
        <v>0</v>
      </c>
      <c r="CU31" s="1">
        <f t="shared" ref="CU31:CU34" si="54">SUM(AY31:BB31)</f>
        <v>0</v>
      </c>
      <c r="CV31" s="1">
        <f t="shared" ref="CV31:CV34" si="55">SUM(BC31:BF31)</f>
        <v>0</v>
      </c>
      <c r="CW31" s="1">
        <f t="shared" ref="CW31:CW34" si="56">SUM(BG31:BJ31)</f>
        <v>0</v>
      </c>
      <c r="CX31" s="1">
        <f t="shared" ref="CX31:CX34" si="57">SUM(BK31:BN31)</f>
        <v>0</v>
      </c>
      <c r="CY31" s="1">
        <f t="shared" ref="CY31:CY34" si="58">SUM(BO31:BR31)</f>
        <v>0</v>
      </c>
    </row>
    <row r="32" spans="2:165">
      <c r="B32" s="1" t="s">
        <v>149</v>
      </c>
      <c r="CI32" s="1">
        <f t="shared" si="42"/>
        <v>0</v>
      </c>
      <c r="CJ32" s="1">
        <f t="shared" si="43"/>
        <v>0</v>
      </c>
      <c r="CK32" s="1">
        <f t="shared" si="44"/>
        <v>0</v>
      </c>
      <c r="CL32" s="1">
        <f t="shared" si="45"/>
        <v>0</v>
      </c>
      <c r="CM32" s="1">
        <f t="shared" si="46"/>
        <v>0</v>
      </c>
      <c r="CN32" s="1">
        <f t="shared" si="47"/>
        <v>0</v>
      </c>
      <c r="CO32" s="1">
        <f t="shared" si="48"/>
        <v>0</v>
      </c>
      <c r="CP32" s="1">
        <f t="shared" si="49"/>
        <v>0</v>
      </c>
      <c r="CQ32" s="1">
        <f t="shared" si="50"/>
        <v>0</v>
      </c>
      <c r="CR32" s="1">
        <f t="shared" si="51"/>
        <v>0</v>
      </c>
      <c r="CS32" s="1">
        <f t="shared" si="52"/>
        <v>0</v>
      </c>
      <c r="CT32" s="1">
        <f t="shared" si="53"/>
        <v>0</v>
      </c>
      <c r="CU32" s="1">
        <f t="shared" si="54"/>
        <v>0</v>
      </c>
      <c r="CV32" s="1">
        <f t="shared" si="55"/>
        <v>0</v>
      </c>
      <c r="CW32" s="1">
        <f t="shared" si="56"/>
        <v>0</v>
      </c>
      <c r="CX32" s="1">
        <f t="shared" si="57"/>
        <v>0</v>
      </c>
      <c r="CY32" s="1">
        <f t="shared" si="58"/>
        <v>0</v>
      </c>
    </row>
    <row r="33" spans="2:165">
      <c r="B33" s="1" t="s">
        <v>148</v>
      </c>
      <c r="CI33" s="1">
        <f t="shared" si="42"/>
        <v>0</v>
      </c>
      <c r="CJ33" s="1">
        <f t="shared" si="43"/>
        <v>0</v>
      </c>
      <c r="CK33" s="1">
        <f t="shared" si="44"/>
        <v>0</v>
      </c>
      <c r="CL33" s="1">
        <f t="shared" si="45"/>
        <v>0</v>
      </c>
      <c r="CM33" s="1">
        <f t="shared" si="46"/>
        <v>0</v>
      </c>
      <c r="CN33" s="1">
        <f t="shared" si="47"/>
        <v>0</v>
      </c>
      <c r="CO33" s="1">
        <f t="shared" si="48"/>
        <v>0</v>
      </c>
      <c r="CP33" s="1">
        <f t="shared" si="49"/>
        <v>0</v>
      </c>
      <c r="CQ33" s="1">
        <f t="shared" si="50"/>
        <v>0</v>
      </c>
      <c r="CR33" s="1">
        <f t="shared" si="51"/>
        <v>0</v>
      </c>
      <c r="CS33" s="1">
        <f t="shared" si="52"/>
        <v>0</v>
      </c>
      <c r="CT33" s="1">
        <f t="shared" si="53"/>
        <v>0</v>
      </c>
      <c r="CU33" s="1">
        <f t="shared" si="54"/>
        <v>0</v>
      </c>
      <c r="CV33" s="1">
        <f t="shared" si="55"/>
        <v>0</v>
      </c>
      <c r="CW33" s="1">
        <f t="shared" si="56"/>
        <v>0</v>
      </c>
      <c r="CX33" s="1">
        <f t="shared" si="57"/>
        <v>0</v>
      </c>
      <c r="CY33" s="1">
        <f t="shared" si="58"/>
        <v>0</v>
      </c>
    </row>
    <row r="34" spans="2:165">
      <c r="B34" s="1" t="s">
        <v>147</v>
      </c>
      <c r="CI34" s="1">
        <f t="shared" si="42"/>
        <v>0</v>
      </c>
      <c r="CJ34" s="1">
        <f t="shared" si="43"/>
        <v>0</v>
      </c>
      <c r="CK34" s="1">
        <f t="shared" si="44"/>
        <v>0</v>
      </c>
      <c r="CL34" s="1">
        <f t="shared" si="45"/>
        <v>0</v>
      </c>
      <c r="CM34" s="1">
        <f t="shared" si="46"/>
        <v>0</v>
      </c>
      <c r="CN34" s="1">
        <f t="shared" si="47"/>
        <v>0</v>
      </c>
      <c r="CO34" s="1">
        <f t="shared" si="48"/>
        <v>0</v>
      </c>
      <c r="CP34" s="1">
        <f t="shared" si="49"/>
        <v>0</v>
      </c>
      <c r="CQ34" s="1">
        <f t="shared" si="50"/>
        <v>0</v>
      </c>
      <c r="CR34" s="1">
        <f t="shared" si="51"/>
        <v>0</v>
      </c>
      <c r="CS34" s="1">
        <f t="shared" si="52"/>
        <v>0</v>
      </c>
      <c r="CT34" s="1">
        <f t="shared" si="53"/>
        <v>0</v>
      </c>
      <c r="CU34" s="1">
        <f t="shared" si="54"/>
        <v>0</v>
      </c>
      <c r="CV34" s="1">
        <f t="shared" si="55"/>
        <v>0</v>
      </c>
      <c r="CW34" s="1">
        <f t="shared" si="56"/>
        <v>0</v>
      </c>
      <c r="CX34" s="1">
        <f t="shared" si="57"/>
        <v>0</v>
      </c>
      <c r="CY34" s="1">
        <f t="shared" si="58"/>
        <v>0</v>
      </c>
    </row>
    <row r="36" spans="2:165">
      <c r="B36" s="1" t="s">
        <v>156</v>
      </c>
    </row>
    <row r="37" spans="2:165">
      <c r="B37" s="1" t="s">
        <v>154</v>
      </c>
    </row>
    <row r="38" spans="2:165">
      <c r="B38" s="1" t="s">
        <v>155</v>
      </c>
    </row>
    <row r="39" spans="2:165">
      <c r="B39" s="1" t="s">
        <v>157</v>
      </c>
    </row>
    <row r="41" spans="2:165">
      <c r="B41" s="38" t="s">
        <v>150</v>
      </c>
    </row>
    <row r="42" spans="2:165">
      <c r="B42" s="1" t="s">
        <v>151</v>
      </c>
    </row>
    <row r="43" spans="2:165">
      <c r="B43" s="1" t="s">
        <v>152</v>
      </c>
    </row>
    <row r="44" spans="2:165">
      <c r="B44" s="1" t="s">
        <v>153</v>
      </c>
    </row>
    <row r="46" spans="2:165" s="2" customFormat="1" ht="15">
      <c r="B46" s="2" t="s">
        <v>120</v>
      </c>
      <c r="AY46" s="2">
        <f t="shared" ref="AY46:BR46" si="59">AY14</f>
        <v>0</v>
      </c>
      <c r="AZ46" s="2">
        <f t="shared" si="59"/>
        <v>0</v>
      </c>
      <c r="BA46" s="2">
        <f t="shared" si="59"/>
        <v>0</v>
      </c>
      <c r="BB46" s="2">
        <f t="shared" si="59"/>
        <v>0</v>
      </c>
      <c r="BC46" s="2">
        <f t="shared" si="59"/>
        <v>0</v>
      </c>
      <c r="BD46" s="2">
        <f t="shared" si="59"/>
        <v>0</v>
      </c>
      <c r="BE46" s="2">
        <f t="shared" si="59"/>
        <v>0</v>
      </c>
      <c r="BF46" s="2">
        <f t="shared" si="59"/>
        <v>0</v>
      </c>
      <c r="BG46" s="2">
        <f t="shared" si="59"/>
        <v>0</v>
      </c>
      <c r="BH46" s="2">
        <f t="shared" si="59"/>
        <v>0</v>
      </c>
      <c r="BI46" s="2">
        <f t="shared" si="59"/>
        <v>0</v>
      </c>
      <c r="BJ46" s="2">
        <f t="shared" si="59"/>
        <v>0</v>
      </c>
      <c r="BK46" s="2">
        <f t="shared" si="59"/>
        <v>0</v>
      </c>
      <c r="BL46" s="2">
        <f t="shared" si="59"/>
        <v>0</v>
      </c>
      <c r="BM46" s="2">
        <f t="shared" si="59"/>
        <v>0</v>
      </c>
      <c r="BN46" s="2">
        <f t="shared" si="59"/>
        <v>0</v>
      </c>
      <c r="BO46" s="2">
        <f t="shared" si="59"/>
        <v>0</v>
      </c>
      <c r="BP46" s="2">
        <f t="shared" si="59"/>
        <v>0</v>
      </c>
      <c r="BQ46" s="2">
        <f t="shared" si="59"/>
        <v>0</v>
      </c>
      <c r="BR46" s="2">
        <f t="shared" si="59"/>
        <v>0</v>
      </c>
      <c r="BS46" s="2">
        <f>BS14</f>
        <v>0</v>
      </c>
      <c r="BT46" s="34"/>
      <c r="BU46" s="34"/>
      <c r="BV46" s="34"/>
      <c r="BW46" s="34"/>
      <c r="BX46" s="34"/>
      <c r="BY46" s="34"/>
      <c r="BZ46" s="34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</row>
    <row r="47" spans="2:165">
      <c r="B47" s="1" t="s">
        <v>158</v>
      </c>
    </row>
    <row r="48" spans="2:165">
      <c r="B48" s="1" t="s">
        <v>159</v>
      </c>
      <c r="AY48" s="1">
        <f t="shared" ref="AY48:BR48" si="60">AY46-AY47</f>
        <v>0</v>
      </c>
      <c r="AZ48" s="1">
        <f t="shared" si="60"/>
        <v>0</v>
      </c>
      <c r="BA48" s="1">
        <f t="shared" si="60"/>
        <v>0</v>
      </c>
      <c r="BB48" s="1">
        <f t="shared" si="60"/>
        <v>0</v>
      </c>
      <c r="BC48" s="1">
        <f t="shared" si="60"/>
        <v>0</v>
      </c>
      <c r="BD48" s="1">
        <f t="shared" si="60"/>
        <v>0</v>
      </c>
      <c r="BE48" s="1">
        <f t="shared" si="60"/>
        <v>0</v>
      </c>
      <c r="BF48" s="1">
        <f t="shared" si="60"/>
        <v>0</v>
      </c>
      <c r="BG48" s="1">
        <f t="shared" si="60"/>
        <v>0</v>
      </c>
      <c r="BH48" s="1">
        <f t="shared" si="60"/>
        <v>0</v>
      </c>
      <c r="BI48" s="1">
        <f t="shared" si="60"/>
        <v>0</v>
      </c>
      <c r="BJ48" s="1">
        <f t="shared" si="60"/>
        <v>0</v>
      </c>
      <c r="BK48" s="1">
        <f t="shared" si="60"/>
        <v>0</v>
      </c>
      <c r="BL48" s="1">
        <f t="shared" si="60"/>
        <v>0</v>
      </c>
      <c r="BM48" s="1">
        <f t="shared" si="60"/>
        <v>0</v>
      </c>
      <c r="BN48" s="1">
        <f t="shared" si="60"/>
        <v>0</v>
      </c>
      <c r="BO48" s="1">
        <f t="shared" si="60"/>
        <v>0</v>
      </c>
      <c r="BP48" s="1">
        <f t="shared" si="60"/>
        <v>0</v>
      </c>
      <c r="BQ48" s="1">
        <f t="shared" si="60"/>
        <v>0</v>
      </c>
      <c r="BR48" s="1">
        <f t="shared" si="60"/>
        <v>0</v>
      </c>
      <c r="BS48" s="1">
        <f>BS46-BS47</f>
        <v>0</v>
      </c>
    </row>
    <row r="66" spans="2:114">
      <c r="B66" s="37" t="s">
        <v>160</v>
      </c>
    </row>
    <row r="67" spans="2:114">
      <c r="B67" s="37" t="s">
        <v>161</v>
      </c>
    </row>
    <row r="68" spans="2:114">
      <c r="B68" s="37" t="s">
        <v>162</v>
      </c>
    </row>
    <row r="69" spans="2:114">
      <c r="B69" s="37" t="s">
        <v>163</v>
      </c>
    </row>
    <row r="70" spans="2:114">
      <c r="B70" s="37" t="s">
        <v>164</v>
      </c>
    </row>
    <row r="71" spans="2:114">
      <c r="B71" s="37" t="s">
        <v>165</v>
      </c>
    </row>
    <row r="72" spans="2:114">
      <c r="B72" s="37" t="s">
        <v>197</v>
      </c>
    </row>
    <row r="74" spans="2:114">
      <c r="B74" s="1" t="s">
        <v>166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</row>
    <row r="75" spans="2:114">
      <c r="B75" s="1" t="s">
        <v>167</v>
      </c>
    </row>
    <row r="76" spans="2:114">
      <c r="B76" s="1" t="s">
        <v>168</v>
      </c>
      <c r="DA76" s="49" t="s">
        <v>214</v>
      </c>
      <c r="DB76" s="50"/>
      <c r="DC76" s="50"/>
      <c r="DD76" s="49" t="s">
        <v>215</v>
      </c>
      <c r="DE76" s="50"/>
      <c r="DF76" s="51" t="s">
        <v>216</v>
      </c>
      <c r="DG76" s="50"/>
      <c r="DH76" s="52" t="s">
        <v>217</v>
      </c>
      <c r="DI76" s="53">
        <v>0.06</v>
      </c>
      <c r="DJ76" s="50"/>
    </row>
    <row r="77" spans="2:114" ht="13.5" customHeight="1">
      <c r="DA77" s="50">
        <v>2025</v>
      </c>
      <c r="DB77" s="50"/>
      <c r="DC77" s="50">
        <v>2023</v>
      </c>
      <c r="DD77" s="50">
        <v>2024</v>
      </c>
      <c r="DE77" s="50"/>
      <c r="DF77" s="51" t="s">
        <v>218</v>
      </c>
      <c r="DG77" s="50"/>
      <c r="DH77" s="52" t="s">
        <v>219</v>
      </c>
      <c r="DI77" s="53">
        <v>2.5000000000000001E-2</v>
      </c>
      <c r="DJ77" s="50"/>
    </row>
    <row r="78" spans="2:114" ht="13.5" customHeight="1">
      <c r="DA78" s="54" t="e">
        <f>AVERAGE(CZ56)*(1-CZ70)</f>
        <v>#DIV/0!</v>
      </c>
      <c r="DB78" s="50"/>
      <c r="DC78" s="55">
        <f>SUM(CX73:CX78)-CX89+CX79+CX82+CX81</f>
        <v>0</v>
      </c>
      <c r="DD78" s="55">
        <f>SUM(CY73:CY78)-CY89+CY79+CY82+CY81</f>
        <v>0</v>
      </c>
      <c r="DE78" s="50"/>
      <c r="DF78" s="55">
        <f>AVERAGE(DC78:DD78)</f>
        <v>0</v>
      </c>
      <c r="DG78" s="50"/>
      <c r="DH78" s="52" t="s">
        <v>220</v>
      </c>
      <c r="DI78" s="53">
        <v>4.3400000000000001E-2</v>
      </c>
      <c r="DJ78" s="50"/>
    </row>
    <row r="79" spans="2:114" ht="13.5" customHeight="1">
      <c r="DA79" s="56" t="e">
        <f>DA78/DF78</f>
        <v>#DIV/0!</v>
      </c>
      <c r="DB79" s="50"/>
      <c r="DC79" s="50"/>
      <c r="DD79" s="50"/>
      <c r="DE79" s="50"/>
      <c r="DF79" s="50"/>
      <c r="DG79" s="50"/>
      <c r="DH79" s="52" t="s">
        <v>221</v>
      </c>
      <c r="DI79" s="53">
        <f>13.4%-DI78</f>
        <v>9.0600000000000014E-2</v>
      </c>
      <c r="DJ79" s="50"/>
    </row>
    <row r="80" spans="2:114" ht="13.5" customHeight="1">
      <c r="DA80" s="50"/>
      <c r="DB80" s="50"/>
      <c r="DC80" s="50"/>
      <c r="DD80" s="50"/>
      <c r="DE80" s="50"/>
      <c r="DF80" s="50"/>
      <c r="DG80" s="50"/>
      <c r="DH80" s="52" t="s">
        <v>222</v>
      </c>
      <c r="DI80" s="50">
        <f>'Notes | Quant Analysis'!K207</f>
        <v>1.1200000000000001</v>
      </c>
      <c r="DJ80" s="50"/>
    </row>
    <row r="81" spans="105:114" ht="13.5" customHeight="1">
      <c r="DA81" s="50"/>
      <c r="DB81" s="50"/>
      <c r="DC81" s="50"/>
      <c r="DD81" s="50"/>
      <c r="DE81" s="50"/>
      <c r="DF81" s="50"/>
      <c r="DG81" s="50"/>
      <c r="DH81" s="52" t="s">
        <v>223</v>
      </c>
      <c r="DI81" s="53">
        <f>+DI78+(DI79*DI80)</f>
        <v>0.14487200000000003</v>
      </c>
      <c r="DJ81" s="57"/>
    </row>
    <row r="82" spans="105:114" ht="13.5" customHeight="1">
      <c r="DA82" s="57"/>
      <c r="DB82" s="57"/>
      <c r="DC82" s="57"/>
      <c r="DD82" s="57"/>
      <c r="DE82" s="57"/>
      <c r="DF82" s="57"/>
      <c r="DG82" s="57"/>
      <c r="DH82" s="52"/>
      <c r="DI82" s="50"/>
      <c r="DJ82" s="50"/>
    </row>
    <row r="83" spans="105:114" ht="13.5" customHeight="1">
      <c r="DA83" s="50"/>
      <c r="DB83" s="50"/>
      <c r="DC83" s="50"/>
      <c r="DD83" s="50"/>
      <c r="DE83" s="50"/>
      <c r="DF83" s="50"/>
      <c r="DG83" s="50"/>
      <c r="DH83" s="52" t="s">
        <v>224</v>
      </c>
      <c r="DI83" s="55">
        <f>NPV(DI81,CZ62:EW62)</f>
        <v>0</v>
      </c>
      <c r="DJ83" s="50"/>
    </row>
    <row r="84" spans="105:114" ht="13.5" customHeight="1">
      <c r="DA84" s="50"/>
      <c r="DB84" s="50"/>
      <c r="DC84" s="50"/>
      <c r="DD84" s="50"/>
      <c r="DE84" s="50"/>
      <c r="DF84" s="50"/>
      <c r="DG84" s="50"/>
      <c r="DH84" s="52" t="s">
        <v>180</v>
      </c>
      <c r="DI84" s="55">
        <f>Main!C4</f>
        <v>312.40499999999997</v>
      </c>
      <c r="DJ84" s="58" t="s">
        <v>225</v>
      </c>
    </row>
    <row r="85" spans="105:114" ht="13.5" customHeight="1">
      <c r="DA85" s="50"/>
      <c r="DB85" s="50"/>
      <c r="DC85" s="50"/>
      <c r="DD85" s="50"/>
      <c r="DE85" s="50"/>
      <c r="DF85" s="50"/>
      <c r="DG85" s="50"/>
      <c r="DH85" s="52" t="s">
        <v>226</v>
      </c>
      <c r="DI85" s="59">
        <f>DI83/DI84</f>
        <v>0</v>
      </c>
      <c r="DJ85" s="49"/>
    </row>
    <row r="86" spans="105:114" ht="13.5" customHeight="1">
      <c r="DA86" s="50"/>
      <c r="DB86" s="50"/>
      <c r="DC86" s="50"/>
      <c r="DD86" s="50"/>
      <c r="DE86" s="50"/>
      <c r="DF86" s="50"/>
      <c r="DG86" s="50"/>
      <c r="DH86" s="52" t="s">
        <v>227</v>
      </c>
      <c r="DI86" s="59">
        <f>Main!C3</f>
        <v>339.13</v>
      </c>
      <c r="DJ86" s="60"/>
    </row>
    <row r="87" spans="105:114" ht="13.5" customHeight="1">
      <c r="DA87" s="57"/>
      <c r="DB87" s="57"/>
      <c r="DC87" s="57"/>
      <c r="DD87" s="57"/>
      <c r="DE87" s="57"/>
      <c r="DF87" s="57"/>
      <c r="DG87" s="57"/>
      <c r="DH87" s="52" t="s">
        <v>228</v>
      </c>
      <c r="DI87" s="53">
        <f>DI85/DI86-1</f>
        <v>-1</v>
      </c>
      <c r="DJ87" s="61" t="str">
        <f>IF(DI87&gt;0,"Upside","Downside")</f>
        <v>Downside</v>
      </c>
    </row>
    <row r="88" spans="105:114" ht="13.5" customHeight="1">
      <c r="DH88" s="69" t="str" cm="1">
        <f t="array" ref="DH88">_xlfn.IFS(DI87&gt;=25%,"Strong Buy",DI87&gt;=10.00001%,"Buy",AND(DI87&lt;=10%,DI87&gt;=-4.9999%),"Hold",AND(DI87&lt;=-5%,DI87&gt;=-14.999999%),"Sell",DI87&lt;=-15%,"Strong Sell")</f>
        <v>Strong Sell</v>
      </c>
      <c r="DI88" s="69"/>
    </row>
    <row r="89" spans="105:114" ht="13.5" customHeight="1"/>
    <row r="90" spans="105:114" ht="13.5" customHeight="1"/>
    <row r="91" spans="105:114" ht="13.5" customHeight="1"/>
    <row r="92" spans="105:114" ht="13.5" customHeight="1"/>
    <row r="93" spans="105:114" ht="13.5" customHeight="1"/>
    <row r="108" spans="2:2">
      <c r="B108" s="1" t="s">
        <v>169</v>
      </c>
    </row>
    <row r="109" spans="2:2">
      <c r="B109" s="1" t="s">
        <v>170</v>
      </c>
    </row>
    <row r="110" spans="2:2">
      <c r="B110" s="1" t="s">
        <v>171</v>
      </c>
    </row>
    <row r="111" spans="2:2">
      <c r="B111" s="1" t="s">
        <v>172</v>
      </c>
    </row>
    <row r="112" spans="2:2">
      <c r="B112" s="1" t="s">
        <v>173</v>
      </c>
    </row>
    <row r="113" spans="2:2">
      <c r="B113" s="1" t="s">
        <v>174</v>
      </c>
    </row>
    <row r="114" spans="2:2">
      <c r="B114" s="1" t="s">
        <v>175</v>
      </c>
    </row>
    <row r="117" spans="2:2">
      <c r="B117" s="1" t="s">
        <v>176</v>
      </c>
    </row>
    <row r="118" spans="2:2">
      <c r="B118" s="1" t="s">
        <v>177</v>
      </c>
    </row>
    <row r="119" spans="2:2">
      <c r="B119" s="1" t="s">
        <v>178</v>
      </c>
    </row>
    <row r="120" spans="2:2">
      <c r="B120" s="1" t="s">
        <v>179</v>
      </c>
    </row>
    <row r="121" spans="2:2">
      <c r="B121" s="1" t="s">
        <v>180</v>
      </c>
    </row>
    <row r="122" spans="2:2">
      <c r="B122" s="1" t="s">
        <v>181</v>
      </c>
    </row>
  </sheetData>
  <mergeCells count="1">
    <mergeCell ref="DH88:DI88"/>
  </mergeCells>
  <conditionalFormatting sqref="DH8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Sell",DH88)))</formula>
    </cfRule>
    <cfRule type="containsText" dxfId="3" priority="3" operator="containsText" text="Sell">
      <formula>NOT(ISERROR(SEARCH("Sell",DH88)))</formula>
    </cfRule>
    <cfRule type="containsText" dxfId="2" priority="4" operator="containsText" text="Hold">
      <formula>NOT(ISERROR(SEARCH("Hold",DH88)))</formula>
    </cfRule>
    <cfRule type="beginsWith" dxfId="1" priority="5" operator="beginsWith" text="Buy">
      <formula>LEFT(DH88,LEN("Buy"))="Buy"</formula>
    </cfRule>
    <cfRule type="beginsWith" dxfId="0" priority="6" operator="beginsWith" text="Strong">
      <formula>LEFT(DH88,LEN("Strong"))="Strong"</formula>
    </cfRule>
  </conditionalFormatting>
  <pageMargins left="0.7" right="0.7" top="0.75" bottom="0.75" header="0.3" footer="0.3"/>
  <ignoredErrors>
    <ignoredError sqref="CZ26:DI26 CJ16:CY16 CJ17:CY2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C1558"/>
  <sheetViews>
    <sheetView topLeftCell="H198" zoomScale="85" zoomScaleNormal="85" workbookViewId="0">
      <selection activeCell="AF71" sqref="AF71"/>
    </sheetView>
  </sheetViews>
  <sheetFormatPr defaultColWidth="9.140625" defaultRowHeight="14.25"/>
  <cols>
    <col min="1" max="7" width="0" style="1" hidden="1" customWidth="1"/>
    <col min="8" max="8" width="3.140625" style="1" customWidth="1"/>
    <col min="9" max="30" width="9.140625" style="1"/>
    <col min="31" max="31" width="2.85546875" style="1" customWidth="1"/>
    <col min="32" max="16384" width="9.140625" style="1"/>
  </cols>
  <sheetData>
    <row r="1" spans="8:81">
      <c r="CC1" s="1">
        <v>0</v>
      </c>
    </row>
    <row r="2" spans="8:81" ht="15">
      <c r="H2" s="2" t="s">
        <v>204</v>
      </c>
      <c r="AF2" s="2" t="s">
        <v>1169</v>
      </c>
    </row>
    <row r="32" spans="9:10">
      <c r="I32" s="1" t="s">
        <v>15</v>
      </c>
      <c r="J32" s="1" t="s">
        <v>16</v>
      </c>
    </row>
    <row r="33" spans="8:32">
      <c r="J33" s="1" t="s">
        <v>17</v>
      </c>
    </row>
    <row r="34" spans="8:32">
      <c r="J34" s="1" t="s">
        <v>18</v>
      </c>
    </row>
    <row r="35" spans="8:32" ht="15">
      <c r="AF35" s="2" t="s">
        <v>1168</v>
      </c>
    </row>
    <row r="36" spans="8:32" ht="15">
      <c r="H36" s="2" t="s">
        <v>208</v>
      </c>
      <c r="AF36" s="2" t="s">
        <v>182</v>
      </c>
    </row>
    <row r="37" spans="8:32">
      <c r="I37" s="1" t="s">
        <v>14</v>
      </c>
    </row>
    <row r="66" spans="8:32">
      <c r="I66" s="1" t="s">
        <v>15</v>
      </c>
      <c r="J66" s="1" t="s">
        <v>16</v>
      </c>
    </row>
    <row r="67" spans="8:32">
      <c r="J67" s="1" t="s">
        <v>17</v>
      </c>
    </row>
    <row r="68" spans="8:32">
      <c r="J68" s="1" t="s">
        <v>18</v>
      </c>
    </row>
    <row r="70" spans="8:32" ht="15">
      <c r="H70" s="2" t="s">
        <v>1170</v>
      </c>
      <c r="AF70" s="2" t="s">
        <v>183</v>
      </c>
    </row>
    <row r="102" spans="8:32">
      <c r="I102" s="1" t="s">
        <v>15</v>
      </c>
      <c r="J102" s="1" t="s">
        <v>16</v>
      </c>
    </row>
    <row r="103" spans="8:32">
      <c r="J103" s="1" t="s">
        <v>17</v>
      </c>
    </row>
    <row r="104" spans="8:32">
      <c r="J104" s="1" t="s">
        <v>18</v>
      </c>
    </row>
    <row r="106" spans="8:32" ht="15">
      <c r="H106" s="2" t="s">
        <v>207</v>
      </c>
      <c r="AF106" s="2" t="s">
        <v>184</v>
      </c>
    </row>
    <row r="107" spans="8:32">
      <c r="AF107" s="1" t="s">
        <v>185</v>
      </c>
    </row>
    <row r="135" spans="8:32">
      <c r="I135" s="1" t="s">
        <v>15</v>
      </c>
      <c r="J135" s="1" t="s">
        <v>16</v>
      </c>
    </row>
    <row r="136" spans="8:32">
      <c r="J136" s="1" t="s">
        <v>17</v>
      </c>
    </row>
    <row r="137" spans="8:32">
      <c r="J137" s="1" t="s">
        <v>18</v>
      </c>
    </row>
    <row r="139" spans="8:32" ht="15">
      <c r="H139" s="2" t="s">
        <v>206</v>
      </c>
      <c r="AF139" s="2" t="s">
        <v>186</v>
      </c>
    </row>
    <row r="140" spans="8:32">
      <c r="AF140" s="1" t="s">
        <v>187</v>
      </c>
    </row>
    <row r="155" ht="15" customHeight="1"/>
    <row r="168" spans="9:10">
      <c r="I168" s="1" t="s">
        <v>15</v>
      </c>
      <c r="J168" s="1" t="s">
        <v>16</v>
      </c>
    </row>
    <row r="169" spans="9:10">
      <c r="J169" s="1" t="s">
        <v>17</v>
      </c>
    </row>
    <row r="170" spans="9:10">
      <c r="J170" s="1" t="s">
        <v>18</v>
      </c>
    </row>
    <row r="186" spans="1:7">
      <c r="A186" s="1" t="s">
        <v>1164</v>
      </c>
    </row>
    <row r="187" spans="1:7">
      <c r="A187" s="24" t="s">
        <v>19</v>
      </c>
      <c r="B187" s="24" t="s">
        <v>20</v>
      </c>
      <c r="C187" s="24" t="s">
        <v>21</v>
      </c>
      <c r="D187" s="24" t="s">
        <v>22</v>
      </c>
      <c r="E187" s="24" t="s">
        <v>23</v>
      </c>
      <c r="F187" s="24" t="s">
        <v>24</v>
      </c>
      <c r="G187" s="24" t="s">
        <v>25</v>
      </c>
    </row>
    <row r="188" spans="1:7">
      <c r="A188" s="63">
        <v>347.12</v>
      </c>
      <c r="B188" s="63">
        <v>347.33</v>
      </c>
      <c r="C188" s="63">
        <v>326.5</v>
      </c>
      <c r="D188" s="63">
        <v>332.97</v>
      </c>
      <c r="E188" s="63">
        <v>2832981</v>
      </c>
      <c r="F188" s="63" t="s">
        <v>242</v>
      </c>
      <c r="G188" s="25">
        <f t="shared" ref="G188:G251" si="0">A188/D188-1</f>
        <v>4.2496320989878988E-2</v>
      </c>
    </row>
    <row r="189" spans="1:7">
      <c r="A189" s="63">
        <v>330.9</v>
      </c>
      <c r="B189" s="63">
        <v>331.86</v>
      </c>
      <c r="C189" s="63">
        <v>319.76</v>
      </c>
      <c r="D189" s="63">
        <v>325.70999999999998</v>
      </c>
      <c r="E189" s="63">
        <v>3416445</v>
      </c>
      <c r="F189" s="63" t="s">
        <v>243</v>
      </c>
      <c r="G189" s="25">
        <f t="shared" si="0"/>
        <v>1.593442018973934E-2</v>
      </c>
    </row>
    <row r="190" spans="1:7">
      <c r="A190" s="63">
        <v>322.70999999999998</v>
      </c>
      <c r="B190" s="63">
        <v>330.13</v>
      </c>
      <c r="C190" s="63">
        <v>319.58999999999997</v>
      </c>
      <c r="D190" s="63">
        <v>325.18</v>
      </c>
      <c r="E190" s="63">
        <v>1721116</v>
      </c>
      <c r="F190" s="63" t="s">
        <v>244</v>
      </c>
      <c r="G190" s="25">
        <f t="shared" si="0"/>
        <v>-7.5957930992066602E-3</v>
      </c>
    </row>
    <row r="191" spans="1:7">
      <c r="A191" s="63">
        <v>321.27499999999998</v>
      </c>
      <c r="B191" s="63">
        <v>326.2</v>
      </c>
      <c r="C191" s="63">
        <v>316.18380000000002</v>
      </c>
      <c r="D191" s="63">
        <v>322.52999999999997</v>
      </c>
      <c r="E191" s="63">
        <v>2171849</v>
      </c>
      <c r="F191" s="63" t="s">
        <v>245</v>
      </c>
      <c r="G191" s="25">
        <f t="shared" si="0"/>
        <v>-3.8911109044119652E-3</v>
      </c>
    </row>
    <row r="192" spans="1:7">
      <c r="A192" s="63">
        <v>322.91000000000003</v>
      </c>
      <c r="B192" s="63">
        <v>332.86</v>
      </c>
      <c r="C192" s="63">
        <v>321.50749999999999</v>
      </c>
      <c r="D192" s="63">
        <v>332.04</v>
      </c>
      <c r="E192" s="63">
        <v>2372266</v>
      </c>
      <c r="F192" s="63" t="s">
        <v>246</v>
      </c>
      <c r="G192" s="25">
        <f t="shared" si="0"/>
        <v>-2.7496687146126964E-2</v>
      </c>
    </row>
    <row r="193" spans="1:13">
      <c r="A193" s="63">
        <v>330.42</v>
      </c>
      <c r="B193" s="63">
        <v>334.86</v>
      </c>
      <c r="C193" s="63">
        <v>324.61</v>
      </c>
      <c r="D193" s="63">
        <v>325.75</v>
      </c>
      <c r="E193" s="63">
        <v>2044657</v>
      </c>
      <c r="F193" s="63" t="s">
        <v>247</v>
      </c>
      <c r="G193" s="25">
        <f t="shared" si="0"/>
        <v>1.4336147352264073E-2</v>
      </c>
    </row>
    <row r="194" spans="1:13">
      <c r="A194" s="63">
        <v>323.48</v>
      </c>
      <c r="B194" s="63">
        <v>325.41000000000003</v>
      </c>
      <c r="C194" s="63">
        <v>315.28059999999999</v>
      </c>
      <c r="D194" s="63">
        <v>318.06</v>
      </c>
      <c r="E194" s="63">
        <v>1412662</v>
      </c>
      <c r="F194" s="63" t="s">
        <v>248</v>
      </c>
      <c r="G194" s="25">
        <f t="shared" si="0"/>
        <v>1.7040809910079835E-2</v>
      </c>
    </row>
    <row r="195" spans="1:13">
      <c r="A195" s="63">
        <v>318</v>
      </c>
      <c r="B195" s="63">
        <v>322.26119999999997</v>
      </c>
      <c r="C195" s="63">
        <v>316.11</v>
      </c>
      <c r="D195" s="63">
        <v>320.01</v>
      </c>
      <c r="E195" s="63">
        <v>2258237</v>
      </c>
      <c r="F195" s="63" t="s">
        <v>249</v>
      </c>
      <c r="G195" s="25">
        <f t="shared" si="0"/>
        <v>-6.2810537170713276E-3</v>
      </c>
    </row>
    <row r="196" spans="1:13">
      <c r="A196" s="63">
        <v>320</v>
      </c>
      <c r="B196" s="63">
        <v>328.30130000000003</v>
      </c>
      <c r="C196" s="63">
        <v>308.5</v>
      </c>
      <c r="D196" s="63">
        <v>308.5</v>
      </c>
      <c r="E196" s="63">
        <v>4035784</v>
      </c>
      <c r="F196" s="63" t="s">
        <v>250</v>
      </c>
      <c r="G196" s="25">
        <f t="shared" si="0"/>
        <v>3.7277147487844386E-2</v>
      </c>
    </row>
    <row r="197" spans="1:13">
      <c r="A197" s="63">
        <v>300.82</v>
      </c>
      <c r="B197" s="63">
        <v>305.3</v>
      </c>
      <c r="C197" s="63">
        <v>296.35000000000002</v>
      </c>
      <c r="D197" s="63">
        <v>300.61</v>
      </c>
      <c r="E197" s="63">
        <v>2068852</v>
      </c>
      <c r="F197" s="63" t="s">
        <v>251</v>
      </c>
      <c r="G197" s="25">
        <f t="shared" si="0"/>
        <v>6.9857955490504331E-4</v>
      </c>
    </row>
    <row r="198" spans="1:13">
      <c r="A198" s="63">
        <v>298.82</v>
      </c>
      <c r="B198" s="63">
        <v>304.79000000000002</v>
      </c>
      <c r="C198" s="63">
        <v>296.36</v>
      </c>
      <c r="D198" s="63">
        <v>304.20999999999998</v>
      </c>
      <c r="E198" s="63">
        <v>2309985</v>
      </c>
      <c r="F198" s="63" t="s">
        <v>252</v>
      </c>
      <c r="G198" s="25">
        <f t="shared" si="0"/>
        <v>-1.7718023733604982E-2</v>
      </c>
    </row>
    <row r="199" spans="1:13">
      <c r="A199" s="63">
        <v>301.58</v>
      </c>
      <c r="B199" s="63">
        <v>312.99</v>
      </c>
      <c r="C199" s="63">
        <v>293.15499999999997</v>
      </c>
      <c r="D199" s="63">
        <v>311.05</v>
      </c>
      <c r="E199" s="63">
        <v>2776630</v>
      </c>
      <c r="F199" s="63" t="s">
        <v>253</v>
      </c>
      <c r="G199" s="25">
        <f t="shared" si="0"/>
        <v>-3.0445266034399676E-2</v>
      </c>
    </row>
    <row r="200" spans="1:13">
      <c r="A200" s="63">
        <v>309.06</v>
      </c>
      <c r="B200" s="63">
        <v>312.16000000000003</v>
      </c>
      <c r="C200" s="63">
        <v>307.25</v>
      </c>
      <c r="D200" s="63">
        <v>310</v>
      </c>
      <c r="E200" s="63">
        <v>1748745</v>
      </c>
      <c r="F200" s="63" t="s">
        <v>254</v>
      </c>
      <c r="G200" s="25">
        <f t="shared" si="0"/>
        <v>-3.0322580645161246E-3</v>
      </c>
    </row>
    <row r="201" spans="1:13">
      <c r="A201" s="63">
        <v>308.48</v>
      </c>
      <c r="B201" s="63">
        <v>309.58999999999997</v>
      </c>
      <c r="C201" s="63">
        <v>303.92</v>
      </c>
      <c r="D201" s="63">
        <v>306.52</v>
      </c>
      <c r="E201" s="63">
        <v>1372053</v>
      </c>
      <c r="F201" s="63" t="s">
        <v>255</v>
      </c>
      <c r="G201" s="25">
        <f t="shared" si="0"/>
        <v>6.3943625212059541E-3</v>
      </c>
      <c r="I201" s="26"/>
      <c r="J201" s="26" t="s">
        <v>26</v>
      </c>
      <c r="K201" s="27">
        <f>MIN(G188:G1109)</f>
        <v>-9.6421722927746978E-2</v>
      </c>
    </row>
    <row r="202" spans="1:13">
      <c r="A202" s="63">
        <v>307.19</v>
      </c>
      <c r="B202" s="63">
        <v>307.45499999999998</v>
      </c>
      <c r="C202" s="63">
        <v>296.99009999999998</v>
      </c>
      <c r="D202" s="63">
        <v>300.49</v>
      </c>
      <c r="E202" s="63">
        <v>2414066</v>
      </c>
      <c r="F202" s="63" t="s">
        <v>256</v>
      </c>
      <c r="G202" s="25">
        <f t="shared" si="0"/>
        <v>2.229691503876996E-2</v>
      </c>
      <c r="I202" s="26"/>
      <c r="J202" s="26" t="s">
        <v>27</v>
      </c>
      <c r="K202" s="27">
        <f>MAX(G188:G1109)</f>
        <v>0.15752431096545405</v>
      </c>
    </row>
    <row r="203" spans="1:13">
      <c r="A203" s="63">
        <v>307.98</v>
      </c>
      <c r="B203" s="63">
        <v>317.99</v>
      </c>
      <c r="C203" s="63">
        <v>305.89</v>
      </c>
      <c r="D203" s="63">
        <v>317.35000000000002</v>
      </c>
      <c r="E203" s="63">
        <v>2321609</v>
      </c>
      <c r="F203" s="63" t="s">
        <v>257</v>
      </c>
      <c r="G203" s="25">
        <f t="shared" si="0"/>
        <v>-2.9525760201670082E-2</v>
      </c>
      <c r="I203" s="26"/>
      <c r="J203" s="26" t="s">
        <v>28</v>
      </c>
      <c r="K203" s="27">
        <f>AVERAGE(G188:G1109)</f>
        <v>1.2874627680160681E-3</v>
      </c>
    </row>
    <row r="204" spans="1:13">
      <c r="A204" s="63">
        <v>319.55</v>
      </c>
      <c r="B204" s="63">
        <v>323.97000000000003</v>
      </c>
      <c r="C204" s="63">
        <v>315.8</v>
      </c>
      <c r="D204" s="63">
        <v>317.3</v>
      </c>
      <c r="E204" s="63">
        <v>1745933</v>
      </c>
      <c r="F204" s="63" t="s">
        <v>258</v>
      </c>
      <c r="G204" s="25">
        <f t="shared" si="0"/>
        <v>7.091080995902832E-3</v>
      </c>
      <c r="I204" s="26"/>
      <c r="J204" s="26" t="s">
        <v>29</v>
      </c>
      <c r="K204" s="27">
        <f>MEDIAN(G188:G1109)</f>
        <v>5.4237317490746229E-4</v>
      </c>
    </row>
    <row r="205" spans="1:13" ht="15">
      <c r="A205" s="63">
        <v>315.94</v>
      </c>
      <c r="B205" s="63">
        <v>319.49</v>
      </c>
      <c r="C205" s="63">
        <v>314.14</v>
      </c>
      <c r="D205" s="63">
        <v>316.35000000000002</v>
      </c>
      <c r="E205" s="63">
        <v>1362873</v>
      </c>
      <c r="F205" s="63" t="s">
        <v>259</v>
      </c>
      <c r="G205" s="25">
        <f t="shared" si="0"/>
        <v>-1.2960328749803685E-3</v>
      </c>
      <c r="I205" s="26"/>
      <c r="J205" s="26" t="s">
        <v>30</v>
      </c>
      <c r="K205" s="27">
        <f>_xlfn.STDEV.P(G188:G1109)</f>
        <v>2.5651578141112383E-2</v>
      </c>
      <c r="M205" s="2"/>
    </row>
    <row r="206" spans="1:13" ht="15">
      <c r="A206" s="63">
        <v>316.58</v>
      </c>
      <c r="B206" s="63">
        <v>318.47989999999999</v>
      </c>
      <c r="C206" s="63">
        <v>310.31</v>
      </c>
      <c r="D206" s="63">
        <v>310.77</v>
      </c>
      <c r="E206" s="63">
        <v>1664877</v>
      </c>
      <c r="F206" s="63" t="s">
        <v>260</v>
      </c>
      <c r="G206" s="25">
        <f t="shared" si="0"/>
        <v>1.8695498278469724E-2</v>
      </c>
      <c r="I206" s="26"/>
      <c r="J206" s="28" t="s">
        <v>31</v>
      </c>
      <c r="K206" s="27">
        <f>3*K205</f>
        <v>7.6954734423337154E-2</v>
      </c>
      <c r="L206" s="26"/>
      <c r="M206" s="2" t="s">
        <v>198</v>
      </c>
    </row>
    <row r="207" spans="1:13" ht="15">
      <c r="A207" s="63">
        <v>310.68</v>
      </c>
      <c r="B207" s="63">
        <v>317.62</v>
      </c>
      <c r="C207" s="63">
        <v>309.98500000000001</v>
      </c>
      <c r="D207" s="63">
        <v>310.41000000000003</v>
      </c>
      <c r="E207" s="63">
        <v>1386594</v>
      </c>
      <c r="F207" s="63" t="s">
        <v>261</v>
      </c>
      <c r="G207" s="25">
        <f t="shared" si="0"/>
        <v>8.6981733835878039E-4</v>
      </c>
      <c r="I207" s="26"/>
      <c r="J207" s="28" t="s">
        <v>32</v>
      </c>
      <c r="K207" s="26">
        <v>1.1200000000000001</v>
      </c>
      <c r="L207" s="26"/>
      <c r="M207" s="2" t="s">
        <v>33</v>
      </c>
    </row>
    <row r="208" spans="1:13">
      <c r="A208" s="63">
        <v>310.16000000000003</v>
      </c>
      <c r="B208" s="63">
        <v>318</v>
      </c>
      <c r="C208" s="63">
        <v>309.2</v>
      </c>
      <c r="D208" s="63">
        <v>313.92</v>
      </c>
      <c r="E208" s="63">
        <v>1844417</v>
      </c>
      <c r="F208" s="63" t="s">
        <v>262</v>
      </c>
      <c r="G208" s="25">
        <f t="shared" si="0"/>
        <v>-1.1977573904179417E-2</v>
      </c>
    </row>
    <row r="209" spans="1:17">
      <c r="A209" s="63">
        <v>312.52</v>
      </c>
      <c r="B209" s="63">
        <v>318.2</v>
      </c>
      <c r="C209" s="63">
        <v>310.7</v>
      </c>
      <c r="D209" s="63">
        <v>314.98</v>
      </c>
      <c r="E209" s="63">
        <v>1622647</v>
      </c>
      <c r="F209" s="63" t="s">
        <v>263</v>
      </c>
      <c r="G209" s="25">
        <f t="shared" si="0"/>
        <v>-7.8100196837895819E-3</v>
      </c>
      <c r="I209" s="29" t="s">
        <v>34</v>
      </c>
      <c r="J209" s="30">
        <v>922</v>
      </c>
    </row>
    <row r="210" spans="1:17" ht="15" thickBot="1">
      <c r="A210" s="63">
        <v>314.20999999999998</v>
      </c>
      <c r="B210" s="63">
        <v>315.52999999999997</v>
      </c>
      <c r="C210" s="63">
        <v>304.77999999999997</v>
      </c>
      <c r="D210" s="63">
        <v>313.92500000000001</v>
      </c>
      <c r="E210" s="63">
        <v>2624924</v>
      </c>
      <c r="F210" s="63" t="s">
        <v>264</v>
      </c>
      <c r="G210" s="25">
        <f t="shared" si="0"/>
        <v>9.0786015768085093E-4</v>
      </c>
      <c r="I210" s="1" t="s">
        <v>35</v>
      </c>
      <c r="L210" s="1" t="s">
        <v>36</v>
      </c>
      <c r="P210" s="1" t="s">
        <v>37</v>
      </c>
    </row>
    <row r="211" spans="1:17" ht="15" customHeight="1">
      <c r="A211" s="63">
        <v>317.23500000000001</v>
      </c>
      <c r="B211" s="63">
        <v>321.79899999999998</v>
      </c>
      <c r="C211" s="63">
        <v>313.85000000000002</v>
      </c>
      <c r="D211" s="63">
        <v>320.85000000000002</v>
      </c>
      <c r="E211" s="63">
        <v>2080360</v>
      </c>
      <c r="F211" s="63" t="s">
        <v>265</v>
      </c>
      <c r="G211" s="25">
        <f t="shared" si="0"/>
        <v>-1.1266947171575503E-2</v>
      </c>
      <c r="I211" s="66" t="s">
        <v>38</v>
      </c>
      <c r="J211" s="66" t="s">
        <v>39</v>
      </c>
      <c r="L211" s="31" t="s">
        <v>40</v>
      </c>
      <c r="M211" s="32" t="s">
        <v>41</v>
      </c>
      <c r="P211" s="31" t="s">
        <v>42</v>
      </c>
      <c r="Q211" s="32" t="s">
        <v>43</v>
      </c>
    </row>
    <row r="212" spans="1:17" ht="15">
      <c r="A212" s="63">
        <v>322.77</v>
      </c>
      <c r="B212" s="63">
        <v>326</v>
      </c>
      <c r="C212" s="63">
        <v>319.77999999999997</v>
      </c>
      <c r="D212" s="63">
        <v>322.07</v>
      </c>
      <c r="E212" s="63">
        <v>1860313</v>
      </c>
      <c r="F212" s="63" t="s">
        <v>266</v>
      </c>
      <c r="G212" s="25">
        <f t="shared" si="0"/>
        <v>2.1734405564006742E-3</v>
      </c>
      <c r="I212" s="64">
        <v>-7.8000000000000055E-2</v>
      </c>
      <c r="J212">
        <v>3</v>
      </c>
      <c r="L212" s="62">
        <f t="shared" ref="L212:L213" si="1">L213-0.001</f>
        <v>-7.9000000000000056E-2</v>
      </c>
      <c r="M212" s="1">
        <f>_xlfn.NORM.DIST(L212,$K$203,$K$205,FALSE)</f>
        <v>0.11601948329836063</v>
      </c>
      <c r="O212" s="1" t="s">
        <v>188</v>
      </c>
      <c r="P212" s="62">
        <f>K203</f>
        <v>1.2874627680160681E-3</v>
      </c>
      <c r="Q212" s="1">
        <v>0</v>
      </c>
    </row>
    <row r="213" spans="1:17" ht="15">
      <c r="A213" s="63">
        <v>322.23</v>
      </c>
      <c r="B213" s="63">
        <v>327.9357</v>
      </c>
      <c r="C213" s="63">
        <v>319.68</v>
      </c>
      <c r="D213" s="63">
        <v>327.89</v>
      </c>
      <c r="E213" s="63">
        <v>1749115</v>
      </c>
      <c r="F213" s="63" t="s">
        <v>267</v>
      </c>
      <c r="G213" s="25">
        <f t="shared" si="0"/>
        <v>-1.7261886608313626E-2</v>
      </c>
      <c r="I213" s="64">
        <v>-7.7000000000000055E-2</v>
      </c>
      <c r="J213">
        <v>0</v>
      </c>
      <c r="L213" s="62">
        <f t="shared" si="1"/>
        <v>-7.8000000000000055E-2</v>
      </c>
      <c r="M213" s="1">
        <f t="shared" ref="M213:M276" si="2">_xlfn.NORM.DIST(L213,$K$203,$K$205,FALSE)</f>
        <v>0.13097612318842955</v>
      </c>
      <c r="P213" s="62">
        <f>K203</f>
        <v>1.2874627680160681E-3</v>
      </c>
      <c r="Q213" s="1">
        <v>15.5</v>
      </c>
    </row>
    <row r="214" spans="1:17" ht="15">
      <c r="A214" s="63">
        <v>326.20999999999998</v>
      </c>
      <c r="B214" s="63">
        <v>333.59</v>
      </c>
      <c r="C214" s="63">
        <v>323.26</v>
      </c>
      <c r="D214" s="63">
        <v>325.44</v>
      </c>
      <c r="E214" s="63">
        <v>2020663</v>
      </c>
      <c r="F214" s="63" t="s">
        <v>268</v>
      </c>
      <c r="G214" s="25">
        <f t="shared" si="0"/>
        <v>2.3660275319565827E-3</v>
      </c>
      <c r="I214" s="64">
        <v>-7.6000000000000054E-2</v>
      </c>
      <c r="J214">
        <v>2</v>
      </c>
      <c r="L214" s="62">
        <f t="shared" ref="L214:L222" si="3">L215-0.001</f>
        <v>-7.7000000000000055E-2</v>
      </c>
      <c r="M214" s="1">
        <f t="shared" si="2"/>
        <v>0.147636356027712</v>
      </c>
      <c r="O214" s="39" t="s">
        <v>189</v>
      </c>
      <c r="P214" s="62">
        <f>($K$205*-3)+$K$203</f>
        <v>-7.5667271655321083E-2</v>
      </c>
      <c r="Q214" s="1">
        <v>0</v>
      </c>
    </row>
    <row r="215" spans="1:17" ht="15">
      <c r="A215" s="63">
        <v>327.63</v>
      </c>
      <c r="B215" s="63">
        <v>342.75</v>
      </c>
      <c r="C215" s="63">
        <v>322.50009999999997</v>
      </c>
      <c r="D215" s="63">
        <v>339.76499999999999</v>
      </c>
      <c r="E215" s="63">
        <v>2788126</v>
      </c>
      <c r="F215" s="63" t="s">
        <v>269</v>
      </c>
      <c r="G215" s="25">
        <f t="shared" si="0"/>
        <v>-3.5715862434329559E-2</v>
      </c>
      <c r="I215" s="64">
        <v>-7.5000000000000053E-2</v>
      </c>
      <c r="J215">
        <v>0</v>
      </c>
      <c r="L215" s="62">
        <f t="shared" si="3"/>
        <v>-7.6000000000000054E-2</v>
      </c>
      <c r="M215" s="1">
        <f t="shared" si="2"/>
        <v>0.16616306127850716</v>
      </c>
      <c r="O215" s="40"/>
      <c r="P215" s="62">
        <f>($K$205*-3)+$K$203</f>
        <v>-7.5667271655321083E-2</v>
      </c>
      <c r="Q215" s="1">
        <v>1</v>
      </c>
    </row>
    <row r="216" spans="1:17" ht="15">
      <c r="A216" s="63">
        <v>338.57</v>
      </c>
      <c r="B216" s="63">
        <v>339.73</v>
      </c>
      <c r="C216" s="63">
        <v>330.92</v>
      </c>
      <c r="D216" s="63">
        <v>333.05</v>
      </c>
      <c r="E216" s="63">
        <v>1891814</v>
      </c>
      <c r="F216" s="63" t="s">
        <v>270</v>
      </c>
      <c r="G216" s="25">
        <f t="shared" si="0"/>
        <v>1.657408797477844E-2</v>
      </c>
      <c r="I216" s="64">
        <v>-7.4000000000000052E-2</v>
      </c>
      <c r="J216">
        <v>0</v>
      </c>
      <c r="L216" s="62">
        <f t="shared" si="3"/>
        <v>-7.5000000000000053E-2</v>
      </c>
      <c r="M216" s="1">
        <f t="shared" si="2"/>
        <v>0.18673066059432475</v>
      </c>
      <c r="O216" s="39" t="s">
        <v>190</v>
      </c>
      <c r="P216" s="62">
        <f>($K$205*-2)+$K$203</f>
        <v>-5.0015693514208696E-2</v>
      </c>
      <c r="Q216" s="1">
        <v>0</v>
      </c>
    </row>
    <row r="217" spans="1:17" ht="15">
      <c r="A217" s="63">
        <v>331.49</v>
      </c>
      <c r="B217" s="63">
        <v>338.3</v>
      </c>
      <c r="C217" s="63">
        <v>328</v>
      </c>
      <c r="D217" s="63">
        <v>336.24</v>
      </c>
      <c r="E217" s="63">
        <v>1829803</v>
      </c>
      <c r="F217" s="63" t="s">
        <v>271</v>
      </c>
      <c r="G217" s="25">
        <f t="shared" si="0"/>
        <v>-1.4126814180347336E-2</v>
      </c>
      <c r="I217" s="64">
        <v>-7.3000000000000051E-2</v>
      </c>
      <c r="J217">
        <v>0</v>
      </c>
      <c r="L217" s="62">
        <f t="shared" si="3"/>
        <v>-7.4000000000000052E-2</v>
      </c>
      <c r="M217" s="1">
        <f t="shared" si="2"/>
        <v>0.20952544124715913</v>
      </c>
      <c r="O217" s="40"/>
      <c r="P217" s="62">
        <f>($K$205*-2)+$K$203</f>
        <v>-5.0015693514208696E-2</v>
      </c>
      <c r="Q217" s="1">
        <v>2</v>
      </c>
    </row>
    <row r="218" spans="1:17" ht="15">
      <c r="A218" s="63">
        <v>335.76499999999999</v>
      </c>
      <c r="B218" s="63">
        <v>342.2</v>
      </c>
      <c r="C218" s="63">
        <v>332.25</v>
      </c>
      <c r="D218" s="63">
        <v>338.71</v>
      </c>
      <c r="E218" s="63">
        <v>1961007</v>
      </c>
      <c r="F218" s="63" t="s">
        <v>272</v>
      </c>
      <c r="G218" s="25">
        <f t="shared" si="0"/>
        <v>-8.6947536240441492E-3</v>
      </c>
      <c r="I218" s="64">
        <v>-7.200000000000005E-2</v>
      </c>
      <c r="J218">
        <v>0</v>
      </c>
      <c r="L218" s="62">
        <f t="shared" si="3"/>
        <v>-7.3000000000000051E-2</v>
      </c>
      <c r="M218" s="1">
        <f t="shared" si="2"/>
        <v>0.23474582430188048</v>
      </c>
      <c r="O218" s="41" t="s">
        <v>191</v>
      </c>
      <c r="P218" s="62">
        <f>($K$205*-1)+$K$203</f>
        <v>-2.4364115373096316E-2</v>
      </c>
      <c r="Q218" s="1">
        <v>0</v>
      </c>
    </row>
    <row r="219" spans="1:17" ht="15">
      <c r="A219" s="63">
        <v>336.41</v>
      </c>
      <c r="B219" s="63">
        <v>345.25</v>
      </c>
      <c r="C219" s="63">
        <v>322</v>
      </c>
      <c r="D219" s="63">
        <v>335.26</v>
      </c>
      <c r="E219" s="63">
        <v>3632033</v>
      </c>
      <c r="F219" s="63" t="s">
        <v>273</v>
      </c>
      <c r="G219" s="25">
        <f t="shared" si="0"/>
        <v>3.4301735966117963E-3</v>
      </c>
      <c r="I219" s="64">
        <v>-7.1000000000000049E-2</v>
      </c>
      <c r="J219">
        <v>0</v>
      </c>
      <c r="L219" s="62">
        <f t="shared" si="3"/>
        <v>-7.200000000000005E-2</v>
      </c>
      <c r="M219" s="1">
        <f t="shared" si="2"/>
        <v>0.26260256811470856</v>
      </c>
      <c r="P219" s="62">
        <f>($K$205*-1)+$K$203</f>
        <v>-2.4364115373096316E-2</v>
      </c>
      <c r="Q219" s="1">
        <v>9.5</v>
      </c>
    </row>
    <row r="220" spans="1:17" ht="15">
      <c r="A220" s="63">
        <v>338.46</v>
      </c>
      <c r="B220" s="63">
        <v>344.06</v>
      </c>
      <c r="C220" s="63">
        <v>332.3</v>
      </c>
      <c r="D220" s="63">
        <v>343.62</v>
      </c>
      <c r="E220" s="63">
        <v>2946520</v>
      </c>
      <c r="F220" s="63" t="s">
        <v>274</v>
      </c>
      <c r="G220" s="25">
        <f t="shared" si="0"/>
        <v>-1.501658809149653E-2</v>
      </c>
      <c r="I220" s="64">
        <v>-7.0000000000000048E-2</v>
      </c>
      <c r="J220">
        <v>1</v>
      </c>
      <c r="L220" s="62">
        <f t="shared" si="3"/>
        <v>-7.1000000000000049E-2</v>
      </c>
      <c r="M220" s="1">
        <f t="shared" si="2"/>
        <v>0.2933188973035602</v>
      </c>
      <c r="O220" s="1" t="s">
        <v>192</v>
      </c>
      <c r="P220" s="62">
        <f>($K$205*1)+$K$203</f>
        <v>2.6939040909128451E-2</v>
      </c>
      <c r="Q220" s="1">
        <v>0</v>
      </c>
    </row>
    <row r="221" spans="1:17" ht="15" customHeight="1">
      <c r="A221" s="63">
        <v>343.57</v>
      </c>
      <c r="B221" s="63">
        <v>353.77699999999999</v>
      </c>
      <c r="C221" s="63">
        <v>338.96</v>
      </c>
      <c r="D221" s="63">
        <v>352.03</v>
      </c>
      <c r="E221" s="63">
        <v>3380492</v>
      </c>
      <c r="F221" s="63" t="s">
        <v>275</v>
      </c>
      <c r="G221" s="25">
        <f t="shared" si="0"/>
        <v>-2.4032042723631464E-2</v>
      </c>
      <c r="I221" s="64">
        <v>-6.9000000000000047E-2</v>
      </c>
      <c r="J221">
        <v>0</v>
      </c>
      <c r="L221" s="62">
        <f t="shared" si="3"/>
        <v>-7.0000000000000048E-2</v>
      </c>
      <c r="M221" s="1">
        <f t="shared" si="2"/>
        <v>0.32713054698324751</v>
      </c>
      <c r="P221" s="62">
        <f>($K$205*1)+$K$203</f>
        <v>2.6939040909128451E-2</v>
      </c>
      <c r="Q221" s="1">
        <v>9.5</v>
      </c>
    </row>
    <row r="222" spans="1:17" ht="15">
      <c r="A222" s="63">
        <v>354.89</v>
      </c>
      <c r="B222" s="63">
        <v>357</v>
      </c>
      <c r="C222" s="63">
        <v>344.57600000000002</v>
      </c>
      <c r="D222" s="63">
        <v>345.13</v>
      </c>
      <c r="E222" s="63">
        <v>2899262</v>
      </c>
      <c r="F222" s="63" t="s">
        <v>276</v>
      </c>
      <c r="G222" s="25">
        <f t="shared" si="0"/>
        <v>2.8279199142352107E-2</v>
      </c>
      <c r="I222" s="64">
        <v>-6.8000000000000047E-2</v>
      </c>
      <c r="J222">
        <v>1</v>
      </c>
      <c r="L222" s="62">
        <f t="shared" si="3"/>
        <v>-6.9000000000000047E-2</v>
      </c>
      <c r="M222" s="1">
        <f t="shared" si="2"/>
        <v>0.36428571179215252</v>
      </c>
      <c r="O222" s="42" t="s">
        <v>193</v>
      </c>
      <c r="P222" s="62">
        <f>($K$205*2)+$K$203</f>
        <v>5.2590619050240837E-2</v>
      </c>
      <c r="Q222" s="1">
        <v>0</v>
      </c>
    </row>
    <row r="223" spans="1:17" ht="15">
      <c r="A223" s="63">
        <v>340.77</v>
      </c>
      <c r="B223" s="63">
        <v>343.37990000000002</v>
      </c>
      <c r="C223" s="63">
        <v>327.01</v>
      </c>
      <c r="D223" s="63">
        <v>336.435</v>
      </c>
      <c r="E223" s="63">
        <v>2871922</v>
      </c>
      <c r="F223" s="63" t="s">
        <v>277</v>
      </c>
      <c r="G223" s="25">
        <f t="shared" si="0"/>
        <v>1.2885104106290957E-2</v>
      </c>
      <c r="I223" s="64">
        <v>-6.7000000000000046E-2</v>
      </c>
      <c r="J223">
        <v>1</v>
      </c>
      <c r="L223" s="62">
        <f t="shared" ref="L223:L259" si="4">L224-0.001</f>
        <v>-6.8000000000000047E-2</v>
      </c>
      <c r="M223" s="1">
        <f t="shared" si="2"/>
        <v>0.40504488907352948</v>
      </c>
      <c r="P223" s="62">
        <f>($K$205*2)+$K$203</f>
        <v>5.2590619050240837E-2</v>
      </c>
      <c r="Q223" s="1">
        <v>2</v>
      </c>
    </row>
    <row r="224" spans="1:17" ht="15">
      <c r="A224" s="63">
        <v>347.84</v>
      </c>
      <c r="B224" s="63">
        <v>354.01</v>
      </c>
      <c r="C224" s="63">
        <v>344.27499999999998</v>
      </c>
      <c r="D224" s="63">
        <v>349.48</v>
      </c>
      <c r="E224" s="63">
        <v>3581050</v>
      </c>
      <c r="F224" s="63" t="s">
        <v>278</v>
      </c>
      <c r="G224" s="25">
        <f t="shared" si="0"/>
        <v>-4.6926862767541211E-3</v>
      </c>
      <c r="I224" s="64">
        <v>-6.6000000000000045E-2</v>
      </c>
      <c r="J224">
        <v>0</v>
      </c>
      <c r="L224" s="62">
        <f t="shared" si="4"/>
        <v>-6.7000000000000046E-2</v>
      </c>
      <c r="M224" s="1">
        <f t="shared" si="2"/>
        <v>0.44968060552846106</v>
      </c>
      <c r="O224" s="42" t="s">
        <v>194</v>
      </c>
      <c r="P224" s="62">
        <f>($K$205*3)+$K$203</f>
        <v>7.8242197191353224E-2</v>
      </c>
      <c r="Q224" s="1">
        <v>0</v>
      </c>
    </row>
    <row r="225" spans="1:17" ht="15">
      <c r="A225" s="63">
        <v>345.27</v>
      </c>
      <c r="B225" s="63">
        <v>348.1345</v>
      </c>
      <c r="C225" s="63">
        <v>331.5</v>
      </c>
      <c r="D225" s="63">
        <v>331.5</v>
      </c>
      <c r="E225" s="63">
        <v>3026626</v>
      </c>
      <c r="F225" s="63" t="s">
        <v>279</v>
      </c>
      <c r="G225" s="25">
        <f t="shared" si="0"/>
        <v>4.1538461538461524E-2</v>
      </c>
      <c r="I225" s="64">
        <v>-6.5000000000000044E-2</v>
      </c>
      <c r="J225">
        <v>0</v>
      </c>
      <c r="L225" s="62">
        <f t="shared" si="4"/>
        <v>-6.6000000000000045E-2</v>
      </c>
      <c r="M225" s="1">
        <f t="shared" si="2"/>
        <v>0.49847701674298095</v>
      </c>
      <c r="O225" s="42"/>
      <c r="P225" s="62">
        <f>($K$205*3)+$K$203</f>
        <v>7.8242197191353224E-2</v>
      </c>
      <c r="Q225" s="1">
        <v>1</v>
      </c>
    </row>
    <row r="226" spans="1:17" ht="15">
      <c r="A226" s="63">
        <v>330.52</v>
      </c>
      <c r="B226" s="63">
        <v>339.24</v>
      </c>
      <c r="C226" s="63">
        <v>328.7</v>
      </c>
      <c r="D226" s="63">
        <v>332</v>
      </c>
      <c r="E226" s="63">
        <v>2694142</v>
      </c>
      <c r="F226" s="63" t="s">
        <v>280</v>
      </c>
      <c r="G226" s="25">
        <f t="shared" si="0"/>
        <v>-4.4578313253013091E-3</v>
      </c>
      <c r="I226" s="64">
        <v>-6.4000000000000043E-2</v>
      </c>
      <c r="J226">
        <v>0</v>
      </c>
      <c r="L226" s="62">
        <f t="shared" si="4"/>
        <v>-6.5000000000000044E-2</v>
      </c>
      <c r="M226" s="1">
        <f t="shared" si="2"/>
        <v>0.55172936922280391</v>
      </c>
    </row>
    <row r="227" spans="1:17" ht="15">
      <c r="A227" s="63">
        <v>328.66</v>
      </c>
      <c r="B227" s="63">
        <v>331.99990000000003</v>
      </c>
      <c r="C227" s="63">
        <v>322.5</v>
      </c>
      <c r="D227" s="63">
        <v>330.08499999999998</v>
      </c>
      <c r="E227" s="63">
        <v>1692320</v>
      </c>
      <c r="F227" s="63" t="s">
        <v>281</v>
      </c>
      <c r="G227" s="25">
        <f t="shared" si="0"/>
        <v>-4.3170698456457268E-3</v>
      </c>
      <c r="I227" s="64">
        <v>-6.3000000000000042E-2</v>
      </c>
      <c r="J227">
        <v>0</v>
      </c>
      <c r="L227" s="62">
        <f t="shared" si="4"/>
        <v>-6.4000000000000043E-2</v>
      </c>
      <c r="M227" s="1">
        <f t="shared" si="2"/>
        <v>0.60974331495849732</v>
      </c>
    </row>
    <row r="228" spans="1:17" ht="15">
      <c r="A228" s="63">
        <v>327.35000000000002</v>
      </c>
      <c r="B228" s="63">
        <v>328.28</v>
      </c>
      <c r="C228" s="63">
        <v>321.02999999999997</v>
      </c>
      <c r="D228" s="63">
        <v>322.5</v>
      </c>
      <c r="E228" s="63">
        <v>1366078</v>
      </c>
      <c r="F228" s="63" t="s">
        <v>282</v>
      </c>
      <c r="G228" s="25">
        <f t="shared" si="0"/>
        <v>1.5038759689922632E-2</v>
      </c>
      <c r="I228" s="64">
        <v>-6.2000000000000048E-2</v>
      </c>
      <c r="J228">
        <v>0</v>
      </c>
      <c r="L228" s="62">
        <f t="shared" si="4"/>
        <v>-6.3000000000000042E-2</v>
      </c>
      <c r="M228" s="1">
        <f t="shared" si="2"/>
        <v>0.67283406910378785</v>
      </c>
    </row>
    <row r="229" spans="1:17" ht="15">
      <c r="A229" s="63">
        <v>321.67</v>
      </c>
      <c r="B229" s="63">
        <v>326.92</v>
      </c>
      <c r="C229" s="63">
        <v>320.89580000000001</v>
      </c>
      <c r="D229" s="63">
        <v>325.08</v>
      </c>
      <c r="E229" s="63">
        <v>1818050</v>
      </c>
      <c r="F229" s="63" t="s">
        <v>283</v>
      </c>
      <c r="G229" s="25">
        <f t="shared" si="0"/>
        <v>-1.0489725606004585E-2</v>
      </c>
      <c r="I229" s="64">
        <v>-6.1000000000000047E-2</v>
      </c>
      <c r="J229">
        <v>1</v>
      </c>
      <c r="L229" s="62">
        <f t="shared" si="4"/>
        <v>-6.2000000000000048E-2</v>
      </c>
      <c r="M229" s="1">
        <f t="shared" si="2"/>
        <v>0.74132540209057185</v>
      </c>
    </row>
    <row r="230" spans="1:17" ht="15">
      <c r="A230" s="63">
        <v>323.7</v>
      </c>
      <c r="B230" s="63">
        <v>343.23</v>
      </c>
      <c r="C230" s="63">
        <v>322.8</v>
      </c>
      <c r="D230" s="63">
        <v>329.39</v>
      </c>
      <c r="E230" s="63">
        <v>3821438</v>
      </c>
      <c r="F230" s="63" t="s">
        <v>284</v>
      </c>
      <c r="G230" s="25">
        <f t="shared" si="0"/>
        <v>-1.727435562706825E-2</v>
      </c>
      <c r="I230" s="64">
        <v>-6.0000000000000046E-2</v>
      </c>
      <c r="J230">
        <v>0</v>
      </c>
      <c r="L230" s="62">
        <f t="shared" si="4"/>
        <v>-6.1000000000000047E-2</v>
      </c>
      <c r="M230" s="1">
        <f t="shared" si="2"/>
        <v>0.81554845843492219</v>
      </c>
    </row>
    <row r="231" spans="1:17" ht="15">
      <c r="A231" s="63">
        <v>317.79000000000002</v>
      </c>
      <c r="B231" s="63">
        <v>318.74239999999998</v>
      </c>
      <c r="C231" s="63">
        <v>311.39499999999998</v>
      </c>
      <c r="D231" s="63">
        <v>318</v>
      </c>
      <c r="E231" s="63">
        <v>1703219</v>
      </c>
      <c r="F231" s="63" t="s">
        <v>285</v>
      </c>
      <c r="G231" s="25">
        <f t="shared" si="0"/>
        <v>-6.6037735849044932E-4</v>
      </c>
      <c r="I231" s="64">
        <v>-5.9000000000000045E-2</v>
      </c>
      <c r="J231">
        <v>1</v>
      </c>
      <c r="L231" s="62">
        <f t="shared" si="4"/>
        <v>-6.0000000000000046E-2</v>
      </c>
      <c r="M231" s="1">
        <f t="shared" si="2"/>
        <v>0.89584039561569551</v>
      </c>
    </row>
    <row r="232" spans="1:17" ht="15">
      <c r="A232" s="63">
        <v>317.88</v>
      </c>
      <c r="B232" s="63">
        <v>325.64</v>
      </c>
      <c r="C232" s="63">
        <v>316.64999999999998</v>
      </c>
      <c r="D232" s="63">
        <v>324.42</v>
      </c>
      <c r="E232" s="63">
        <v>1934699</v>
      </c>
      <c r="F232" s="63" t="s">
        <v>286</v>
      </c>
      <c r="G232" s="25">
        <f t="shared" si="0"/>
        <v>-2.0159053079341627E-2</v>
      </c>
      <c r="I232" s="64">
        <v>-5.8000000000000045E-2</v>
      </c>
      <c r="J232">
        <v>0</v>
      </c>
      <c r="L232" s="62">
        <f t="shared" si="4"/>
        <v>-5.9000000000000045E-2</v>
      </c>
      <c r="M232" s="1">
        <f t="shared" si="2"/>
        <v>0.98254283773553008</v>
      </c>
    </row>
    <row r="233" spans="1:17" ht="15">
      <c r="A233" s="63">
        <v>321.42</v>
      </c>
      <c r="B233" s="63">
        <v>327.01</v>
      </c>
      <c r="C233" s="63">
        <v>310.92</v>
      </c>
      <c r="D233" s="63">
        <v>311.77999999999997</v>
      </c>
      <c r="E233" s="63">
        <v>3518656</v>
      </c>
      <c r="F233" s="63" t="s">
        <v>287</v>
      </c>
      <c r="G233" s="25">
        <f t="shared" si="0"/>
        <v>3.091923792417739E-2</v>
      </c>
      <c r="I233" s="64">
        <v>-5.7000000000000044E-2</v>
      </c>
      <c r="J233">
        <v>0</v>
      </c>
      <c r="L233" s="62">
        <f t="shared" si="4"/>
        <v>-5.8000000000000045E-2</v>
      </c>
      <c r="M233" s="1">
        <f t="shared" si="2"/>
        <v>1.0760001402047055</v>
      </c>
    </row>
    <row r="234" spans="1:17" ht="15">
      <c r="A234" s="63">
        <v>308.08</v>
      </c>
      <c r="B234" s="63">
        <v>314.82</v>
      </c>
      <c r="C234" s="63">
        <v>305.01</v>
      </c>
      <c r="D234" s="63">
        <v>311.82</v>
      </c>
      <c r="E234" s="63">
        <v>1977356</v>
      </c>
      <c r="F234" s="63" t="s">
        <v>288</v>
      </c>
      <c r="G234" s="25">
        <f t="shared" si="0"/>
        <v>-1.1994099159771676E-2</v>
      </c>
      <c r="I234" s="64">
        <v>-5.6000000000000043E-2</v>
      </c>
      <c r="J234">
        <v>3</v>
      </c>
      <c r="L234" s="62">
        <f t="shared" si="4"/>
        <v>-5.7000000000000044E-2</v>
      </c>
      <c r="M234" s="1">
        <f t="shared" si="2"/>
        <v>1.1765574634199121</v>
      </c>
    </row>
    <row r="235" spans="1:17" ht="15">
      <c r="A235" s="63">
        <v>308.2</v>
      </c>
      <c r="B235" s="63">
        <v>322</v>
      </c>
      <c r="C235" s="63">
        <v>301.37</v>
      </c>
      <c r="D235" s="63">
        <v>318.63</v>
      </c>
      <c r="E235" s="63">
        <v>2946965</v>
      </c>
      <c r="F235" s="63" t="s">
        <v>289</v>
      </c>
      <c r="G235" s="25">
        <f t="shared" si="0"/>
        <v>-3.2733891975018081E-2</v>
      </c>
      <c r="I235" s="64">
        <v>-5.5000000000000042E-2</v>
      </c>
      <c r="J235">
        <v>0</v>
      </c>
      <c r="L235" s="62">
        <f t="shared" si="4"/>
        <v>-5.6000000000000043E-2</v>
      </c>
      <c r="M235" s="1">
        <f t="shared" si="2"/>
        <v>1.2845586553376644</v>
      </c>
    </row>
    <row r="236" spans="1:17" ht="15">
      <c r="A236" s="63">
        <v>317.99</v>
      </c>
      <c r="B236" s="63">
        <v>327.99</v>
      </c>
      <c r="C236" s="63">
        <v>314.2</v>
      </c>
      <c r="D236" s="63">
        <v>327.58</v>
      </c>
      <c r="E236" s="63">
        <v>2726972</v>
      </c>
      <c r="F236" s="63" t="s">
        <v>290</v>
      </c>
      <c r="G236" s="25">
        <f t="shared" si="0"/>
        <v>-2.9275291531839498E-2</v>
      </c>
      <c r="I236" s="64">
        <v>-5.4000000000000041E-2</v>
      </c>
      <c r="J236">
        <v>3</v>
      </c>
      <c r="L236" s="62">
        <f t="shared" si="4"/>
        <v>-5.5000000000000042E-2</v>
      </c>
      <c r="M236" s="1">
        <f t="shared" si="2"/>
        <v>1.4003439449574564</v>
      </c>
    </row>
    <row r="237" spans="1:17" ht="15">
      <c r="A237" s="63">
        <v>325.99</v>
      </c>
      <c r="B237" s="63">
        <v>326.55</v>
      </c>
      <c r="C237" s="63">
        <v>313.88499999999999</v>
      </c>
      <c r="D237" s="63">
        <v>322.08</v>
      </c>
      <c r="E237" s="63">
        <v>1995295</v>
      </c>
      <c r="F237" s="63" t="s">
        <v>291</v>
      </c>
      <c r="G237" s="25">
        <f t="shared" si="0"/>
        <v>1.2139841033283805E-2</v>
      </c>
      <c r="I237" s="64">
        <v>-5.300000000000004E-2</v>
      </c>
      <c r="J237">
        <v>2</v>
      </c>
      <c r="L237" s="62">
        <f t="shared" si="4"/>
        <v>-5.4000000000000041E-2</v>
      </c>
      <c r="M237" s="1">
        <f t="shared" si="2"/>
        <v>1.5242474510204449</v>
      </c>
    </row>
    <row r="238" spans="1:17" ht="15">
      <c r="A238" s="63">
        <v>321.54000000000002</v>
      </c>
      <c r="B238" s="63">
        <v>323</v>
      </c>
      <c r="C238" s="63">
        <v>309.74489999999997</v>
      </c>
      <c r="D238" s="63">
        <v>310.81</v>
      </c>
      <c r="E238" s="63">
        <v>2009342</v>
      </c>
      <c r="F238" s="63" t="s">
        <v>292</v>
      </c>
      <c r="G238" s="25">
        <f t="shared" si="0"/>
        <v>3.4522698754866354E-2</v>
      </c>
      <c r="I238" s="64">
        <v>-5.2000000000000039E-2</v>
      </c>
      <c r="J238">
        <v>1</v>
      </c>
      <c r="L238" s="62">
        <f t="shared" si="4"/>
        <v>-5.300000000000004E-2</v>
      </c>
      <c r="M238" s="1">
        <f t="shared" si="2"/>
        <v>1.6565945126794532</v>
      </c>
    </row>
    <row r="239" spans="1:17" ht="15">
      <c r="A239" s="63">
        <v>313.62</v>
      </c>
      <c r="B239" s="63">
        <v>317.36</v>
      </c>
      <c r="C239" s="63">
        <v>307.23500000000001</v>
      </c>
      <c r="D239" s="63">
        <v>316.26</v>
      </c>
      <c r="E239" s="63">
        <v>1744310</v>
      </c>
      <c r="F239" s="63" t="s">
        <v>293</v>
      </c>
      <c r="G239" s="25">
        <f t="shared" si="0"/>
        <v>-8.3475621324226035E-3</v>
      </c>
      <c r="I239" s="64">
        <v>-5.1000000000000038E-2</v>
      </c>
      <c r="J239">
        <v>1</v>
      </c>
      <c r="L239" s="62">
        <f t="shared" si="4"/>
        <v>-5.2000000000000039E-2</v>
      </c>
      <c r="M239" s="1">
        <f t="shared" si="2"/>
        <v>1.7976988514849714</v>
      </c>
    </row>
    <row r="240" spans="1:17" ht="15">
      <c r="A240" s="63">
        <v>317.11</v>
      </c>
      <c r="B240" s="63">
        <v>319.755</v>
      </c>
      <c r="C240" s="63">
        <v>310.25</v>
      </c>
      <c r="D240" s="63">
        <v>313.22000000000003</v>
      </c>
      <c r="E240" s="63">
        <v>1682902</v>
      </c>
      <c r="F240" s="63" t="s">
        <v>294</v>
      </c>
      <c r="G240" s="25">
        <f t="shared" si="0"/>
        <v>1.2419385735265909E-2</v>
      </c>
      <c r="I240" s="64">
        <v>-5.0000000000000037E-2</v>
      </c>
      <c r="J240">
        <v>2</v>
      </c>
      <c r="L240" s="62">
        <f t="shared" si="4"/>
        <v>-5.1000000000000038E-2</v>
      </c>
      <c r="M240" s="1">
        <f t="shared" si="2"/>
        <v>1.9478595767355424</v>
      </c>
    </row>
    <row r="241" spans="1:13" ht="15">
      <c r="A241" s="63">
        <v>312.83999999999997</v>
      </c>
      <c r="B241" s="63">
        <v>320.685</v>
      </c>
      <c r="C241" s="63">
        <v>307.75</v>
      </c>
      <c r="D241" s="63">
        <v>320.685</v>
      </c>
      <c r="E241" s="63">
        <v>1790377</v>
      </c>
      <c r="F241" s="63" t="s">
        <v>295</v>
      </c>
      <c r="G241" s="25">
        <f t="shared" si="0"/>
        <v>-2.4463258337621085E-2</v>
      </c>
      <c r="I241" s="64">
        <v>-4.9000000000000037E-2</v>
      </c>
      <c r="J241">
        <v>1</v>
      </c>
      <c r="L241" s="62">
        <f t="shared" si="4"/>
        <v>-5.0000000000000037E-2</v>
      </c>
      <c r="M241" s="1">
        <f t="shared" si="2"/>
        <v>2.1073580490309403</v>
      </c>
    </row>
    <row r="242" spans="1:13" ht="15">
      <c r="A242" s="63">
        <v>318.25</v>
      </c>
      <c r="B242" s="63">
        <v>320.41000000000003</v>
      </c>
      <c r="C242" s="63">
        <v>309.08999999999997</v>
      </c>
      <c r="D242" s="63">
        <v>310</v>
      </c>
      <c r="E242" s="63">
        <v>1980392</v>
      </c>
      <c r="F242" s="63" t="s">
        <v>296</v>
      </c>
      <c r="G242" s="25">
        <f t="shared" si="0"/>
        <v>2.661290322580645E-2</v>
      </c>
      <c r="I242" s="64">
        <v>-4.8000000000000036E-2</v>
      </c>
      <c r="J242">
        <v>2</v>
      </c>
      <c r="L242" s="62">
        <f t="shared" si="4"/>
        <v>-4.9000000000000037E-2</v>
      </c>
      <c r="M242" s="1">
        <f t="shared" si="2"/>
        <v>2.2764546197109747</v>
      </c>
    </row>
    <row r="243" spans="1:13" ht="15">
      <c r="A243" s="63">
        <v>311.88</v>
      </c>
      <c r="B243" s="63">
        <v>313.94</v>
      </c>
      <c r="C243" s="63">
        <v>306.44760000000002</v>
      </c>
      <c r="D243" s="63">
        <v>308.2</v>
      </c>
      <c r="E243" s="63">
        <v>1465435</v>
      </c>
      <c r="F243" s="63" t="s">
        <v>297</v>
      </c>
      <c r="G243" s="25">
        <f t="shared" si="0"/>
        <v>1.194029850746281E-2</v>
      </c>
      <c r="I243" s="64">
        <v>-4.7000000000000035E-2</v>
      </c>
      <c r="J243">
        <v>4</v>
      </c>
      <c r="L243" s="62">
        <f t="shared" si="4"/>
        <v>-4.8000000000000036E-2</v>
      </c>
      <c r="M243" s="1">
        <f t="shared" si="2"/>
        <v>2.4553852667255782</v>
      </c>
    </row>
    <row r="244" spans="1:13" ht="15">
      <c r="A244" s="63">
        <v>306.63</v>
      </c>
      <c r="B244" s="63">
        <v>310.32</v>
      </c>
      <c r="C244" s="63">
        <v>303.01</v>
      </c>
      <c r="D244" s="63">
        <v>306.88</v>
      </c>
      <c r="E244" s="63">
        <v>2101606</v>
      </c>
      <c r="F244" s="63" t="s">
        <v>298</v>
      </c>
      <c r="G244" s="25">
        <f t="shared" si="0"/>
        <v>-8.1465067778940803E-4</v>
      </c>
      <c r="I244" s="64">
        <v>-4.6000000000000034E-2</v>
      </c>
      <c r="J244">
        <v>2</v>
      </c>
      <c r="L244" s="62">
        <f t="shared" si="4"/>
        <v>-4.7000000000000035E-2</v>
      </c>
      <c r="M244" s="1">
        <f t="shared" si="2"/>
        <v>2.6443581503240692</v>
      </c>
    </row>
    <row r="245" spans="1:13" ht="15">
      <c r="A245" s="63">
        <v>307.92</v>
      </c>
      <c r="B245" s="63">
        <v>320.72500000000002</v>
      </c>
      <c r="C245" s="63">
        <v>302.25</v>
      </c>
      <c r="D245" s="63">
        <v>320.72500000000002</v>
      </c>
      <c r="E245" s="63">
        <v>3421028</v>
      </c>
      <c r="F245" s="63" t="s">
        <v>299</v>
      </c>
      <c r="G245" s="25">
        <f t="shared" si="0"/>
        <v>-3.9925169537766036E-2</v>
      </c>
      <c r="I245" s="64">
        <v>-4.5000000000000033E-2</v>
      </c>
      <c r="J245">
        <v>1</v>
      </c>
      <c r="L245" s="62">
        <f t="shared" si="4"/>
        <v>-4.6000000000000034E-2</v>
      </c>
      <c r="M245" s="1">
        <f t="shared" si="2"/>
        <v>2.8435501147310132</v>
      </c>
    </row>
    <row r="246" spans="1:13" ht="15">
      <c r="A246" s="63">
        <v>322.76</v>
      </c>
      <c r="B246" s="63">
        <v>324.73970000000003</v>
      </c>
      <c r="C246" s="63">
        <v>318.22000000000003</v>
      </c>
      <c r="D246" s="63">
        <v>324</v>
      </c>
      <c r="E246" s="63">
        <v>1961736</v>
      </c>
      <c r="F246" s="63" t="s">
        <v>300</v>
      </c>
      <c r="G246" s="25">
        <f t="shared" si="0"/>
        <v>-3.827160493827142E-3</v>
      </c>
      <c r="I246" s="64">
        <v>-4.4000000000000032E-2</v>
      </c>
      <c r="J246">
        <v>1</v>
      </c>
      <c r="L246" s="62">
        <f t="shared" si="4"/>
        <v>-4.5000000000000033E-2</v>
      </c>
      <c r="M246" s="1">
        <f t="shared" si="2"/>
        <v>3.0531031646483791</v>
      </c>
    </row>
    <row r="247" spans="1:13" ht="15">
      <c r="A247" s="63">
        <v>320.17</v>
      </c>
      <c r="B247" s="63">
        <v>328.44</v>
      </c>
      <c r="C247" s="63">
        <v>317.8</v>
      </c>
      <c r="D247" s="63">
        <v>327.90499999999997</v>
      </c>
      <c r="E247" s="63">
        <v>3689663</v>
      </c>
      <c r="F247" s="63" t="s">
        <v>301</v>
      </c>
      <c r="G247" s="25">
        <f t="shared" si="0"/>
        <v>-2.3589149296289968E-2</v>
      </c>
      <c r="I247" s="64">
        <v>-4.3000000000000031E-2</v>
      </c>
      <c r="J247">
        <v>2</v>
      </c>
      <c r="L247" s="62">
        <f t="shared" si="4"/>
        <v>-4.4000000000000032E-2</v>
      </c>
      <c r="M247" s="1">
        <f t="shared" si="2"/>
        <v>3.2731209479423899</v>
      </c>
    </row>
    <row r="248" spans="1:13" ht="15">
      <c r="A248" s="63">
        <v>322.51</v>
      </c>
      <c r="B248" s="63">
        <v>323.60500000000002</v>
      </c>
      <c r="C248" s="63">
        <v>314.73</v>
      </c>
      <c r="D248" s="63">
        <v>317</v>
      </c>
      <c r="E248" s="63">
        <v>2192429</v>
      </c>
      <c r="F248" s="63" t="s">
        <v>302</v>
      </c>
      <c r="G248" s="25">
        <f t="shared" si="0"/>
        <v>1.7381703470031429E-2</v>
      </c>
      <c r="I248" s="64">
        <v>-4.200000000000003E-2</v>
      </c>
      <c r="J248">
        <v>1</v>
      </c>
      <c r="L248" s="62">
        <f t="shared" si="4"/>
        <v>-4.3000000000000031E-2</v>
      </c>
      <c r="M248" s="1">
        <f t="shared" si="2"/>
        <v>3.5036652781908941</v>
      </c>
    </row>
    <row r="249" spans="1:13" ht="15">
      <c r="A249" s="63">
        <v>315.14</v>
      </c>
      <c r="B249" s="63">
        <v>323.64</v>
      </c>
      <c r="C249" s="63">
        <v>314.85500000000002</v>
      </c>
      <c r="D249" s="63">
        <v>322.01</v>
      </c>
      <c r="E249" s="63">
        <v>2263908</v>
      </c>
      <c r="F249" s="63" t="s">
        <v>303</v>
      </c>
      <c r="G249" s="25">
        <f t="shared" si="0"/>
        <v>-2.1334741157106984E-2</v>
      </c>
      <c r="I249" s="64">
        <v>-4.1000000000000029E-2</v>
      </c>
      <c r="J249">
        <v>1</v>
      </c>
      <c r="L249" s="62">
        <f t="shared" si="4"/>
        <v>-4.200000000000003E-2</v>
      </c>
      <c r="M249" s="1">
        <f t="shared" si="2"/>
        <v>3.7447527328351797</v>
      </c>
    </row>
    <row r="250" spans="1:13" ht="15">
      <c r="A250" s="63">
        <v>320.66000000000003</v>
      </c>
      <c r="B250" s="63">
        <v>324.31</v>
      </c>
      <c r="C250" s="63">
        <v>316.85000000000002</v>
      </c>
      <c r="D250" s="63">
        <v>317.94</v>
      </c>
      <c r="E250" s="63">
        <v>2384956</v>
      </c>
      <c r="F250" s="63" t="s">
        <v>304</v>
      </c>
      <c r="G250" s="25">
        <f t="shared" si="0"/>
        <v>8.5550732842676336E-3</v>
      </c>
      <c r="I250" s="64">
        <v>-4.0000000000000029E-2</v>
      </c>
      <c r="J250">
        <v>2</v>
      </c>
      <c r="L250" s="62">
        <f t="shared" si="4"/>
        <v>-4.1000000000000029E-2</v>
      </c>
      <c r="M250" s="1">
        <f t="shared" si="2"/>
        <v>3.9963513644510611</v>
      </c>
    </row>
    <row r="251" spans="1:13" ht="15">
      <c r="A251" s="63">
        <v>315.20999999999998</v>
      </c>
      <c r="B251" s="63">
        <v>315.79000000000002</v>
      </c>
      <c r="C251" s="63">
        <v>304.69</v>
      </c>
      <c r="D251" s="63">
        <v>306</v>
      </c>
      <c r="E251" s="63">
        <v>2282726</v>
      </c>
      <c r="F251" s="63" t="s">
        <v>305</v>
      </c>
      <c r="G251" s="25">
        <f t="shared" si="0"/>
        <v>3.0098039215686212E-2</v>
      </c>
      <c r="I251" s="64">
        <v>-3.9000000000000028E-2</v>
      </c>
      <c r="J251">
        <v>2</v>
      </c>
      <c r="L251" s="62">
        <f t="shared" si="4"/>
        <v>-4.0000000000000029E-2</v>
      </c>
      <c r="M251" s="1">
        <f t="shared" si="2"/>
        <v>4.2583775640811661</v>
      </c>
    </row>
    <row r="252" spans="1:13" ht="15">
      <c r="A252" s="63">
        <v>304.92</v>
      </c>
      <c r="B252" s="63">
        <v>308.2</v>
      </c>
      <c r="C252" s="63">
        <v>302.69</v>
      </c>
      <c r="D252" s="63">
        <v>307.52999999999997</v>
      </c>
      <c r="E252" s="63">
        <v>4190102</v>
      </c>
      <c r="F252" s="63" t="s">
        <v>306</v>
      </c>
      <c r="G252" s="25">
        <f t="shared" ref="G252:G315" si="5">A252/D252-1</f>
        <v>-8.4869768803041978E-3</v>
      </c>
      <c r="I252" s="64">
        <v>-3.8000000000000027E-2</v>
      </c>
      <c r="J252">
        <v>3</v>
      </c>
      <c r="L252" s="62">
        <f t="shared" si="4"/>
        <v>-3.9000000000000028E-2</v>
      </c>
      <c r="M252" s="1">
        <f t="shared" si="2"/>
        <v>4.5306931166089894</v>
      </c>
    </row>
    <row r="253" spans="1:13" ht="15">
      <c r="A253" s="63">
        <v>306.43</v>
      </c>
      <c r="B253" s="63">
        <v>309.53899999999999</v>
      </c>
      <c r="C253" s="63">
        <v>303.25</v>
      </c>
      <c r="D253" s="63">
        <v>305</v>
      </c>
      <c r="E253" s="63">
        <v>1451471</v>
      </c>
      <c r="F253" s="63" t="s">
        <v>307</v>
      </c>
      <c r="G253" s="25">
        <f t="shared" si="5"/>
        <v>4.6885245901640005E-3</v>
      </c>
      <c r="I253" s="64">
        <v>-3.7000000000000026E-2</v>
      </c>
      <c r="J253">
        <v>2</v>
      </c>
      <c r="L253" s="62">
        <f t="shared" si="4"/>
        <v>-3.8000000000000027E-2</v>
      </c>
      <c r="M253" s="1">
        <f t="shared" si="2"/>
        <v>4.8131024887637599</v>
      </c>
    </row>
    <row r="254" spans="1:13" ht="15">
      <c r="A254" s="63">
        <v>305.7</v>
      </c>
      <c r="B254" s="63">
        <v>313.54000000000002</v>
      </c>
      <c r="C254" s="63">
        <v>302.7</v>
      </c>
      <c r="D254" s="63">
        <v>307.82</v>
      </c>
      <c r="E254" s="63">
        <v>2158052</v>
      </c>
      <c r="F254" s="63" t="s">
        <v>308</v>
      </c>
      <c r="G254" s="25">
        <f t="shared" si="5"/>
        <v>-6.8871418361380332E-3</v>
      </c>
      <c r="I254" s="64">
        <v>-3.6000000000000025E-2</v>
      </c>
      <c r="J254">
        <v>4</v>
      </c>
      <c r="L254" s="62">
        <f t="shared" si="4"/>
        <v>-3.7000000000000026E-2</v>
      </c>
      <c r="M254" s="1">
        <f t="shared" si="2"/>
        <v>5.1053503904857491</v>
      </c>
    </row>
    <row r="255" spans="1:13" ht="15">
      <c r="A255" s="63">
        <v>308.01</v>
      </c>
      <c r="B255" s="63">
        <v>309.95999999999998</v>
      </c>
      <c r="C255" s="63">
        <v>300</v>
      </c>
      <c r="D255" s="63">
        <v>300</v>
      </c>
      <c r="E255" s="63">
        <v>2592698</v>
      </c>
      <c r="F255" s="63" t="s">
        <v>309</v>
      </c>
      <c r="G255" s="25">
        <f t="shared" si="5"/>
        <v>2.6699999999999946E-2</v>
      </c>
      <c r="I255" s="64">
        <v>-3.5000000000000024E-2</v>
      </c>
      <c r="J255">
        <v>6</v>
      </c>
      <c r="L255" s="62">
        <f t="shared" si="4"/>
        <v>-3.6000000000000025E-2</v>
      </c>
      <c r="M255" s="1">
        <f t="shared" si="2"/>
        <v>5.4071196500213219</v>
      </c>
    </row>
    <row r="256" spans="1:13" ht="15">
      <c r="A256" s="63">
        <v>296.89</v>
      </c>
      <c r="B256" s="63">
        <v>299.95</v>
      </c>
      <c r="C256" s="63">
        <v>294.08999999999997</v>
      </c>
      <c r="D256" s="63">
        <v>297.36</v>
      </c>
      <c r="E256" s="63">
        <v>1524164</v>
      </c>
      <c r="F256" s="63" t="s">
        <v>310</v>
      </c>
      <c r="G256" s="25">
        <f t="shared" si="5"/>
        <v>-1.5805757331182058E-3</v>
      </c>
      <c r="I256" s="64">
        <v>-3.4000000000000023E-2</v>
      </c>
      <c r="J256">
        <v>0</v>
      </c>
      <c r="L256" s="62">
        <f t="shared" si="4"/>
        <v>-3.5000000000000024E-2</v>
      </c>
      <c r="M256" s="1">
        <f t="shared" si="2"/>
        <v>5.7180294422283575</v>
      </c>
    </row>
    <row r="257" spans="1:13" ht="15">
      <c r="A257" s="63">
        <v>300.38</v>
      </c>
      <c r="B257" s="63">
        <v>301.32</v>
      </c>
      <c r="C257" s="63">
        <v>289.08</v>
      </c>
      <c r="D257" s="63">
        <v>290.11</v>
      </c>
      <c r="E257" s="63">
        <v>2083974</v>
      </c>
      <c r="F257" s="63" t="s">
        <v>311</v>
      </c>
      <c r="G257" s="25">
        <f t="shared" si="5"/>
        <v>3.5400365378649434E-2</v>
      </c>
      <c r="I257" s="64">
        <v>-3.3000000000000022E-2</v>
      </c>
      <c r="J257">
        <v>4</v>
      </c>
      <c r="L257" s="62">
        <f t="shared" si="4"/>
        <v>-3.4000000000000023E-2</v>
      </c>
      <c r="M257" s="1">
        <f t="shared" si="2"/>
        <v>6.0376339081350547</v>
      </c>
    </row>
    <row r="258" spans="1:13" ht="15">
      <c r="A258" s="63">
        <v>292.19</v>
      </c>
      <c r="B258" s="63">
        <v>298.47000000000003</v>
      </c>
      <c r="C258" s="63">
        <v>289.8</v>
      </c>
      <c r="D258" s="63">
        <v>296.83</v>
      </c>
      <c r="E258" s="63">
        <v>2751423</v>
      </c>
      <c r="F258" s="63" t="s">
        <v>312</v>
      </c>
      <c r="G258" s="25">
        <f t="shared" si="5"/>
        <v>-1.5631843142539403E-2</v>
      </c>
      <c r="I258" s="64">
        <v>-3.2000000000000021E-2</v>
      </c>
      <c r="J258">
        <v>5</v>
      </c>
      <c r="L258" s="62">
        <f t="shared" si="4"/>
        <v>-3.3000000000000022E-2</v>
      </c>
      <c r="M258" s="1">
        <f t="shared" si="2"/>
        <v>6.365421201794808</v>
      </c>
    </row>
    <row r="259" spans="1:13" ht="15">
      <c r="A259" s="63">
        <v>291.02</v>
      </c>
      <c r="B259" s="63">
        <v>300.5</v>
      </c>
      <c r="C259" s="63">
        <v>287.70999999999998</v>
      </c>
      <c r="D259" s="63">
        <v>300</v>
      </c>
      <c r="E259" s="63">
        <v>3302773</v>
      </c>
      <c r="F259" s="63" t="s">
        <v>313</v>
      </c>
      <c r="G259" s="25">
        <f t="shared" si="5"/>
        <v>-2.9933333333333367E-2</v>
      </c>
      <c r="I259" s="64">
        <v>-3.1000000000000021E-2</v>
      </c>
      <c r="J259">
        <v>5</v>
      </c>
      <c r="L259" s="62">
        <f t="shared" si="4"/>
        <v>-3.2000000000000021E-2</v>
      </c>
      <c r="M259" s="1">
        <f t="shared" si="2"/>
        <v>6.7008129979114477</v>
      </c>
    </row>
    <row r="260" spans="1:13" ht="15">
      <c r="A260" s="63">
        <v>299.66000000000003</v>
      </c>
      <c r="B260" s="63">
        <v>308.82</v>
      </c>
      <c r="C260" s="63">
        <v>297.01</v>
      </c>
      <c r="D260" s="63">
        <v>300.69499999999999</v>
      </c>
      <c r="E260" s="63">
        <v>2973692</v>
      </c>
      <c r="F260" s="63" t="s">
        <v>314</v>
      </c>
      <c r="G260" s="25">
        <f t="shared" si="5"/>
        <v>-3.4420259731621217E-3</v>
      </c>
      <c r="I260" s="64">
        <v>-3.000000000000002E-2</v>
      </c>
      <c r="J260">
        <v>2</v>
      </c>
      <c r="L260" s="62">
        <f t="shared" ref="L260:L288" si="6">L261-0.001</f>
        <v>-3.1000000000000021E-2</v>
      </c>
      <c r="M260" s="1">
        <f t="shared" si="2"/>
        <v>7.0431644905754744</v>
      </c>
    </row>
    <row r="261" spans="1:13" ht="15">
      <c r="A261" s="63">
        <v>298.8</v>
      </c>
      <c r="B261" s="63">
        <v>299.77</v>
      </c>
      <c r="C261" s="63">
        <v>286</v>
      </c>
      <c r="D261" s="63">
        <v>293.58</v>
      </c>
      <c r="E261" s="63">
        <v>3727696</v>
      </c>
      <c r="F261" s="63" t="s">
        <v>315</v>
      </c>
      <c r="G261" s="25">
        <f t="shared" si="5"/>
        <v>1.7780502759043637E-2</v>
      </c>
      <c r="I261" s="64">
        <v>-2.9000000000000019E-2</v>
      </c>
      <c r="J261">
        <v>8</v>
      </c>
      <c r="L261" s="62">
        <f t="shared" si="6"/>
        <v>-3.000000000000002E-2</v>
      </c>
      <c r="M261" s="1">
        <f t="shared" si="2"/>
        <v>7.3917649097650671</v>
      </c>
    </row>
    <row r="262" spans="1:13" ht="15">
      <c r="A262" s="63">
        <v>289.88</v>
      </c>
      <c r="B262" s="63">
        <v>302</v>
      </c>
      <c r="C262" s="63">
        <v>289.36</v>
      </c>
      <c r="D262" s="63">
        <v>299.23500000000001</v>
      </c>
      <c r="E262" s="63">
        <v>4656935</v>
      </c>
      <c r="F262" s="63" t="s">
        <v>316</v>
      </c>
      <c r="G262" s="25">
        <f t="shared" si="5"/>
        <v>-3.1263054121342781E-2</v>
      </c>
      <c r="I262" s="64">
        <v>-2.8000000000000018E-2</v>
      </c>
      <c r="J262">
        <v>5</v>
      </c>
      <c r="L262" s="62">
        <f t="shared" si="6"/>
        <v>-2.9000000000000019E-2</v>
      </c>
      <c r="M262" s="1">
        <f t="shared" si="2"/>
        <v>7.7458385780467527</v>
      </c>
    </row>
    <row r="263" spans="1:13" ht="15">
      <c r="A263" s="63">
        <v>299.54000000000002</v>
      </c>
      <c r="B263" s="63">
        <v>310.41000000000003</v>
      </c>
      <c r="C263" s="63">
        <v>298.94</v>
      </c>
      <c r="D263" s="63">
        <v>304</v>
      </c>
      <c r="E263" s="63">
        <v>4923356</v>
      </c>
      <c r="F263" s="63" t="s">
        <v>317</v>
      </c>
      <c r="G263" s="25">
        <f t="shared" si="5"/>
        <v>-1.4671052631578863E-2</v>
      </c>
      <c r="I263" s="64">
        <v>-2.7000000000000017E-2</v>
      </c>
      <c r="J263">
        <v>3</v>
      </c>
      <c r="L263" s="62">
        <f t="shared" si="6"/>
        <v>-2.8000000000000018E-2</v>
      </c>
      <c r="M263" s="1">
        <f t="shared" si="2"/>
        <v>8.104546525190452</v>
      </c>
    </row>
    <row r="264" spans="1:13" ht="15">
      <c r="A264" s="63">
        <v>313.02999999999997</v>
      </c>
      <c r="B264" s="63">
        <v>342</v>
      </c>
      <c r="C264" s="63">
        <v>309.5</v>
      </c>
      <c r="D264" s="63">
        <v>342</v>
      </c>
      <c r="E264" s="63">
        <v>10653641</v>
      </c>
      <c r="F264" s="63" t="s">
        <v>318</v>
      </c>
      <c r="G264" s="25">
        <f t="shared" si="5"/>
        <v>-8.4707602339181398E-2</v>
      </c>
      <c r="I264" s="64">
        <v>-2.6000000000000016E-2</v>
      </c>
      <c r="J264">
        <v>5</v>
      </c>
      <c r="L264" s="62">
        <f t="shared" si="6"/>
        <v>-2.7000000000000017E-2</v>
      </c>
      <c r="M264" s="1">
        <f t="shared" si="2"/>
        <v>8.4669886732321018</v>
      </c>
    </row>
    <row r="265" spans="1:13" ht="15">
      <c r="A265" s="63">
        <v>313.43</v>
      </c>
      <c r="B265" s="63">
        <v>313.89999999999998</v>
      </c>
      <c r="C265" s="63">
        <v>304.57</v>
      </c>
      <c r="D265" s="63">
        <v>306.89</v>
      </c>
      <c r="E265" s="63">
        <v>2091887</v>
      </c>
      <c r="F265" s="63" t="s">
        <v>319</v>
      </c>
      <c r="G265" s="25">
        <f t="shared" si="5"/>
        <v>2.1310567304245964E-2</v>
      </c>
      <c r="I265" s="64">
        <v>-2.5000000000000015E-2</v>
      </c>
      <c r="J265">
        <v>4</v>
      </c>
      <c r="L265" s="62">
        <f t="shared" si="6"/>
        <v>-2.6000000000000016E-2</v>
      </c>
      <c r="M265" s="1">
        <f t="shared" si="2"/>
        <v>8.8322065989235856</v>
      </c>
    </row>
    <row r="266" spans="1:13" ht="15">
      <c r="A266" s="63">
        <v>306.14999999999998</v>
      </c>
      <c r="B266" s="63">
        <v>306.5</v>
      </c>
      <c r="C266" s="63">
        <v>299.26</v>
      </c>
      <c r="D266" s="63">
        <v>301.44</v>
      </c>
      <c r="E266" s="63">
        <v>3649061</v>
      </c>
      <c r="F266" s="63" t="s">
        <v>320</v>
      </c>
      <c r="G266" s="25">
        <f t="shared" si="5"/>
        <v>1.5625E-2</v>
      </c>
      <c r="I266" s="64">
        <v>-2.4000000000000014E-2</v>
      </c>
      <c r="J266">
        <v>7</v>
      </c>
      <c r="L266" s="62">
        <f t="shared" si="6"/>
        <v>-2.5000000000000015E-2</v>
      </c>
      <c r="M266" s="1">
        <f t="shared" si="2"/>
        <v>9.1991868745624981</v>
      </c>
    </row>
    <row r="267" spans="1:13" ht="15">
      <c r="A267" s="63">
        <v>303.37</v>
      </c>
      <c r="B267" s="63">
        <v>314.5</v>
      </c>
      <c r="C267" s="63">
        <v>300.10000000000002</v>
      </c>
      <c r="D267" s="63">
        <v>313.88</v>
      </c>
      <c r="E267" s="63">
        <v>2712076</v>
      </c>
      <c r="F267" s="63" t="s">
        <v>321</v>
      </c>
      <c r="G267" s="25">
        <f t="shared" si="5"/>
        <v>-3.3484134063973436E-2</v>
      </c>
      <c r="I267" s="64">
        <v>-2.3000000000000013E-2</v>
      </c>
      <c r="J267">
        <v>9</v>
      </c>
      <c r="L267" s="62">
        <f t="shared" si="6"/>
        <v>-2.4000000000000014E-2</v>
      </c>
      <c r="M267" s="1">
        <f t="shared" si="2"/>
        <v>9.566864981959462</v>
      </c>
    </row>
    <row r="268" spans="1:13" ht="15">
      <c r="A268" s="63">
        <v>308.05</v>
      </c>
      <c r="B268" s="63">
        <v>313.08499999999998</v>
      </c>
      <c r="C268" s="63">
        <v>306.66000000000003</v>
      </c>
      <c r="D268" s="63">
        <v>309.45</v>
      </c>
      <c r="E268" s="63">
        <v>2484629</v>
      </c>
      <c r="F268" s="63" t="s">
        <v>322</v>
      </c>
      <c r="G268" s="25">
        <f t="shared" si="5"/>
        <v>-4.5241557602196947E-3</v>
      </c>
      <c r="I268" s="64">
        <v>-2.2000000000000013E-2</v>
      </c>
      <c r="J268">
        <v>5</v>
      </c>
      <c r="L268" s="62">
        <f t="shared" si="6"/>
        <v>-2.3000000000000013E-2</v>
      </c>
      <c r="M268" s="1">
        <f t="shared" si="2"/>
        <v>9.9341297878524486</v>
      </c>
    </row>
    <row r="269" spans="1:13" ht="15">
      <c r="A269" s="63">
        <v>309.06</v>
      </c>
      <c r="B269" s="63">
        <v>310.26</v>
      </c>
      <c r="C269" s="63">
        <v>296.2654</v>
      </c>
      <c r="D269" s="63">
        <v>303.86</v>
      </c>
      <c r="E269" s="63">
        <v>3601241</v>
      </c>
      <c r="F269" s="63" t="s">
        <v>323</v>
      </c>
      <c r="G269" s="25">
        <f t="shared" si="5"/>
        <v>1.7113144211149844E-2</v>
      </c>
      <c r="I269" s="64">
        <v>-2.1000000000000012E-2</v>
      </c>
      <c r="J269">
        <v>7</v>
      </c>
      <c r="L269" s="62">
        <f t="shared" si="6"/>
        <v>-2.2000000000000013E-2</v>
      </c>
      <c r="M269" s="1">
        <f t="shared" si="2"/>
        <v>10.299828562496334</v>
      </c>
    </row>
    <row r="270" spans="1:13" ht="15">
      <c r="A270" s="63">
        <v>297.49</v>
      </c>
      <c r="B270" s="63">
        <v>302.60000000000002</v>
      </c>
      <c r="C270" s="63">
        <v>293.11</v>
      </c>
      <c r="D270" s="63">
        <v>298.64499999999998</v>
      </c>
      <c r="E270" s="63">
        <v>5373279</v>
      </c>
      <c r="F270" s="63" t="s">
        <v>324</v>
      </c>
      <c r="G270" s="25">
        <f t="shared" si="5"/>
        <v>-3.86746806408933E-3</v>
      </c>
      <c r="I270" s="64">
        <v>-2.0000000000000011E-2</v>
      </c>
      <c r="J270">
        <v>8</v>
      </c>
      <c r="L270" s="62">
        <f t="shared" si="6"/>
        <v>-2.1000000000000012E-2</v>
      </c>
      <c r="M270" s="1">
        <f t="shared" si="2"/>
        <v>10.662772516527712</v>
      </c>
    </row>
    <row r="271" spans="1:13" ht="15">
      <c r="A271" s="63">
        <v>291.47000000000003</v>
      </c>
      <c r="B271" s="63">
        <v>295.2</v>
      </c>
      <c r="C271" s="63">
        <v>282.72000000000003</v>
      </c>
      <c r="D271" s="63">
        <v>285.19</v>
      </c>
      <c r="E271" s="63">
        <v>2390783</v>
      </c>
      <c r="F271" s="63" t="s">
        <v>325</v>
      </c>
      <c r="G271" s="25">
        <f t="shared" si="5"/>
        <v>2.2020407447666646E-2</v>
      </c>
      <c r="I271" s="64">
        <v>-1.900000000000001E-2</v>
      </c>
      <c r="J271">
        <v>9</v>
      </c>
      <c r="L271" s="62">
        <f t="shared" si="6"/>
        <v>-2.0000000000000011E-2</v>
      </c>
      <c r="M271" s="1">
        <f t="shared" si="2"/>
        <v>11.021742824620222</v>
      </c>
    </row>
    <row r="272" spans="1:13" ht="15">
      <c r="A272" s="63">
        <v>287.11</v>
      </c>
      <c r="B272" s="63">
        <v>292.20690000000002</v>
      </c>
      <c r="C272" s="63">
        <v>285.20999999999998</v>
      </c>
      <c r="D272" s="63">
        <v>288.27</v>
      </c>
      <c r="E272" s="63">
        <v>2040947</v>
      </c>
      <c r="F272" s="63" t="s">
        <v>326</v>
      </c>
      <c r="G272" s="25">
        <f t="shared" si="5"/>
        <v>-4.0240052728344189E-3</v>
      </c>
      <c r="I272" s="64">
        <v>-1.8000000000000009E-2</v>
      </c>
      <c r="J272">
        <v>11</v>
      </c>
      <c r="L272" s="62">
        <f t="shared" si="6"/>
        <v>-1.900000000000001E-2</v>
      </c>
      <c r="M272" s="1">
        <f t="shared" si="2"/>
        <v>11.375497097997632</v>
      </c>
    </row>
    <row r="273" spans="1:13" ht="15">
      <c r="A273" s="63">
        <v>292.39999999999998</v>
      </c>
      <c r="B273" s="63">
        <v>293.02999999999997</v>
      </c>
      <c r="C273" s="63">
        <v>289.67</v>
      </c>
      <c r="D273" s="63">
        <v>292.56</v>
      </c>
      <c r="E273" s="63">
        <v>1481307</v>
      </c>
      <c r="F273" s="63" t="s">
        <v>327</v>
      </c>
      <c r="G273" s="25">
        <f t="shared" si="5"/>
        <v>-5.4689636313931533E-4</v>
      </c>
      <c r="I273" s="64">
        <v>-1.7000000000000008E-2</v>
      </c>
      <c r="J273">
        <v>16</v>
      </c>
      <c r="L273" s="62">
        <f t="shared" si="6"/>
        <v>-1.8000000000000009E-2</v>
      </c>
      <c r="M273" s="1">
        <f t="shared" si="2"/>
        <v>11.722776261655348</v>
      </c>
    </row>
    <row r="274" spans="1:13" ht="15">
      <c r="A274" s="63">
        <v>294.02</v>
      </c>
      <c r="B274" s="63">
        <v>294.37</v>
      </c>
      <c r="C274" s="63">
        <v>282</v>
      </c>
      <c r="D274" s="63">
        <v>283.35000000000002</v>
      </c>
      <c r="E274" s="63">
        <v>1972673</v>
      </c>
      <c r="F274" s="63" t="s">
        <v>328</v>
      </c>
      <c r="G274" s="25">
        <f t="shared" si="5"/>
        <v>3.7656608434797789E-2</v>
      </c>
      <c r="I274" s="64">
        <v>-1.6000000000000007E-2</v>
      </c>
      <c r="J274">
        <v>10</v>
      </c>
      <c r="L274" s="62">
        <f t="shared" si="6"/>
        <v>-1.7000000000000008E-2</v>
      </c>
      <c r="M274" s="1">
        <f t="shared" si="2"/>
        <v>12.062311786250614</v>
      </c>
    </row>
    <row r="275" spans="1:13" ht="15">
      <c r="A275" s="63">
        <v>291.12</v>
      </c>
      <c r="B275" s="63">
        <v>291.17</v>
      </c>
      <c r="C275" s="63">
        <v>284.2</v>
      </c>
      <c r="D275" s="63">
        <v>286.58999999999997</v>
      </c>
      <c r="E275" s="63">
        <v>2104914</v>
      </c>
      <c r="F275" s="63" t="s">
        <v>329</v>
      </c>
      <c r="G275" s="25">
        <f t="shared" si="5"/>
        <v>1.5806552915314631E-2</v>
      </c>
      <c r="I275" s="64">
        <v>-1.5000000000000006E-2</v>
      </c>
      <c r="J275">
        <v>14</v>
      </c>
      <c r="L275" s="62">
        <f t="shared" si="6"/>
        <v>-1.6000000000000007E-2</v>
      </c>
      <c r="M275" s="1">
        <f t="shared" si="2"/>
        <v>12.392833219150464</v>
      </c>
    </row>
    <row r="276" spans="1:13" ht="15">
      <c r="A276" s="63">
        <v>284.01219999999989</v>
      </c>
      <c r="B276" s="63">
        <v>288.32630936708858</v>
      </c>
      <c r="C276" s="63">
        <v>282.89372720112505</v>
      </c>
      <c r="D276" s="63">
        <v>284.22191364978897</v>
      </c>
      <c r="E276" s="63">
        <v>2190272.5953321732</v>
      </c>
      <c r="F276" s="63" t="s">
        <v>330</v>
      </c>
      <c r="G276" s="25">
        <f t="shared" si="5"/>
        <v>-7.3785179719632055E-4</v>
      </c>
      <c r="I276" s="64">
        <v>-1.4000000000000005E-2</v>
      </c>
      <c r="J276">
        <v>20</v>
      </c>
      <c r="L276" s="62">
        <f t="shared" si="6"/>
        <v>-1.5000000000000006E-2</v>
      </c>
      <c r="M276" s="1">
        <f t="shared" si="2"/>
        <v>12.713075954163843</v>
      </c>
    </row>
    <row r="277" spans="1:13" ht="15">
      <c r="A277" s="63">
        <v>287.7570866033754</v>
      </c>
      <c r="B277" s="63">
        <v>291.60183684950766</v>
      </c>
      <c r="C277" s="63">
        <v>282.54420445147673</v>
      </c>
      <c r="D277" s="63">
        <v>291.12249136427556</v>
      </c>
      <c r="E277" s="63">
        <v>3133550.8235209621</v>
      </c>
      <c r="F277" s="63" t="s">
        <v>331</v>
      </c>
      <c r="G277" s="25">
        <f t="shared" si="5"/>
        <v>-1.1560098792535722E-2</v>
      </c>
      <c r="I277" s="64">
        <v>-1.3000000000000005E-2</v>
      </c>
      <c r="J277">
        <v>16</v>
      </c>
      <c r="L277" s="62">
        <f t="shared" si="6"/>
        <v>-1.4000000000000005E-2</v>
      </c>
      <c r="M277" s="1">
        <f t="shared" ref="M277:M340" si="7">_xlfn.NORM.DIST(L277,$K$203,$K$205,FALSE)</f>
        <v>13.021789175115408</v>
      </c>
    </row>
    <row r="278" spans="1:13" ht="15">
      <c r="A278" s="63">
        <v>291.12249136427556</v>
      </c>
      <c r="B278" s="63">
        <v>295.76615075246127</v>
      </c>
      <c r="C278" s="63">
        <v>278.80930421237684</v>
      </c>
      <c r="D278" s="63">
        <v>280.08755883966239</v>
      </c>
      <c r="E278" s="63">
        <v>3656068.3139667953</v>
      </c>
      <c r="F278" s="63" t="s">
        <v>332</v>
      </c>
      <c r="G278" s="25">
        <f t="shared" si="5"/>
        <v>3.9398153100153044E-2</v>
      </c>
      <c r="I278" s="64">
        <v>-1.2000000000000004E-2</v>
      </c>
      <c r="J278">
        <v>14</v>
      </c>
      <c r="L278" s="62">
        <f t="shared" si="6"/>
        <v>-1.3000000000000005E-2</v>
      </c>
      <c r="M278" s="1">
        <f t="shared" si="7"/>
        <v>13.317743904720929</v>
      </c>
    </row>
    <row r="279" spans="1:13" ht="15">
      <c r="A279" s="63">
        <v>284.89100005625869</v>
      </c>
      <c r="B279" s="63">
        <v>291.59185048523199</v>
      </c>
      <c r="C279" s="63">
        <v>283.06349539381142</v>
      </c>
      <c r="D279" s="63">
        <v>285.96952739803089</v>
      </c>
      <c r="E279" s="63">
        <v>4751400.8792580049</v>
      </c>
      <c r="F279" s="63" t="s">
        <v>333</v>
      </c>
      <c r="G279" s="25">
        <f t="shared" si="5"/>
        <v>-3.7714764631933129E-3</v>
      </c>
      <c r="I279" s="64">
        <v>-1.1000000000000003E-2</v>
      </c>
      <c r="J279">
        <v>17</v>
      </c>
      <c r="L279" s="62">
        <f t="shared" si="6"/>
        <v>-1.2000000000000004E-2</v>
      </c>
      <c r="M279" s="1">
        <f t="shared" si="7"/>
        <v>13.599741087268358</v>
      </c>
    </row>
    <row r="280" spans="1:13" ht="15">
      <c r="A280" s="63">
        <v>270.99996734880443</v>
      </c>
      <c r="B280" s="63">
        <v>274.57508575949356</v>
      </c>
      <c r="C280" s="63">
        <v>265.69720791842468</v>
      </c>
      <c r="D280" s="63">
        <v>271.69901284810118</v>
      </c>
      <c r="E280" s="63">
        <v>3250341.0754890116</v>
      </c>
      <c r="F280" s="63" t="s">
        <v>334</v>
      </c>
      <c r="G280" s="25">
        <f t="shared" si="5"/>
        <v>-2.5728672768037253E-3</v>
      </c>
      <c r="I280" s="64">
        <v>-1.0000000000000002E-2</v>
      </c>
      <c r="J280">
        <v>13</v>
      </c>
      <c r="L280" s="62">
        <f t="shared" si="6"/>
        <v>-1.1000000000000003E-2</v>
      </c>
      <c r="M280" s="1">
        <f t="shared" si="7"/>
        <v>13.866619631455098</v>
      </c>
    </row>
    <row r="281" spans="1:13" ht="15">
      <c r="A281" s="63">
        <v>270.22103093530228</v>
      </c>
      <c r="B281" s="63">
        <v>273.60640842475379</v>
      </c>
      <c r="C281" s="63">
        <v>264.70865771877635</v>
      </c>
      <c r="D281" s="63">
        <v>271.37944919127983</v>
      </c>
      <c r="E281" s="63">
        <v>2866169.2293500076</v>
      </c>
      <c r="F281" s="63" t="s">
        <v>335</v>
      </c>
      <c r="G281" s="25">
        <f t="shared" si="5"/>
        <v>-4.2686292548299587E-3</v>
      </c>
      <c r="I281" s="64">
        <v>-9.0000000000000011E-3</v>
      </c>
      <c r="J281">
        <v>11</v>
      </c>
      <c r="L281" s="62">
        <f t="shared" si="6"/>
        <v>-1.0000000000000002E-2</v>
      </c>
      <c r="M281" s="1">
        <f t="shared" si="7"/>
        <v>14.117264338430283</v>
      </c>
    </row>
    <row r="282" spans="1:13" ht="15">
      <c r="A282" s="63">
        <v>267.75439895921232</v>
      </c>
      <c r="B282" s="63">
        <v>278.14021780590707</v>
      </c>
      <c r="C282" s="63">
        <v>264.29911691983119</v>
      </c>
      <c r="D282" s="63">
        <v>276.98179954992963</v>
      </c>
      <c r="E282" s="63">
        <v>5175183.7378816837</v>
      </c>
      <c r="F282" s="63" t="s">
        <v>336</v>
      </c>
      <c r="G282" s="25">
        <f t="shared" si="5"/>
        <v>-3.3314104413037282E-2</v>
      </c>
      <c r="I282" s="64">
        <v>-8.0000000000000002E-3</v>
      </c>
      <c r="J282">
        <v>22</v>
      </c>
      <c r="L282" s="62">
        <f t="shared" si="6"/>
        <v>-9.0000000000000011E-3</v>
      </c>
      <c r="M282" s="1">
        <f t="shared" si="7"/>
        <v>14.350613639679471</v>
      </c>
    </row>
    <row r="283" spans="1:13" ht="15">
      <c r="A283" s="63">
        <v>273.44662659634309</v>
      </c>
      <c r="B283" s="63">
        <v>279.50834971167359</v>
      </c>
      <c r="C283" s="63">
        <v>255.77076182841063</v>
      </c>
      <c r="D283" s="63">
        <v>258.47706654711664</v>
      </c>
      <c r="E283" s="63">
        <v>7205396.0794641944</v>
      </c>
      <c r="F283" s="63" t="s">
        <v>337</v>
      </c>
      <c r="G283" s="25">
        <f t="shared" si="5"/>
        <v>5.7914461229378489E-2</v>
      </c>
      <c r="I283" s="64">
        <v>-7.0000000000000001E-3</v>
      </c>
      <c r="J283">
        <v>17</v>
      </c>
      <c r="L283" s="62">
        <f t="shared" si="6"/>
        <v>-8.0000000000000002E-3</v>
      </c>
      <c r="M283" s="1">
        <f t="shared" si="7"/>
        <v>14.565667069892731</v>
      </c>
    </row>
    <row r="284" spans="1:13" ht="15">
      <c r="A284" s="63">
        <v>247.93146587201119</v>
      </c>
      <c r="B284" s="63">
        <v>249.65910689170175</v>
      </c>
      <c r="C284" s="63">
        <v>241.13075180028125</v>
      </c>
      <c r="D284" s="63">
        <v>242.93828373417716</v>
      </c>
      <c r="E284" s="63">
        <v>3122071.170182127</v>
      </c>
      <c r="F284" s="63" t="s">
        <v>338</v>
      </c>
      <c r="G284" s="25">
        <f t="shared" si="5"/>
        <v>2.0553294693139268E-2</v>
      </c>
      <c r="I284" s="64">
        <v>-6.0000000000000001E-3</v>
      </c>
      <c r="J284">
        <v>21</v>
      </c>
      <c r="L284" s="62">
        <f t="shared" si="6"/>
        <v>-7.0000000000000001E-3</v>
      </c>
      <c r="M284" s="1">
        <f t="shared" si="7"/>
        <v>14.761492401387756</v>
      </c>
    </row>
    <row r="285" spans="1:13" ht="15">
      <c r="A285" s="63">
        <v>246.92284308016869</v>
      </c>
      <c r="B285" s="63">
        <v>250.2982342053445</v>
      </c>
      <c r="C285" s="63">
        <v>241.23401080689163</v>
      </c>
      <c r="D285" s="63">
        <v>243.94690652601963</v>
      </c>
      <c r="E285" s="63">
        <v>3320552.8142805141</v>
      </c>
      <c r="F285" s="63" t="s">
        <v>339</v>
      </c>
      <c r="G285" s="25">
        <f t="shared" si="5"/>
        <v>1.2199115768789737E-2</v>
      </c>
      <c r="I285" s="64">
        <v>-5.0000000000000001E-3</v>
      </c>
      <c r="J285">
        <v>11</v>
      </c>
      <c r="L285" s="62">
        <f t="shared" si="6"/>
        <v>-6.0000000000000001E-3</v>
      </c>
      <c r="M285" s="1">
        <f t="shared" si="7"/>
        <v>14.937232369014904</v>
      </c>
    </row>
    <row r="286" spans="1:13" ht="15">
      <c r="A286" s="63">
        <v>240.28690401898729</v>
      </c>
      <c r="B286" s="63">
        <v>243.64731559774958</v>
      </c>
      <c r="C286" s="63">
        <v>229.99595563291132</v>
      </c>
      <c r="D286" s="63">
        <v>231.88337848101258</v>
      </c>
      <c r="E286" s="63">
        <v>4563978.3150160462</v>
      </c>
      <c r="F286" s="63" t="s">
        <v>340</v>
      </c>
      <c r="G286" s="25">
        <f t="shared" si="5"/>
        <v>3.6240310077519489E-2</v>
      </c>
      <c r="I286" s="64">
        <v>-4.0000000000000001E-3</v>
      </c>
      <c r="J286">
        <v>24</v>
      </c>
      <c r="L286" s="62">
        <f t="shared" si="6"/>
        <v>-5.0000000000000001E-3</v>
      </c>
      <c r="M286" s="1">
        <f t="shared" si="7"/>
        <v>15.092110917734537</v>
      </c>
    </row>
    <row r="287" spans="1:13" ht="15">
      <c r="A287" s="63">
        <v>223.13532337552735</v>
      </c>
      <c r="B287" s="63">
        <v>223.56973022151894</v>
      </c>
      <c r="C287" s="63">
        <v>216.45444567510543</v>
      </c>
      <c r="D287" s="63">
        <v>219.2506276722925</v>
      </c>
      <c r="E287" s="63">
        <v>2188210.7839029455</v>
      </c>
      <c r="F287" s="63" t="s">
        <v>341</v>
      </c>
      <c r="G287" s="25">
        <f t="shared" si="5"/>
        <v>1.7718059667501507E-2</v>
      </c>
      <c r="I287" s="64">
        <v>-3.0000000000000001E-3</v>
      </c>
      <c r="J287">
        <v>19</v>
      </c>
      <c r="L287" s="62">
        <f t="shared" si="6"/>
        <v>-4.0000000000000001E-3</v>
      </c>
      <c r="M287" s="1">
        <f t="shared" si="7"/>
        <v>15.225438909198266</v>
      </c>
    </row>
    <row r="288" spans="1:13" ht="15">
      <c r="A288" s="63">
        <v>226.14121902250344</v>
      </c>
      <c r="B288" s="63">
        <v>227.04997817158926</v>
      </c>
      <c r="C288" s="63">
        <v>220.19933227848094</v>
      </c>
      <c r="D288" s="63">
        <v>224.0041370675105</v>
      </c>
      <c r="E288" s="63">
        <v>2041712.0222300314</v>
      </c>
      <c r="F288" s="63" t="s">
        <v>342</v>
      </c>
      <c r="G288" s="25">
        <f t="shared" si="5"/>
        <v>9.5403682403814027E-3</v>
      </c>
      <c r="I288" s="64">
        <v>-2E-3</v>
      </c>
      <c r="J288">
        <v>8</v>
      </c>
      <c r="L288" s="62">
        <f t="shared" si="6"/>
        <v>-3.0000000000000001E-3</v>
      </c>
      <c r="M288" s="1">
        <f t="shared" si="7"/>
        <v>15.336619228640002</v>
      </c>
    </row>
    <row r="289" spans="1:13" ht="15">
      <c r="A289" s="63">
        <v>224.51344164556954</v>
      </c>
      <c r="B289" s="63">
        <v>225.18252805203932</v>
      </c>
      <c r="C289" s="63">
        <v>219.39043677215184</v>
      </c>
      <c r="D289" s="63">
        <v>222.03682330520388</v>
      </c>
      <c r="E289" s="63">
        <v>2400010.5882775467</v>
      </c>
      <c r="F289" s="63" t="s">
        <v>343</v>
      </c>
      <c r="G289" s="25">
        <f t="shared" si="5"/>
        <v>1.1154088333183321E-2</v>
      </c>
      <c r="I289" s="64">
        <v>-1E-3</v>
      </c>
      <c r="J289">
        <v>22</v>
      </c>
      <c r="L289" s="62">
        <f>L290-0.001</f>
        <v>-2E-3</v>
      </c>
      <c r="M289" s="1">
        <f t="shared" si="7"/>
        <v>15.425151239132671</v>
      </c>
    </row>
    <row r="290" spans="1:13" ht="15">
      <c r="A290" s="63">
        <v>222.6859369831223</v>
      </c>
      <c r="B290" s="63">
        <v>223.63963477144858</v>
      </c>
      <c r="C290" s="63">
        <v>216.20478656821373</v>
      </c>
      <c r="D290" s="63">
        <v>217.8125912165963</v>
      </c>
      <c r="E290" s="63">
        <v>2714534.4643645599</v>
      </c>
      <c r="F290" s="63" t="s">
        <v>344</v>
      </c>
      <c r="G290" s="25">
        <f t="shared" si="5"/>
        <v>2.2374031452019549E-2</v>
      </c>
      <c r="I290" s="64">
        <v>0</v>
      </c>
      <c r="J290">
        <v>21</v>
      </c>
      <c r="L290" s="62">
        <f>L291-0.001</f>
        <v>-1E-3</v>
      </c>
      <c r="M290" s="1">
        <f t="shared" si="7"/>
        <v>15.490634536721318</v>
      </c>
    </row>
    <row r="291" spans="1:13" ht="15">
      <c r="A291" s="63">
        <v>217.7726457594936</v>
      </c>
      <c r="B291" s="63">
        <v>219.88975498593524</v>
      </c>
      <c r="C291" s="63">
        <v>209.28423612517574</v>
      </c>
      <c r="D291" s="63">
        <v>209.28423612517574</v>
      </c>
      <c r="E291" s="63">
        <v>2339689.3358806423</v>
      </c>
      <c r="F291" s="63" t="s">
        <v>345</v>
      </c>
      <c r="G291" s="25">
        <f t="shared" si="5"/>
        <v>4.0559240349286707E-2</v>
      </c>
      <c r="I291" s="64">
        <v>1E-3</v>
      </c>
      <c r="J291">
        <v>19</v>
      </c>
      <c r="L291" s="62">
        <v>0</v>
      </c>
      <c r="M291" s="1">
        <f t="shared" si="7"/>
        <v>15.532771967021933</v>
      </c>
    </row>
    <row r="292" spans="1:13" ht="15">
      <c r="A292" s="63">
        <v>209.51392250351614</v>
      </c>
      <c r="B292" s="63">
        <v>217.04364116736986</v>
      </c>
      <c r="C292" s="63">
        <v>207.98600876933892</v>
      </c>
      <c r="D292" s="63">
        <v>212.9592181786216</v>
      </c>
      <c r="E292" s="63">
        <v>2980137.6335241944</v>
      </c>
      <c r="F292" s="63" t="s">
        <v>346</v>
      </c>
      <c r="G292" s="25">
        <f t="shared" si="5"/>
        <v>-1.6178194607268326E-2</v>
      </c>
      <c r="I292" s="64">
        <v>2E-3</v>
      </c>
      <c r="J292">
        <v>16</v>
      </c>
      <c r="L292" s="25">
        <f>L291+0.001</f>
        <v>1E-3</v>
      </c>
      <c r="M292" s="1">
        <f t="shared" si="7"/>
        <v>15.551371871485246</v>
      </c>
    </row>
    <row r="293" spans="1:13" ht="15">
      <c r="A293" s="63">
        <v>200.60608556962021</v>
      </c>
      <c r="B293" s="63">
        <v>202.14398566807307</v>
      </c>
      <c r="C293" s="63">
        <v>195.58294433895915</v>
      </c>
      <c r="D293" s="63">
        <v>197.28062626582275</v>
      </c>
      <c r="E293" s="63">
        <v>2461186.0053899102</v>
      </c>
      <c r="F293" s="63" t="s">
        <v>347</v>
      </c>
      <c r="G293" s="25">
        <f t="shared" si="5"/>
        <v>1.6856492027334857E-2</v>
      </c>
      <c r="I293" s="64">
        <v>3.0000000000000001E-3</v>
      </c>
      <c r="J293">
        <v>18</v>
      </c>
      <c r="L293" s="25">
        <f>L292+0.001</f>
        <v>2E-3</v>
      </c>
      <c r="M293" s="1">
        <f t="shared" si="7"/>
        <v>15.546349539565515</v>
      </c>
    </row>
    <row r="294" spans="1:13" ht="15">
      <c r="A294" s="63">
        <v>192.34736231364272</v>
      </c>
      <c r="B294" s="63">
        <v>204.59064491561176</v>
      </c>
      <c r="C294" s="63">
        <v>187.74934061019684</v>
      </c>
      <c r="D294" s="63">
        <v>203.21252664556957</v>
      </c>
      <c r="E294" s="63">
        <v>3295404.5227634595</v>
      </c>
      <c r="F294" s="63" t="s">
        <v>348</v>
      </c>
      <c r="G294" s="25">
        <f t="shared" si="5"/>
        <v>-5.3467000835421774E-2</v>
      </c>
      <c r="I294" s="64">
        <v>4.0000000000000001E-3</v>
      </c>
      <c r="J294">
        <v>16</v>
      </c>
      <c r="L294" s="25">
        <f>L293+0.001</f>
        <v>3.0000000000000001E-3</v>
      </c>
      <c r="M294" s="1">
        <f t="shared" si="7"/>
        <v>15.517727851398124</v>
      </c>
    </row>
    <row r="295" spans="1:13" ht="15">
      <c r="A295" s="63">
        <v>206.39817684950768</v>
      </c>
      <c r="B295" s="63">
        <v>208.53525880450064</v>
      </c>
      <c r="C295" s="63">
        <v>203.32617147102667</v>
      </c>
      <c r="D295" s="63">
        <v>208.06589968354425</v>
      </c>
      <c r="E295" s="63">
        <v>1965784.4895395343</v>
      </c>
      <c r="F295" s="63" t="s">
        <v>349</v>
      </c>
      <c r="G295" s="25">
        <f t="shared" si="5"/>
        <v>-8.015358771298331E-3</v>
      </c>
      <c r="I295" s="64">
        <v>5.0000000000000001E-3</v>
      </c>
      <c r="J295">
        <v>16</v>
      </c>
      <c r="L295" s="25">
        <f t="shared" ref="L295:L358" si="8">L294+0.001</f>
        <v>4.0000000000000001E-3</v>
      </c>
      <c r="M295" s="1">
        <f t="shared" si="7"/>
        <v>15.465637104163227</v>
      </c>
    </row>
    <row r="296" spans="1:13" ht="15">
      <c r="A296" s="63">
        <v>203.91157214486634</v>
      </c>
      <c r="B296" s="63">
        <v>207.11719507735577</v>
      </c>
      <c r="C296" s="63">
        <v>201.1653219690576</v>
      </c>
      <c r="D296" s="63">
        <v>204.77039947257379</v>
      </c>
      <c r="E296" s="63">
        <v>2436946.9536872013</v>
      </c>
      <c r="F296" s="63" t="s">
        <v>350</v>
      </c>
      <c r="G296" s="25">
        <f t="shared" si="5"/>
        <v>-4.1940990002438117E-3</v>
      </c>
      <c r="I296" s="64">
        <v>6.0000000000000001E-3</v>
      </c>
      <c r="J296">
        <v>21</v>
      </c>
      <c r="L296" s="25">
        <f t="shared" si="8"/>
        <v>5.0000000000000001E-3</v>
      </c>
      <c r="M296" s="1">
        <f t="shared" si="7"/>
        <v>15.390314023979366</v>
      </c>
    </row>
    <row r="297" spans="1:13" ht="15">
      <c r="A297" s="63">
        <v>208.13580423347392</v>
      </c>
      <c r="B297" s="63">
        <v>211.71092264416311</v>
      </c>
      <c r="C297" s="63">
        <v>206.06862682841063</v>
      </c>
      <c r="D297" s="63">
        <v>206.31828593530233</v>
      </c>
      <c r="E297" s="63">
        <v>1988706.745696136</v>
      </c>
      <c r="F297" s="63" t="s">
        <v>351</v>
      </c>
      <c r="G297" s="25">
        <f t="shared" si="5"/>
        <v>8.8092933204260149E-3</v>
      </c>
      <c r="I297" s="64">
        <v>7.0000000000000001E-3</v>
      </c>
      <c r="J297">
        <v>29</v>
      </c>
      <c r="L297" s="25">
        <f t="shared" si="8"/>
        <v>6.0000000000000001E-3</v>
      </c>
      <c r="M297" s="1">
        <f t="shared" si="7"/>
        <v>15.292099973812306</v>
      </c>
    </row>
    <row r="298" spans="1:13" ht="15">
      <c r="A298" s="63">
        <v>206.418149578059</v>
      </c>
      <c r="B298" s="63">
        <v>216.91381843178615</v>
      </c>
      <c r="C298" s="63">
        <v>203.59200848804497</v>
      </c>
      <c r="D298" s="63">
        <v>214.67687283403652</v>
      </c>
      <c r="E298" s="63">
        <v>3432163.0028569205</v>
      </c>
      <c r="F298" s="63" t="s">
        <v>352</v>
      </c>
      <c r="G298" s="25">
        <f t="shared" si="5"/>
        <v>-3.8470484253616877E-2</v>
      </c>
      <c r="I298" s="64">
        <v>8.0000000000000002E-3</v>
      </c>
      <c r="J298">
        <v>15</v>
      </c>
      <c r="L298" s="25">
        <f t="shared" si="8"/>
        <v>7.0000000000000001E-3</v>
      </c>
      <c r="M298" s="1">
        <f t="shared" si="7"/>
        <v>15.171438376382856</v>
      </c>
    </row>
    <row r="299" spans="1:13" ht="15">
      <c r="A299" s="63">
        <v>207.96603604078757</v>
      </c>
      <c r="B299" s="63">
        <v>208.24565424050627</v>
      </c>
      <c r="C299" s="63">
        <v>197.73001265822779</v>
      </c>
      <c r="D299" s="63">
        <v>204.21116307313639</v>
      </c>
      <c r="E299" s="63">
        <v>2964786.7014163486</v>
      </c>
      <c r="F299" s="63" t="s">
        <v>353</v>
      </c>
      <c r="G299" s="25">
        <f t="shared" si="5"/>
        <v>1.8387207198395927E-2</v>
      </c>
      <c r="I299" s="64">
        <v>9.0000000000000011E-3</v>
      </c>
      <c r="J299">
        <v>23</v>
      </c>
      <c r="L299" s="25">
        <f t="shared" si="8"/>
        <v>8.0000000000000002E-3</v>
      </c>
      <c r="M299" s="1">
        <f t="shared" si="7"/>
        <v>15.028871379297451</v>
      </c>
    </row>
    <row r="300" spans="1:13" ht="15">
      <c r="A300" s="63">
        <v>204.21116307313639</v>
      </c>
      <c r="B300" s="63">
        <v>211.18663851969052</v>
      </c>
      <c r="C300" s="63">
        <v>199.27789912095636</v>
      </c>
      <c r="D300" s="63">
        <v>208.71501336146267</v>
      </c>
      <c r="E300" s="63">
        <v>4054168.1519315029</v>
      </c>
      <c r="F300" s="63" t="s">
        <v>354</v>
      </c>
      <c r="G300" s="25">
        <f t="shared" si="5"/>
        <v>-2.157894736842092E-2</v>
      </c>
      <c r="I300" s="64">
        <v>1.0000000000000002E-2</v>
      </c>
      <c r="J300">
        <v>11</v>
      </c>
      <c r="L300" s="25">
        <f t="shared" si="8"/>
        <v>9.0000000000000011E-3</v>
      </c>
      <c r="M300" s="1">
        <f t="shared" si="7"/>
        <v>14.865035797495624</v>
      </c>
    </row>
    <row r="301" spans="1:13" ht="15">
      <c r="A301" s="63">
        <v>215.15621831926856</v>
      </c>
      <c r="B301" s="63">
        <v>217.60287756680725</v>
      </c>
      <c r="C301" s="63">
        <v>182.36099803797464</v>
      </c>
      <c r="D301" s="63">
        <v>185.8761982630098</v>
      </c>
      <c r="E301" s="63">
        <v>7995237.0848857919</v>
      </c>
      <c r="F301" s="63" t="s">
        <v>355</v>
      </c>
      <c r="G301" s="25">
        <f t="shared" si="5"/>
        <v>0.15752431096545405</v>
      </c>
      <c r="I301" s="64">
        <v>1.1000000000000003E-2</v>
      </c>
      <c r="J301">
        <v>15</v>
      </c>
      <c r="L301" s="25">
        <f t="shared" si="8"/>
        <v>1.0000000000000002E-2</v>
      </c>
      <c r="M301" s="1">
        <f t="shared" si="7"/>
        <v>14.680658375504589</v>
      </c>
    </row>
    <row r="302" spans="1:13" ht="15">
      <c r="A302" s="63">
        <v>184.6878209142053</v>
      </c>
      <c r="B302" s="63">
        <v>193.03642144866382</v>
      </c>
      <c r="C302" s="63">
        <v>181.74184345288322</v>
      </c>
      <c r="D302" s="63">
        <v>188.68236662447251</v>
      </c>
      <c r="E302" s="63">
        <v>6905146.6676431522</v>
      </c>
      <c r="F302" s="63" t="s">
        <v>356</v>
      </c>
      <c r="G302" s="25">
        <f t="shared" si="5"/>
        <v>-2.1170742034508194E-2</v>
      </c>
      <c r="I302" s="64">
        <v>1.2000000000000004E-2</v>
      </c>
      <c r="J302">
        <v>14</v>
      </c>
      <c r="L302" s="25">
        <f t="shared" si="8"/>
        <v>1.1000000000000003E-2</v>
      </c>
      <c r="M302" s="1">
        <f t="shared" si="7"/>
        <v>14.476550418815068</v>
      </c>
    </row>
    <row r="303" spans="1:13" ht="15">
      <c r="A303" s="63">
        <v>179.54484331223622</v>
      </c>
      <c r="B303" s="63">
        <v>189.53120758790431</v>
      </c>
      <c r="C303" s="63">
        <v>161.12998758790431</v>
      </c>
      <c r="D303" s="63">
        <v>161.30974214486633</v>
      </c>
      <c r="E303" s="63">
        <v>7468596.9729469391</v>
      </c>
      <c r="F303" s="63" t="s">
        <v>357</v>
      </c>
      <c r="G303" s="25">
        <f t="shared" si="5"/>
        <v>0.11304401659134533</v>
      </c>
      <c r="I303" s="64">
        <v>1.3000000000000005E-2</v>
      </c>
      <c r="J303">
        <v>14</v>
      </c>
      <c r="L303" s="25">
        <f t="shared" si="8"/>
        <v>1.2000000000000004E-2</v>
      </c>
      <c r="M303" s="1">
        <f t="shared" si="7"/>
        <v>14.253601849857247</v>
      </c>
    </row>
    <row r="304" spans="1:13" ht="15">
      <c r="A304" s="63">
        <v>170.72688365682134</v>
      </c>
      <c r="B304" s="63">
        <v>182.74047988045004</v>
      </c>
      <c r="C304" s="63">
        <v>164.85490146272852</v>
      </c>
      <c r="D304" s="63">
        <v>179.82446151195495</v>
      </c>
      <c r="E304" s="63">
        <v>9371358.5261478238</v>
      </c>
      <c r="F304" s="63" t="s">
        <v>358</v>
      </c>
      <c r="G304" s="25">
        <f t="shared" si="5"/>
        <v>-5.0591436663519729E-2</v>
      </c>
      <c r="I304" s="64">
        <v>1.4000000000000005E-2</v>
      </c>
      <c r="J304">
        <v>4</v>
      </c>
      <c r="L304" s="25">
        <f t="shared" si="8"/>
        <v>1.3000000000000005E-2</v>
      </c>
      <c r="M304" s="1">
        <f t="shared" si="7"/>
        <v>14.012774749483826</v>
      </c>
    </row>
    <row r="305" spans="1:13" ht="15">
      <c r="A305" s="63">
        <v>189.98059398030938</v>
      </c>
      <c r="B305" s="63">
        <v>203.7686672720815</v>
      </c>
      <c r="C305" s="63">
        <v>189.52122122362863</v>
      </c>
      <c r="D305" s="63">
        <v>200.19664463431781</v>
      </c>
      <c r="E305" s="63">
        <v>5565094.4093246711</v>
      </c>
      <c r="F305" s="63" t="s">
        <v>359</v>
      </c>
      <c r="G305" s="25">
        <f t="shared" si="5"/>
        <v>-5.1030079313612919E-2</v>
      </c>
      <c r="I305" s="64">
        <v>1.5000000000000006E-2</v>
      </c>
      <c r="J305">
        <v>14</v>
      </c>
      <c r="L305" s="25">
        <f t="shared" si="8"/>
        <v>1.4000000000000005E-2</v>
      </c>
      <c r="M305" s="1">
        <f t="shared" si="7"/>
        <v>13.75509644949353</v>
      </c>
    </row>
    <row r="306" spans="1:13" ht="15">
      <c r="A306" s="63">
        <v>214.16756825597744</v>
      </c>
      <c r="B306" s="63">
        <v>215.04636831223624</v>
      </c>
      <c r="C306" s="63">
        <v>201.99419020393808</v>
      </c>
      <c r="D306" s="63">
        <v>202.55342660337547</v>
      </c>
      <c r="E306" s="63">
        <v>3183406.8057639785</v>
      </c>
      <c r="F306" s="63" t="s">
        <v>360</v>
      </c>
      <c r="G306" s="25">
        <f t="shared" si="5"/>
        <v>5.733865798944926E-2</v>
      </c>
      <c r="I306" s="64">
        <v>1.6000000000000007E-2</v>
      </c>
      <c r="J306">
        <v>11</v>
      </c>
      <c r="L306" s="25">
        <f t="shared" si="8"/>
        <v>1.5000000000000006E-2</v>
      </c>
      <c r="M306" s="1">
        <f t="shared" si="7"/>
        <v>13.481652245501328</v>
      </c>
    </row>
    <row r="307" spans="1:13" ht="15">
      <c r="A307" s="63">
        <v>206.65782232067505</v>
      </c>
      <c r="B307" s="63">
        <v>207.47670419127982</v>
      </c>
      <c r="C307" s="63">
        <v>197.81988993670882</v>
      </c>
      <c r="D307" s="63">
        <v>200.67599011954985</v>
      </c>
      <c r="E307" s="63">
        <v>2867020.389969164</v>
      </c>
      <c r="F307" s="63" t="s">
        <v>361</v>
      </c>
      <c r="G307" s="25">
        <f t="shared" si="5"/>
        <v>2.9808410052251988E-2</v>
      </c>
      <c r="I307" s="64">
        <v>1.7000000000000008E-2</v>
      </c>
      <c r="J307">
        <v>16</v>
      </c>
      <c r="L307" s="25">
        <f t="shared" si="8"/>
        <v>1.6000000000000007E-2</v>
      </c>
      <c r="M307" s="1">
        <f t="shared" si="7"/>
        <v>13.19357780234184</v>
      </c>
    </row>
    <row r="308" spans="1:13" ht="15">
      <c r="A308" s="63">
        <v>201.3550628902953</v>
      </c>
      <c r="B308" s="63">
        <v>203.28243119549924</v>
      </c>
      <c r="C308" s="63">
        <v>195.28335341068913</v>
      </c>
      <c r="D308" s="63">
        <v>198.70867635724326</v>
      </c>
      <c r="E308" s="63">
        <v>4525052.2364884336</v>
      </c>
      <c r="F308" s="63" t="s">
        <v>362</v>
      </c>
      <c r="G308" s="25">
        <f t="shared" si="5"/>
        <v>1.3317921399135679E-2</v>
      </c>
      <c r="I308" s="64">
        <v>1.8000000000000009E-2</v>
      </c>
      <c r="J308">
        <v>13</v>
      </c>
      <c r="L308" s="25">
        <f t="shared" si="8"/>
        <v>1.7000000000000008E-2</v>
      </c>
      <c r="M308" s="1">
        <f t="shared" si="7"/>
        <v>12.892051326155915</v>
      </c>
    </row>
    <row r="309" spans="1:13" ht="15">
      <c r="A309" s="63">
        <v>205.10993585794648</v>
      </c>
      <c r="B309" s="63">
        <v>215.12126604430372</v>
      </c>
      <c r="C309" s="63">
        <v>203.61198121659626</v>
      </c>
      <c r="D309" s="63">
        <v>209.61378614627282</v>
      </c>
      <c r="E309" s="63">
        <v>5579564.1398503315</v>
      </c>
      <c r="F309" s="63" t="s">
        <v>363</v>
      </c>
      <c r="G309" s="25">
        <f t="shared" si="5"/>
        <v>-2.1486422105764791E-2</v>
      </c>
      <c r="I309" s="64">
        <v>1.900000000000001E-2</v>
      </c>
      <c r="J309">
        <v>15</v>
      </c>
      <c r="L309" s="25">
        <f t="shared" si="8"/>
        <v>1.8000000000000009E-2</v>
      </c>
      <c r="M309" s="1">
        <f t="shared" si="7"/>
        <v>12.578285578346323</v>
      </c>
    </row>
    <row r="310" spans="1:13" ht="15">
      <c r="A310" s="63">
        <v>208.91474064697601</v>
      </c>
      <c r="B310" s="63">
        <v>217.25335481715888</v>
      </c>
      <c r="C310" s="63">
        <v>207.2370314486638</v>
      </c>
      <c r="D310" s="63">
        <v>211.67097718706043</v>
      </c>
      <c r="E310" s="63">
        <v>4183964.1381602632</v>
      </c>
      <c r="F310" s="63" t="s">
        <v>364</v>
      </c>
      <c r="G310" s="25">
        <f t="shared" si="5"/>
        <v>-1.3021324778260235E-2</v>
      </c>
      <c r="I310" s="64">
        <v>2.0000000000000011E-2</v>
      </c>
      <c r="J310">
        <v>9</v>
      </c>
      <c r="L310" s="25">
        <f t="shared" si="8"/>
        <v>1.900000000000001E-2</v>
      </c>
      <c r="M310" s="1">
        <f t="shared" si="7"/>
        <v>12.253519806700961</v>
      </c>
    </row>
    <row r="311" spans="1:13" ht="15">
      <c r="A311" s="63">
        <v>216.67414568917013</v>
      </c>
      <c r="B311" s="63">
        <v>225.79169627285506</v>
      </c>
      <c r="C311" s="63">
        <v>213.70819549929669</v>
      </c>
      <c r="D311" s="63">
        <v>223.69455977496477</v>
      </c>
      <c r="E311" s="63">
        <v>4066516.9904673118</v>
      </c>
      <c r="F311" s="63" t="s">
        <v>365</v>
      </c>
      <c r="G311" s="25">
        <f t="shared" si="5"/>
        <v>-3.1383928571428465E-2</v>
      </c>
      <c r="I311" s="64">
        <v>2.1000000000000012E-2</v>
      </c>
      <c r="J311">
        <v>6</v>
      </c>
      <c r="L311" s="25">
        <f t="shared" si="8"/>
        <v>2.0000000000000011E-2</v>
      </c>
      <c r="M311" s="1">
        <f t="shared" si="7"/>
        <v>11.91901166818829</v>
      </c>
    </row>
    <row r="312" spans="1:13" ht="15">
      <c r="A312" s="63">
        <v>226.56064632208151</v>
      </c>
      <c r="B312" s="63">
        <v>230.55748889613213</v>
      </c>
      <c r="C312" s="63">
        <v>221.69728691983116</v>
      </c>
      <c r="D312" s="63">
        <v>228.99731920534452</v>
      </c>
      <c r="E312" s="63">
        <v>2853822.3935450669</v>
      </c>
      <c r="F312" s="63" t="s">
        <v>366</v>
      </c>
      <c r="G312" s="25">
        <f t="shared" si="5"/>
        <v>-1.0640617504688032E-2</v>
      </c>
      <c r="I312" s="64">
        <v>2.2000000000000013E-2</v>
      </c>
      <c r="J312">
        <v>8</v>
      </c>
      <c r="L312" s="25">
        <f t="shared" si="8"/>
        <v>2.1000000000000012E-2</v>
      </c>
      <c r="M312" s="1">
        <f t="shared" si="7"/>
        <v>11.576029216260501</v>
      </c>
    </row>
    <row r="313" spans="1:13" ht="15">
      <c r="A313" s="63">
        <v>228.30826007032343</v>
      </c>
      <c r="B313" s="63">
        <v>230.83481023206744</v>
      </c>
      <c r="C313" s="63">
        <v>226.29111435028122</v>
      </c>
      <c r="D313" s="63">
        <v>227.92877822784806</v>
      </c>
      <c r="E313" s="63">
        <v>2777388.169944813</v>
      </c>
      <c r="F313" s="63" t="s">
        <v>367</v>
      </c>
      <c r="G313" s="25">
        <f t="shared" si="5"/>
        <v>1.6649141254818645E-3</v>
      </c>
      <c r="I313" s="64">
        <v>2.3000000000000013E-2</v>
      </c>
      <c r="J313">
        <v>8</v>
      </c>
      <c r="L313" s="25">
        <f t="shared" si="8"/>
        <v>2.2000000000000013E-2</v>
      </c>
      <c r="M313" s="1">
        <f t="shared" si="7"/>
        <v>11.225843022998662</v>
      </c>
    </row>
    <row r="314" spans="1:13" ht="15">
      <c r="A314" s="63">
        <v>222.17663240506323</v>
      </c>
      <c r="B314" s="63">
        <v>222.51616879043593</v>
      </c>
      <c r="C314" s="63">
        <v>212.26017267932485</v>
      </c>
      <c r="D314" s="63">
        <v>215.4807751582278</v>
      </c>
      <c r="E314" s="63">
        <v>3738570.812098918</v>
      </c>
      <c r="F314" s="63" t="s">
        <v>368</v>
      </c>
      <c r="G314" s="25">
        <f t="shared" si="5"/>
        <v>3.1074035453597437E-2</v>
      </c>
      <c r="I314" s="64">
        <v>2.4000000000000014E-2</v>
      </c>
      <c r="J314">
        <v>11</v>
      </c>
      <c r="L314" s="25">
        <f t="shared" si="8"/>
        <v>2.3000000000000013E-2</v>
      </c>
      <c r="M314" s="1">
        <f t="shared" si="7"/>
        <v>10.869718503154914</v>
      </c>
    </row>
    <row r="315" spans="1:13" ht="15">
      <c r="A315" s="63">
        <v>219.14077766526015</v>
      </c>
      <c r="B315" s="63">
        <v>222.12670058368491</v>
      </c>
      <c r="C315" s="63">
        <v>213.70819549929669</v>
      </c>
      <c r="D315" s="63">
        <v>216.76402296765113</v>
      </c>
      <c r="E315" s="63">
        <v>2253578.9180887304</v>
      </c>
      <c r="F315" s="63" t="s">
        <v>369</v>
      </c>
      <c r="G315" s="25">
        <f t="shared" si="5"/>
        <v>1.0964710218372975E-2</v>
      </c>
      <c r="I315" s="64">
        <v>2.5000000000000015E-2</v>
      </c>
      <c r="J315">
        <v>7</v>
      </c>
      <c r="L315" s="25">
        <f t="shared" si="8"/>
        <v>2.4000000000000014E-2</v>
      </c>
      <c r="M315" s="1">
        <f t="shared" si="7"/>
        <v>10.508908503154794</v>
      </c>
    </row>
    <row r="316" spans="1:13" ht="15">
      <c r="A316" s="63">
        <v>217.75267303094228</v>
      </c>
      <c r="B316" s="63">
        <v>220.06950954289726</v>
      </c>
      <c r="C316" s="63">
        <v>210.83212258790431</v>
      </c>
      <c r="D316" s="63">
        <v>210.83212258790431</v>
      </c>
      <c r="E316" s="63">
        <v>3096140.8122608825</v>
      </c>
      <c r="F316" s="63" t="s">
        <v>370</v>
      </c>
      <c r="G316" s="25">
        <f t="shared" ref="G316:G379" si="9">A316/D316-1</f>
        <v>3.2824933687002567E-2</v>
      </c>
      <c r="I316" s="64">
        <v>2.6000000000000016E-2</v>
      </c>
      <c r="J316">
        <v>3</v>
      </c>
      <c r="L316" s="25">
        <f t="shared" si="8"/>
        <v>2.5000000000000015E-2</v>
      </c>
      <c r="M316" s="1">
        <f t="shared" si="7"/>
        <v>10.144646213491502</v>
      </c>
    </row>
    <row r="317" spans="1:13" ht="15">
      <c r="A317" s="63">
        <v>210.56249075246126</v>
      </c>
      <c r="B317" s="63">
        <v>217.83755712728544</v>
      </c>
      <c r="C317" s="63">
        <v>208.96467246835437</v>
      </c>
      <c r="D317" s="63">
        <v>217.62285029535857</v>
      </c>
      <c r="E317" s="63">
        <v>2720178.1599522843</v>
      </c>
      <c r="F317" s="63" t="s">
        <v>371</v>
      </c>
      <c r="G317" s="25">
        <f t="shared" si="9"/>
        <v>-3.2443098384728253E-2</v>
      </c>
      <c r="I317" s="64">
        <v>2.7000000000000017E-2</v>
      </c>
      <c r="J317">
        <v>6</v>
      </c>
      <c r="L317" s="25">
        <f t="shared" si="8"/>
        <v>2.6000000000000016E-2</v>
      </c>
      <c r="M317" s="1">
        <f t="shared" si="7"/>
        <v>9.7781384577544443</v>
      </c>
    </row>
    <row r="318" spans="1:13" ht="15">
      <c r="A318" s="63">
        <v>218.24200488045</v>
      </c>
      <c r="B318" s="63">
        <v>221.76219828762299</v>
      </c>
      <c r="C318" s="63">
        <v>214.06770461322077</v>
      </c>
      <c r="D318" s="63">
        <v>216.6142275035161</v>
      </c>
      <c r="E318" s="63">
        <v>3552430.9969782997</v>
      </c>
      <c r="F318" s="63" t="s">
        <v>372</v>
      </c>
      <c r="G318" s="25">
        <f t="shared" si="9"/>
        <v>7.514637407219471E-3</v>
      </c>
      <c r="I318" s="64">
        <v>2.8000000000000018E-2</v>
      </c>
      <c r="J318">
        <v>10</v>
      </c>
      <c r="L318" s="25">
        <f t="shared" si="8"/>
        <v>2.7000000000000017E-2</v>
      </c>
      <c r="M318" s="1">
        <f t="shared" si="7"/>
        <v>9.4105594058738173</v>
      </c>
    </row>
    <row r="319" spans="1:13" ht="15">
      <c r="A319" s="63">
        <v>216.16484111111106</v>
      </c>
      <c r="B319" s="63">
        <v>217.20342299578053</v>
      </c>
      <c r="C319" s="63">
        <v>208.74497245428967</v>
      </c>
      <c r="D319" s="63">
        <v>213.53842730661037</v>
      </c>
      <c r="E319" s="63">
        <v>3835117.4604471228</v>
      </c>
      <c r="F319" s="63" t="s">
        <v>373</v>
      </c>
      <c r="G319" s="25">
        <f t="shared" si="9"/>
        <v>1.2299490249263245E-2</v>
      </c>
      <c r="I319" s="64">
        <v>2.9000000000000019E-2</v>
      </c>
      <c r="J319">
        <v>4</v>
      </c>
      <c r="L319" s="25">
        <f t="shared" si="8"/>
        <v>2.8000000000000018E-2</v>
      </c>
      <c r="M319" s="1">
        <f t="shared" si="7"/>
        <v>9.0430447531224107</v>
      </c>
    </row>
    <row r="320" spans="1:13" ht="15">
      <c r="A320" s="63">
        <v>209.58382705344579</v>
      </c>
      <c r="B320" s="63">
        <v>216.47441840365678</v>
      </c>
      <c r="C320" s="63">
        <v>203.44221302390991</v>
      </c>
      <c r="D320" s="63">
        <v>216.47441840365678</v>
      </c>
      <c r="E320" s="63">
        <v>3659294.7133961157</v>
      </c>
      <c r="F320" s="63" t="s">
        <v>374</v>
      </c>
      <c r="G320" s="25">
        <f t="shared" si="9"/>
        <v>-3.1830972920607215E-2</v>
      </c>
      <c r="I320" s="64">
        <v>3.000000000000002E-2</v>
      </c>
      <c r="J320">
        <v>8</v>
      </c>
      <c r="L320" s="25">
        <f t="shared" si="8"/>
        <v>2.9000000000000019E-2</v>
      </c>
      <c r="M320" s="1">
        <f t="shared" si="7"/>
        <v>8.6766864000892738</v>
      </c>
    </row>
    <row r="321" spans="1:13" ht="15">
      <c r="A321" s="63">
        <v>215.05635467651189</v>
      </c>
      <c r="B321" s="63">
        <v>224.02410979606182</v>
      </c>
      <c r="C321" s="63">
        <v>209.71364978902949</v>
      </c>
      <c r="D321" s="63">
        <v>219.12080493670879</v>
      </c>
      <c r="E321" s="63">
        <v>7330368.4883959228</v>
      </c>
      <c r="F321" s="63" t="s">
        <v>375</v>
      </c>
      <c r="G321" s="25">
        <f t="shared" si="9"/>
        <v>-1.854890164980405E-2</v>
      </c>
      <c r="I321" s="64">
        <v>3.1000000000000021E-2</v>
      </c>
      <c r="J321">
        <v>7</v>
      </c>
      <c r="L321" s="25">
        <f t="shared" si="8"/>
        <v>3.000000000000002E-2</v>
      </c>
      <c r="M321" s="1">
        <f t="shared" si="7"/>
        <v>8.3125276623222391</v>
      </c>
    </row>
    <row r="322" spans="1:13" ht="15">
      <c r="A322" s="63">
        <v>208.29558606188462</v>
      </c>
      <c r="B322" s="63">
        <v>211.35141353023903</v>
      </c>
      <c r="C322" s="63">
        <v>199.6523877812939</v>
      </c>
      <c r="D322" s="63">
        <v>203.71184485935296</v>
      </c>
      <c r="E322" s="63">
        <v>5057898.8113890896</v>
      </c>
      <c r="F322" s="63" t="s">
        <v>376</v>
      </c>
      <c r="G322" s="25">
        <f t="shared" si="9"/>
        <v>2.2501102995244882E-2</v>
      </c>
      <c r="I322" s="64">
        <v>3.2000000000000021E-2</v>
      </c>
      <c r="J322">
        <v>3</v>
      </c>
      <c r="L322" s="25">
        <f t="shared" si="8"/>
        <v>3.1000000000000021E-2</v>
      </c>
      <c r="M322" s="1">
        <f t="shared" si="7"/>
        <v>7.951559031721775</v>
      </c>
    </row>
    <row r="323" spans="1:13" ht="15">
      <c r="A323" s="63">
        <v>201.93427201828405</v>
      </c>
      <c r="B323" s="63">
        <v>207.9560496765119</v>
      </c>
      <c r="C323" s="63">
        <v>195.29333977496478</v>
      </c>
      <c r="D323" s="63">
        <v>203.33236301687759</v>
      </c>
      <c r="E323" s="63">
        <v>7700047.5726042772</v>
      </c>
      <c r="F323" s="63" t="s">
        <v>377</v>
      </c>
      <c r="G323" s="25">
        <f t="shared" si="9"/>
        <v>-6.8758901822111307E-3</v>
      </c>
      <c r="I323" s="64">
        <v>3.3000000000000022E-2</v>
      </c>
      <c r="J323">
        <v>3</v>
      </c>
      <c r="L323" s="25">
        <f t="shared" si="8"/>
        <v>3.2000000000000021E-2</v>
      </c>
      <c r="M323" s="1">
        <f t="shared" si="7"/>
        <v>7.5947145051495264</v>
      </c>
    </row>
    <row r="324" spans="1:13" ht="15">
      <c r="A324" s="63">
        <v>212.25018631504915</v>
      </c>
      <c r="B324" s="63">
        <v>215.84527745428966</v>
      </c>
      <c r="C324" s="63">
        <v>202.82305843881849</v>
      </c>
      <c r="D324" s="63">
        <v>207.81624057665255</v>
      </c>
      <c r="E324" s="63">
        <v>4992991.3053030837</v>
      </c>
      <c r="F324" s="63" t="s">
        <v>378</v>
      </c>
      <c r="G324" s="25">
        <f t="shared" si="9"/>
        <v>2.1335896203748206E-2</v>
      </c>
      <c r="I324" s="64">
        <v>3.4000000000000023E-2</v>
      </c>
      <c r="J324">
        <v>4</v>
      </c>
      <c r="L324" s="25">
        <f t="shared" si="8"/>
        <v>3.3000000000000022E-2</v>
      </c>
      <c r="M324" s="1">
        <f t="shared" si="7"/>
        <v>7.2428684891801298</v>
      </c>
    </row>
    <row r="325" spans="1:13" ht="15">
      <c r="A325" s="63">
        <v>207.0195284347397</v>
      </c>
      <c r="B325" s="63">
        <v>222.06081440941455</v>
      </c>
      <c r="C325" s="63">
        <v>204.04914856697752</v>
      </c>
      <c r="D325" s="63">
        <v>219.47917553105751</v>
      </c>
      <c r="E325" s="63">
        <v>7735728.729306018</v>
      </c>
      <c r="F325" s="63" t="s">
        <v>379</v>
      </c>
      <c r="G325" s="25">
        <f t="shared" si="9"/>
        <v>-5.6769153912530124E-2</v>
      </c>
      <c r="I325" s="64">
        <v>3.5000000000000024E-2</v>
      </c>
      <c r="J325">
        <v>4</v>
      </c>
      <c r="L325" s="25">
        <f t="shared" si="8"/>
        <v>3.4000000000000023E-2</v>
      </c>
      <c r="M325" s="1">
        <f t="shared" si="7"/>
        <v>6.8968332835576902</v>
      </c>
    </row>
    <row r="326" spans="1:13" ht="15">
      <c r="A326" s="63">
        <v>228.57970177020803</v>
      </c>
      <c r="B326" s="63">
        <v>232.7860786299249</v>
      </c>
      <c r="C326" s="63">
        <v>222.69874834074602</v>
      </c>
      <c r="D326" s="63">
        <v>229.90540822125624</v>
      </c>
      <c r="E326" s="63">
        <v>3852670.3147303634</v>
      </c>
      <c r="F326" s="63" t="s">
        <v>380</v>
      </c>
      <c r="G326" s="25">
        <f t="shared" si="9"/>
        <v>-5.7663125948406169E-3</v>
      </c>
      <c r="I326" s="64">
        <v>3.6000000000000025E-2</v>
      </c>
      <c r="J326">
        <v>5</v>
      </c>
      <c r="L326" s="25">
        <f t="shared" si="8"/>
        <v>3.5000000000000024E-2</v>
      </c>
      <c r="M326" s="1">
        <f t="shared" si="7"/>
        <v>6.5573571397973005</v>
      </c>
    </row>
    <row r="327" spans="1:13" ht="15">
      <c r="A327" s="63">
        <v>230.90217998896168</v>
      </c>
      <c r="B327" s="63">
        <v>238.85641869525097</v>
      </c>
      <c r="C327" s="63">
        <v>220.53575360482526</v>
      </c>
      <c r="D327" s="63">
        <v>226.76557715298415</v>
      </c>
      <c r="E327" s="63">
        <v>5543406.4035739722</v>
      </c>
      <c r="F327" s="63" t="s">
        <v>381</v>
      </c>
      <c r="G327" s="25">
        <f t="shared" si="9"/>
        <v>1.8241758241758221E-2</v>
      </c>
      <c r="I327" s="64">
        <v>3.7000000000000026E-2</v>
      </c>
      <c r="J327">
        <v>4</v>
      </c>
      <c r="L327" s="25">
        <f t="shared" si="8"/>
        <v>3.6000000000000025E-2</v>
      </c>
      <c r="M327" s="1">
        <f t="shared" si="7"/>
        <v>6.225122885567389</v>
      </c>
    </row>
    <row r="328" spans="1:13" ht="15">
      <c r="A328" s="63">
        <v>231.54011392029312</v>
      </c>
      <c r="B328" s="63">
        <v>248.91534098905024</v>
      </c>
      <c r="C328" s="63">
        <v>228.49996002879161</v>
      </c>
      <c r="D328" s="63">
        <v>248.57494343037885</v>
      </c>
      <c r="E328" s="63">
        <v>5332229.6760422913</v>
      </c>
      <c r="F328" s="63" t="s">
        <v>382</v>
      </c>
      <c r="G328" s="25">
        <f t="shared" si="9"/>
        <v>-6.852995428663089E-2</v>
      </c>
      <c r="I328" s="64">
        <v>3.8000000000000027E-2</v>
      </c>
      <c r="J328">
        <v>3</v>
      </c>
      <c r="L328" s="25">
        <f t="shared" si="8"/>
        <v>3.7000000000000026E-2</v>
      </c>
      <c r="M328" s="1">
        <f t="shared" si="7"/>
        <v>5.9007471000637457</v>
      </c>
    </row>
    <row r="329" spans="1:13" ht="15">
      <c r="A329" s="63">
        <v>249.73618253975565</v>
      </c>
      <c r="B329" s="63">
        <v>250.72677432250134</v>
      </c>
      <c r="C329" s="63">
        <v>240.8300267953077</v>
      </c>
      <c r="D329" s="63">
        <v>245.62449899797079</v>
      </c>
      <c r="E329" s="63">
        <v>6049124.9806163469</v>
      </c>
      <c r="F329" s="63" t="s">
        <v>383</v>
      </c>
      <c r="G329" s="25">
        <f t="shared" si="9"/>
        <v>1.6739712685658548E-2</v>
      </c>
      <c r="I329" s="64">
        <v>3.9000000000000028E-2</v>
      </c>
      <c r="J329">
        <v>1</v>
      </c>
      <c r="L329" s="25">
        <f t="shared" si="8"/>
        <v>3.8000000000000027E-2</v>
      </c>
      <c r="M329" s="1">
        <f t="shared" si="7"/>
        <v>5.5847798205952159</v>
      </c>
    </row>
    <row r="330" spans="1:13" ht="15">
      <c r="A330" s="63">
        <v>248.93378126675282</v>
      </c>
      <c r="B330" s="63">
        <v>279.69415801814222</v>
      </c>
      <c r="C330" s="63">
        <v>247.98684808743263</v>
      </c>
      <c r="D330" s="63">
        <v>275.49774887610238</v>
      </c>
      <c r="E330" s="63">
        <v>5147577.5761702238</v>
      </c>
      <c r="F330" s="63" t="s">
        <v>384</v>
      </c>
      <c r="G330" s="25">
        <f t="shared" si="9"/>
        <v>-9.6421722927746978E-2</v>
      </c>
      <c r="I330" s="64">
        <v>4.0000000000000029E-2</v>
      </c>
      <c r="J330">
        <v>4</v>
      </c>
      <c r="L330" s="25">
        <f t="shared" si="8"/>
        <v>3.9000000000000028E-2</v>
      </c>
      <c r="M330" s="1">
        <f t="shared" si="7"/>
        <v>5.2777047560895616</v>
      </c>
    </row>
    <row r="331" spans="1:13" ht="15">
      <c r="A331" s="63">
        <v>269.26792532794343</v>
      </c>
      <c r="B331" s="63">
        <v>279.04625636913369</v>
      </c>
      <c r="C331" s="63">
        <v>267.18467233343915</v>
      </c>
      <c r="D331" s="63">
        <v>271.86949964165461</v>
      </c>
      <c r="E331" s="63">
        <v>4744360.8990715025</v>
      </c>
      <c r="F331" s="63" t="s">
        <v>385</v>
      </c>
      <c r="G331" s="25">
        <f t="shared" si="9"/>
        <v>-9.5692025664528835E-3</v>
      </c>
      <c r="I331" s="64">
        <v>4.1000000000000029E-2</v>
      </c>
      <c r="J331">
        <v>4</v>
      </c>
      <c r="L331" s="25">
        <f t="shared" si="8"/>
        <v>4.0000000000000029E-2</v>
      </c>
      <c r="M331" s="1">
        <f t="shared" si="7"/>
        <v>4.9799399792320669</v>
      </c>
    </row>
    <row r="332" spans="1:13" ht="15">
      <c r="A332" s="63">
        <v>263.45674592222088</v>
      </c>
      <c r="B332" s="63">
        <v>267.18467233343915</v>
      </c>
      <c r="C332" s="63">
        <v>247.75759058086041</v>
      </c>
      <c r="D332" s="63">
        <v>263.92522865304238</v>
      </c>
      <c r="E332" s="63">
        <v>5111056.6782280598</v>
      </c>
      <c r="F332" s="63" t="s">
        <v>386</v>
      </c>
      <c r="G332" s="25">
        <f t="shared" si="9"/>
        <v>-1.7750585391643758E-3</v>
      </c>
      <c r="I332" s="64">
        <v>4.200000000000003E-2</v>
      </c>
      <c r="J332">
        <v>3</v>
      </c>
      <c r="L332" s="25">
        <f t="shared" si="8"/>
        <v>4.1000000000000029E-2</v>
      </c>
      <c r="M332" s="1">
        <f t="shared" si="7"/>
        <v>4.6918390654957021</v>
      </c>
    </row>
    <row r="333" spans="1:13" ht="15">
      <c r="A333" s="63">
        <v>266.85573765009639</v>
      </c>
      <c r="B333" s="63">
        <v>289.07378035225025</v>
      </c>
      <c r="C333" s="63">
        <v>261.80210478782982</v>
      </c>
      <c r="D333" s="63">
        <v>289.07378035225025</v>
      </c>
      <c r="E333" s="63">
        <v>7244813.9423368396</v>
      </c>
      <c r="F333" s="63" t="s">
        <v>387</v>
      </c>
      <c r="G333" s="25">
        <f t="shared" si="9"/>
        <v>-7.685941864073631E-2</v>
      </c>
      <c r="I333" s="64">
        <v>4.3000000000000031E-2</v>
      </c>
      <c r="J333">
        <v>3</v>
      </c>
      <c r="L333" s="25">
        <f t="shared" si="8"/>
        <v>4.200000000000003E-2</v>
      </c>
      <c r="M333" s="1">
        <f t="shared" si="7"/>
        <v>4.4136926444273819</v>
      </c>
    </row>
    <row r="334" spans="1:13" ht="15">
      <c r="A334" s="63">
        <v>283.52176160613107</v>
      </c>
      <c r="B334" s="63">
        <v>309.45776300182621</v>
      </c>
      <c r="C334" s="63">
        <v>276.87329391553584</v>
      </c>
      <c r="D334" s="63">
        <v>308.9992479886817</v>
      </c>
      <c r="E334" s="63">
        <v>6498979.2145822868</v>
      </c>
      <c r="F334" s="63" t="s">
        <v>388</v>
      </c>
      <c r="G334" s="25">
        <f t="shared" si="9"/>
        <v>-8.2451612903225779E-2</v>
      </c>
      <c r="I334" s="64">
        <v>4.4000000000000032E-2</v>
      </c>
      <c r="J334">
        <v>3</v>
      </c>
      <c r="L334" s="25">
        <f t="shared" si="8"/>
        <v>4.3000000000000031E-2</v>
      </c>
      <c r="M334" s="1">
        <f t="shared" si="7"/>
        <v>4.1457303262280378</v>
      </c>
    </row>
    <row r="335" spans="1:13" ht="15">
      <c r="A335" s="63">
        <v>308.42112036341257</v>
      </c>
      <c r="B335" s="63">
        <v>320.96050920114681</v>
      </c>
      <c r="C335" s="63">
        <v>303.19803630063615</v>
      </c>
      <c r="D335" s="63">
        <v>316.46506852879537</v>
      </c>
      <c r="E335" s="63">
        <v>3872528.4213113375</v>
      </c>
      <c r="F335" s="63" t="s">
        <v>389</v>
      </c>
      <c r="G335" s="25">
        <f t="shared" si="9"/>
        <v>-2.5418123405461679E-2</v>
      </c>
      <c r="I335" s="64">
        <v>4.5000000000000033E-2</v>
      </c>
      <c r="J335">
        <v>2</v>
      </c>
      <c r="L335" s="25">
        <f t="shared" si="8"/>
        <v>4.4000000000000032E-2</v>
      </c>
      <c r="M335" s="1">
        <f t="shared" si="7"/>
        <v>3.8881229649042646</v>
      </c>
    </row>
    <row r="336" spans="1:13" ht="15">
      <c r="A336" s="63">
        <v>320.62659065896548</v>
      </c>
      <c r="B336" s="63">
        <v>328.82304490480715</v>
      </c>
      <c r="C336" s="63">
        <v>317.10310213730361</v>
      </c>
      <c r="D336" s="63">
        <v>322.7646661006936</v>
      </c>
      <c r="E336" s="63">
        <v>3089025.090556086</v>
      </c>
      <c r="F336" s="63" t="s">
        <v>390</v>
      </c>
      <c r="G336" s="25">
        <f t="shared" si="9"/>
        <v>-6.6242549643308335E-3</v>
      </c>
      <c r="I336" s="64">
        <v>4.6000000000000034E-2</v>
      </c>
      <c r="J336">
        <v>1</v>
      </c>
      <c r="L336" s="25">
        <f t="shared" si="8"/>
        <v>4.5000000000000033E-2</v>
      </c>
      <c r="M336" s="1">
        <f t="shared" si="7"/>
        <v>3.6409852180671161</v>
      </c>
    </row>
    <row r="337" spans="1:13" ht="15">
      <c r="A337" s="63">
        <v>324.54888756488634</v>
      </c>
      <c r="B337" s="63">
        <v>328.50597180550011</v>
      </c>
      <c r="C337" s="63">
        <v>314.79547581788876</v>
      </c>
      <c r="D337" s="63">
        <v>322.79456925372477</v>
      </c>
      <c r="E337" s="63">
        <v>3263533.4440585356</v>
      </c>
      <c r="F337" s="63" t="s">
        <v>391</v>
      </c>
      <c r="G337" s="25">
        <f t="shared" si="9"/>
        <v>5.4347826086957873E-3</v>
      </c>
      <c r="I337" s="64">
        <v>4.7000000000000035E-2</v>
      </c>
      <c r="J337">
        <v>4</v>
      </c>
      <c r="L337" s="25">
        <f t="shared" si="8"/>
        <v>4.6000000000000034E-2</v>
      </c>
      <c r="M337" s="1">
        <f t="shared" si="7"/>
        <v>3.4043783627924777</v>
      </c>
    </row>
    <row r="338" spans="1:13" ht="15">
      <c r="A338" s="63">
        <v>316.27568189293135</v>
      </c>
      <c r="B338" s="63">
        <v>317.16280876618913</v>
      </c>
      <c r="C338" s="63">
        <v>305.23145070675525</v>
      </c>
      <c r="D338" s="63">
        <v>310.18042253341264</v>
      </c>
      <c r="E338" s="63">
        <v>2200086.3899348429</v>
      </c>
      <c r="F338" s="63" t="s">
        <v>392</v>
      </c>
      <c r="G338" s="25">
        <f t="shared" si="9"/>
        <v>1.965069010395748E-2</v>
      </c>
      <c r="I338" s="64">
        <v>4.8000000000000036E-2</v>
      </c>
      <c r="J338">
        <v>3</v>
      </c>
      <c r="L338" s="25">
        <f t="shared" si="8"/>
        <v>4.7000000000000035E-2</v>
      </c>
      <c r="M338" s="1">
        <f t="shared" si="7"/>
        <v>3.1783133268137518</v>
      </c>
    </row>
    <row r="339" spans="1:13" ht="15">
      <c r="A339" s="63">
        <v>310.48443792256279</v>
      </c>
      <c r="B339" s="63">
        <v>316.71186921847919</v>
      </c>
      <c r="C339" s="63">
        <v>304.10509860924805</v>
      </c>
      <c r="D339" s="63">
        <v>315.33871643128822</v>
      </c>
      <c r="E339" s="63">
        <v>2715992.8558490872</v>
      </c>
      <c r="F339" s="63" t="s">
        <v>393</v>
      </c>
      <c r="G339" s="25">
        <f t="shared" si="9"/>
        <v>-1.5393855101782816E-2</v>
      </c>
      <c r="I339" s="64">
        <v>4.9000000000000037E-2</v>
      </c>
      <c r="J339">
        <v>3</v>
      </c>
      <c r="L339" s="25">
        <f t="shared" si="8"/>
        <v>4.8000000000000036E-2</v>
      </c>
      <c r="M339" s="1">
        <f t="shared" si="7"/>
        <v>2.9627538946613372</v>
      </c>
    </row>
    <row r="340" spans="1:13" ht="15">
      <c r="A340" s="63">
        <v>312.78698070596232</v>
      </c>
      <c r="B340" s="63">
        <v>316.40526222273303</v>
      </c>
      <c r="C340" s="63">
        <v>302.80929531123104</v>
      </c>
      <c r="D340" s="63">
        <v>304.44400101026793</v>
      </c>
      <c r="E340" s="63">
        <v>1772093.7302088744</v>
      </c>
      <c r="F340" s="63" t="s">
        <v>394</v>
      </c>
      <c r="G340" s="25">
        <f t="shared" si="9"/>
        <v>2.7403987820449727E-2</v>
      </c>
      <c r="I340" s="64">
        <v>5.0000000000000037E-2</v>
      </c>
      <c r="J340">
        <v>1</v>
      </c>
      <c r="L340" s="25">
        <f t="shared" si="8"/>
        <v>4.9000000000000037E-2</v>
      </c>
      <c r="M340" s="1">
        <f t="shared" si="7"/>
        <v>2.7576200491596592</v>
      </c>
    </row>
    <row r="341" spans="1:13" ht="15">
      <c r="A341" s="63">
        <v>312.56769091706713</v>
      </c>
      <c r="B341" s="63">
        <v>318.12967738086343</v>
      </c>
      <c r="C341" s="63">
        <v>308.44105579876668</v>
      </c>
      <c r="D341" s="63">
        <v>316.28564961060835</v>
      </c>
      <c r="E341" s="63">
        <v>2651456.5175576415</v>
      </c>
      <c r="F341" s="63" t="s">
        <v>395</v>
      </c>
      <c r="G341" s="25">
        <f t="shared" si="9"/>
        <v>-1.1755066023762195E-2</v>
      </c>
      <c r="I341" s="64">
        <v>5.1000000000000038E-2</v>
      </c>
      <c r="J341">
        <v>0</v>
      </c>
      <c r="L341" s="25">
        <f t="shared" si="8"/>
        <v>5.0000000000000037E-2</v>
      </c>
      <c r="M341" s="1">
        <f t="shared" ref="M341:M370" si="10">_xlfn.NORM.DIST(L341,$K$203,$K$205,FALSE)</f>
        <v>2.5627914099014824</v>
      </c>
    </row>
    <row r="342" spans="1:13" ht="15">
      <c r="A342" s="63">
        <v>320.79105800063689</v>
      </c>
      <c r="B342" s="63">
        <v>320.96050920114681</v>
      </c>
      <c r="C342" s="63">
        <v>311.56593529052316</v>
      </c>
      <c r="D342" s="63">
        <v>311.62075773774694</v>
      </c>
      <c r="E342" s="63">
        <v>2738639.9659813954</v>
      </c>
      <c r="F342" s="63" t="s">
        <v>396</v>
      </c>
      <c r="G342" s="25">
        <f t="shared" si="9"/>
        <v>2.9427758052650299E-2</v>
      </c>
      <c r="I342" s="64">
        <v>5.2000000000000039E-2</v>
      </c>
      <c r="J342">
        <v>2</v>
      </c>
      <c r="L342" s="25">
        <f t="shared" si="8"/>
        <v>5.1000000000000038E-2</v>
      </c>
      <c r="M342" s="1">
        <f t="shared" si="10"/>
        <v>2.3781107318981052</v>
      </c>
    </row>
    <row r="343" spans="1:13" ht="15">
      <c r="A343" s="63">
        <v>308.78992591746356</v>
      </c>
      <c r="B343" s="63">
        <v>318.57822467633088</v>
      </c>
      <c r="C343" s="63">
        <v>308.30649161012644</v>
      </c>
      <c r="D343" s="63">
        <v>313.46478550800202</v>
      </c>
      <c r="E343" s="63">
        <v>2305422.4391707694</v>
      </c>
      <c r="F343" s="63" t="s">
        <v>397</v>
      </c>
      <c r="G343" s="25">
        <f t="shared" si="9"/>
        <v>-1.4913508013228216E-2</v>
      </c>
      <c r="I343" s="64">
        <v>5.300000000000004E-2</v>
      </c>
      <c r="J343">
        <v>0</v>
      </c>
      <c r="L343" s="25">
        <f t="shared" si="8"/>
        <v>5.2000000000000039E-2</v>
      </c>
      <c r="M343" s="1">
        <f t="shared" si="10"/>
        <v>2.2033874295070759</v>
      </c>
    </row>
    <row r="344" spans="1:13" ht="15">
      <c r="A344" s="63">
        <v>310.7934371705515</v>
      </c>
      <c r="B344" s="63">
        <v>315.55800622018336</v>
      </c>
      <c r="C344" s="63">
        <v>304.88258058805832</v>
      </c>
      <c r="D344" s="63">
        <v>314.30705765171308</v>
      </c>
      <c r="E344" s="63">
        <v>2488128.2559890286</v>
      </c>
      <c r="F344" s="63" t="s">
        <v>398</v>
      </c>
      <c r="G344" s="25">
        <f t="shared" si="9"/>
        <v>-1.1178942361055877E-2</v>
      </c>
      <c r="I344" s="64">
        <v>5.4000000000000041E-2</v>
      </c>
      <c r="J344">
        <v>1</v>
      </c>
      <c r="L344" s="25">
        <f t="shared" si="8"/>
        <v>5.300000000000004E-2</v>
      </c>
      <c r="M344" s="1">
        <f t="shared" si="10"/>
        <v>2.0384010929189809</v>
      </c>
    </row>
    <row r="345" spans="1:13" ht="15">
      <c r="A345" s="63">
        <v>312.81688385899349</v>
      </c>
      <c r="B345" s="63">
        <v>317.3422276843761</v>
      </c>
      <c r="C345" s="63">
        <v>301.87232984958791</v>
      </c>
      <c r="D345" s="63">
        <v>309.52753702556555</v>
      </c>
      <c r="E345" s="63">
        <v>3591696.8317044317</v>
      </c>
      <c r="F345" s="63" t="s">
        <v>399</v>
      </c>
      <c r="G345" s="25">
        <f t="shared" si="9"/>
        <v>1.0626992561105331E-2</v>
      </c>
      <c r="I345" s="64">
        <v>5.5000000000000042E-2</v>
      </c>
      <c r="J345">
        <v>0</v>
      </c>
      <c r="L345" s="25">
        <f t="shared" si="8"/>
        <v>5.4000000000000041E-2</v>
      </c>
      <c r="M345" s="1">
        <f t="shared" si="10"/>
        <v>1.8829049668937548</v>
      </c>
    </row>
    <row r="346" spans="1:13" ht="15">
      <c r="A346" s="63">
        <v>305.34109560120277</v>
      </c>
      <c r="B346" s="63">
        <v>306.09864214465887</v>
      </c>
      <c r="C346" s="63">
        <v>292.55251382154222</v>
      </c>
      <c r="D346" s="63">
        <v>297.26385525877868</v>
      </c>
      <c r="E346" s="63">
        <v>3006008.0924016451</v>
      </c>
      <c r="F346" s="63" t="s">
        <v>400</v>
      </c>
      <c r="G346" s="25">
        <f t="shared" si="9"/>
        <v>2.7171955821512661E-2</v>
      </c>
      <c r="I346" s="64">
        <v>5.6000000000000043E-2</v>
      </c>
      <c r="J346">
        <v>1</v>
      </c>
      <c r="L346" s="25">
        <f t="shared" si="8"/>
        <v>5.5000000000000042E-2</v>
      </c>
      <c r="M346" s="1">
        <f t="shared" si="10"/>
        <v>1.7366293640266881</v>
      </c>
    </row>
    <row r="347" spans="1:13" ht="15">
      <c r="A347" s="63">
        <v>305.32116016584871</v>
      </c>
      <c r="B347" s="63">
        <v>307.65360610227935</v>
      </c>
      <c r="C347" s="63">
        <v>283.10311746369473</v>
      </c>
      <c r="D347" s="63">
        <v>284.47866250312825</v>
      </c>
      <c r="E347" s="63">
        <v>3735594.3663729583</v>
      </c>
      <c r="F347" s="63" t="s">
        <v>401</v>
      </c>
      <c r="G347" s="25">
        <f t="shared" si="9"/>
        <v>7.3265592151366521E-2</v>
      </c>
      <c r="I347" s="64">
        <v>5.7000000000000044E-2</v>
      </c>
      <c r="J347">
        <v>0</v>
      </c>
      <c r="L347" s="25">
        <f t="shared" si="8"/>
        <v>5.6000000000000043E-2</v>
      </c>
      <c r="M347" s="1">
        <f t="shared" si="10"/>
        <v>1.5992849875477357</v>
      </c>
    </row>
    <row r="348" spans="1:13" ht="15">
      <c r="A348" s="63">
        <v>299.01159487627336</v>
      </c>
      <c r="B348" s="63">
        <v>310.99279152409258</v>
      </c>
      <c r="C348" s="63">
        <v>296.98316432899281</v>
      </c>
      <c r="D348" s="63">
        <v>310.99279152409258</v>
      </c>
      <c r="E348" s="63">
        <v>4741259.8882883461</v>
      </c>
      <c r="F348" s="63" t="s">
        <v>402</v>
      </c>
      <c r="G348" s="25">
        <f t="shared" si="9"/>
        <v>-3.8525641025641044E-2</v>
      </c>
      <c r="I348" s="64">
        <v>5.8000000000000045E-2</v>
      </c>
      <c r="J348">
        <v>3</v>
      </c>
      <c r="L348" s="25">
        <f t="shared" si="8"/>
        <v>5.7000000000000044E-2</v>
      </c>
      <c r="M348" s="1">
        <f t="shared" si="10"/>
        <v>1.4705661414692504</v>
      </c>
    </row>
    <row r="349" spans="1:13" ht="15">
      <c r="A349" s="63">
        <v>307.55392892550884</v>
      </c>
      <c r="B349" s="63">
        <v>309.68702050839846</v>
      </c>
      <c r="C349" s="63">
        <v>297.82543647270393</v>
      </c>
      <c r="D349" s="63">
        <v>300.02830207933289</v>
      </c>
      <c r="E349" s="63">
        <v>6042649.0748883393</v>
      </c>
      <c r="F349" s="63" t="s">
        <v>403</v>
      </c>
      <c r="G349" s="25">
        <f t="shared" si="9"/>
        <v>2.5083056478405252E-2</v>
      </c>
      <c r="I349" s="64">
        <v>5.9000000000000045E-2</v>
      </c>
      <c r="J349">
        <v>0</v>
      </c>
      <c r="L349" s="25">
        <f t="shared" si="8"/>
        <v>5.8000000000000045E-2</v>
      </c>
      <c r="M349" s="1">
        <f t="shared" si="10"/>
        <v>1.350153808753209</v>
      </c>
    </row>
    <row r="350" spans="1:13" ht="15">
      <c r="A350" s="63">
        <v>290.94771127553645</v>
      </c>
      <c r="B350" s="63">
        <v>293.24028634125892</v>
      </c>
      <c r="C350" s="63">
        <v>275.16881419275961</v>
      </c>
      <c r="D350" s="63">
        <v>278.12922634284467</v>
      </c>
      <c r="E350" s="63">
        <v>6660019.0887046428</v>
      </c>
      <c r="F350" s="63" t="s">
        <v>404</v>
      </c>
      <c r="G350" s="25">
        <f t="shared" si="9"/>
        <v>4.6088234240045933E-2</v>
      </c>
      <c r="I350" s="64">
        <v>6.0000000000000046E-2</v>
      </c>
      <c r="J350">
        <v>2</v>
      </c>
      <c r="L350" s="25">
        <f t="shared" si="8"/>
        <v>5.9000000000000045E-2</v>
      </c>
      <c r="M350" s="1">
        <f t="shared" si="10"/>
        <v>1.237718581028624</v>
      </c>
    </row>
    <row r="351" spans="1:13" ht="15">
      <c r="A351" s="63">
        <v>277.89996883627248</v>
      </c>
      <c r="B351" s="63">
        <v>283.45198758239167</v>
      </c>
      <c r="C351" s="63">
        <v>258.25359729479851</v>
      </c>
      <c r="D351" s="63">
        <v>280.6410911974624</v>
      </c>
      <c r="E351" s="63">
        <v>10021663.256971512</v>
      </c>
      <c r="F351" s="63" t="s">
        <v>405</v>
      </c>
      <c r="G351" s="25">
        <f t="shared" si="9"/>
        <v>-9.7673592612325111E-3</v>
      </c>
      <c r="I351" s="64">
        <v>6.1000000000000047E-2</v>
      </c>
      <c r="J351">
        <v>0</v>
      </c>
      <c r="L351" s="25">
        <f t="shared" si="8"/>
        <v>6.0000000000000046E-2</v>
      </c>
      <c r="M351" s="1">
        <f t="shared" si="10"/>
        <v>1.132923426215263</v>
      </c>
    </row>
    <row r="352" spans="1:13" ht="15">
      <c r="A352" s="63">
        <v>274.11223611899186</v>
      </c>
      <c r="B352" s="63">
        <v>301.69291093140095</v>
      </c>
      <c r="C352" s="63">
        <v>269.56695685825508</v>
      </c>
      <c r="D352" s="63">
        <v>291.51587118312852</v>
      </c>
      <c r="E352" s="63">
        <v>16135292.472241305</v>
      </c>
      <c r="F352" s="63" t="s">
        <v>406</v>
      </c>
      <c r="G352" s="25">
        <f t="shared" si="9"/>
        <v>-5.9700471859399418E-2</v>
      </c>
      <c r="I352" s="64">
        <v>6.2000000000000048E-2</v>
      </c>
      <c r="J352">
        <v>2</v>
      </c>
      <c r="L352" s="25">
        <f t="shared" si="8"/>
        <v>6.1000000000000047E-2</v>
      </c>
      <c r="M352" s="1">
        <f t="shared" si="10"/>
        <v>1.0354262831668697</v>
      </c>
    </row>
    <row r="353" spans="1:13" ht="15">
      <c r="A353" s="63">
        <v>346.31838297157282</v>
      </c>
      <c r="B353" s="63">
        <v>348.87011869689871</v>
      </c>
      <c r="C353" s="63">
        <v>340.84610596687003</v>
      </c>
      <c r="D353" s="63">
        <v>346.62738221956147</v>
      </c>
      <c r="E353" s="63">
        <v>3237005.8066828609</v>
      </c>
      <c r="F353" s="63" t="s">
        <v>407</v>
      </c>
      <c r="G353" s="25">
        <f t="shared" si="9"/>
        <v>-8.9144500359450429E-4</v>
      </c>
      <c r="I353" s="64">
        <v>6.3000000000000042E-2</v>
      </c>
      <c r="J353">
        <v>0</v>
      </c>
      <c r="L353" s="25">
        <f t="shared" si="8"/>
        <v>6.2000000000000048E-2</v>
      </c>
      <c r="M353" s="1">
        <f t="shared" si="10"/>
        <v>0.94488247510520451</v>
      </c>
    </row>
    <row r="354" spans="1:13" ht="15">
      <c r="A354" s="63">
        <v>345.10232141497221</v>
      </c>
      <c r="B354" s="63">
        <v>350.86366223230954</v>
      </c>
      <c r="C354" s="63">
        <v>331.9249986459065</v>
      </c>
      <c r="D354" s="63">
        <v>332.05457897570818</v>
      </c>
      <c r="E354" s="63">
        <v>4869258.096236893</v>
      </c>
      <c r="F354" s="63" t="s">
        <v>408</v>
      </c>
      <c r="G354" s="25">
        <f t="shared" si="9"/>
        <v>3.9293969321285926E-2</v>
      </c>
      <c r="I354" s="64">
        <v>6.4000000000000043E-2</v>
      </c>
      <c r="J354">
        <v>0</v>
      </c>
      <c r="L354" s="25">
        <f t="shared" si="8"/>
        <v>6.3000000000000042E-2</v>
      </c>
      <c r="M354" s="1">
        <f t="shared" si="10"/>
        <v>0.86094693614878914</v>
      </c>
    </row>
    <row r="355" spans="1:13" ht="15">
      <c r="A355" s="63">
        <v>331.39670960902265</v>
      </c>
      <c r="B355" s="63">
        <v>335.36136931507093</v>
      </c>
      <c r="C355" s="63">
        <v>317.97019389803052</v>
      </c>
      <c r="D355" s="63">
        <v>327.9379115750848</v>
      </c>
      <c r="E355" s="63">
        <v>4591423.1805896405</v>
      </c>
      <c r="F355" s="63" t="s">
        <v>409</v>
      </c>
      <c r="G355" s="25">
        <f t="shared" si="9"/>
        <v>1.0547112462006236E-2</v>
      </c>
      <c r="I355" s="64">
        <v>6.5000000000000044E-2</v>
      </c>
      <c r="J355">
        <v>0</v>
      </c>
      <c r="L355" s="25">
        <f t="shared" si="8"/>
        <v>6.4000000000000043E-2</v>
      </c>
      <c r="M355" s="1">
        <f t="shared" si="10"/>
        <v>0.78327624762476178</v>
      </c>
    </row>
    <row r="356" spans="1:13" ht="15">
      <c r="A356" s="63">
        <v>322.59521490018369</v>
      </c>
      <c r="B356" s="63">
        <v>329.27348606663327</v>
      </c>
      <c r="C356" s="63">
        <v>317.30235681366787</v>
      </c>
      <c r="D356" s="63">
        <v>324.94759627196851</v>
      </c>
      <c r="E356" s="63">
        <v>4045355.3467734866</v>
      </c>
      <c r="F356" s="63" t="s">
        <v>410</v>
      </c>
      <c r="G356" s="25">
        <f t="shared" si="9"/>
        <v>-7.2392638036810064E-3</v>
      </c>
      <c r="I356" s="64">
        <v>6.6000000000000045E-2</v>
      </c>
      <c r="J356">
        <v>1</v>
      </c>
      <c r="L356" s="25">
        <f t="shared" si="8"/>
        <v>6.5000000000000044E-2</v>
      </c>
      <c r="M356" s="1">
        <f t="shared" si="10"/>
        <v>0.71153048307018674</v>
      </c>
    </row>
    <row r="357" spans="1:13" ht="15">
      <c r="A357" s="63">
        <v>315.33871643128822</v>
      </c>
      <c r="B357" s="63">
        <v>319.12644914856884</v>
      </c>
      <c r="C357" s="63">
        <v>310.0359903042721</v>
      </c>
      <c r="D357" s="63">
        <v>319.12644914856884</v>
      </c>
      <c r="E357" s="63">
        <v>2829100.9951973106</v>
      </c>
      <c r="F357" s="63" t="s">
        <v>411</v>
      </c>
      <c r="G357" s="25">
        <f t="shared" si="9"/>
        <v>-1.1869065467266404E-2</v>
      </c>
      <c r="I357" s="64">
        <v>6.7000000000000046E-2</v>
      </c>
      <c r="J357">
        <v>0</v>
      </c>
      <c r="L357" s="25">
        <f t="shared" si="8"/>
        <v>6.6000000000000045E-2</v>
      </c>
      <c r="M357" s="1">
        <f t="shared" si="10"/>
        <v>0.64537486286597079</v>
      </c>
    </row>
    <row r="358" spans="1:13" ht="15">
      <c r="A358" s="63">
        <v>314.22233205145812</v>
      </c>
      <c r="B358" s="63">
        <v>319.47531926726572</v>
      </c>
      <c r="C358" s="63">
        <v>301.49335722350634</v>
      </c>
      <c r="D358" s="63">
        <v>301.49355657785986</v>
      </c>
      <c r="E358" s="63">
        <v>5286180.0170459654</v>
      </c>
      <c r="F358" s="63" t="s">
        <v>412</v>
      </c>
      <c r="G358" s="25">
        <f t="shared" si="9"/>
        <v>4.2219063047574945E-2</v>
      </c>
      <c r="I358" s="64">
        <v>6.8000000000000047E-2</v>
      </c>
      <c r="J358">
        <v>1</v>
      </c>
      <c r="L358" s="25">
        <f t="shared" si="8"/>
        <v>6.7000000000000046E-2</v>
      </c>
      <c r="M358" s="1">
        <f t="shared" si="10"/>
        <v>0.58448122129172919</v>
      </c>
    </row>
    <row r="359" spans="1:13" ht="15">
      <c r="A359" s="63">
        <v>299.79904457276064</v>
      </c>
      <c r="B359" s="63">
        <v>304.12343920977389</v>
      </c>
      <c r="C359" s="63">
        <v>292.07426272739713</v>
      </c>
      <c r="D359" s="63">
        <v>296.13092446760464</v>
      </c>
      <c r="E359" s="63">
        <v>4154079.3330572024</v>
      </c>
      <c r="F359" s="63" t="s">
        <v>413</v>
      </c>
      <c r="G359" s="25">
        <f t="shared" si="9"/>
        <v>1.2386818809115185E-2</v>
      </c>
      <c r="I359" s="64">
        <v>6.9000000000000047E-2</v>
      </c>
      <c r="J359">
        <v>1</v>
      </c>
      <c r="L359" s="25">
        <f t="shared" ref="L359:L370" si="11">L358+0.001</f>
        <v>6.8000000000000047E-2</v>
      </c>
      <c r="M359" s="1">
        <f t="shared" si="10"/>
        <v>0.52852929043649077</v>
      </c>
    </row>
    <row r="360" spans="1:13" ht="15">
      <c r="A360" s="63">
        <v>287.9374605370661</v>
      </c>
      <c r="B360" s="63">
        <v>293.44960841247706</v>
      </c>
      <c r="C360" s="63">
        <v>280.49157543230655</v>
      </c>
      <c r="D360" s="63">
        <v>282.97852099273155</v>
      </c>
      <c r="E360" s="63">
        <v>4868095.3425980462</v>
      </c>
      <c r="F360" s="63" t="s">
        <v>414</v>
      </c>
      <c r="G360" s="25">
        <f t="shared" si="9"/>
        <v>1.7524084608746326E-2</v>
      </c>
      <c r="I360" s="64">
        <v>7.0000000000000048E-2</v>
      </c>
      <c r="J360">
        <v>0</v>
      </c>
      <c r="L360" s="25">
        <f t="shared" si="11"/>
        <v>6.9000000000000047E-2</v>
      </c>
      <c r="M360" s="1">
        <f t="shared" si="10"/>
        <v>0.47720780684474889</v>
      </c>
    </row>
    <row r="361" spans="1:13" ht="15">
      <c r="A361" s="63">
        <v>278.33854841406287</v>
      </c>
      <c r="B361" s="63">
        <v>299.49004532477193</v>
      </c>
      <c r="C361" s="63">
        <v>277.95977514233476</v>
      </c>
      <c r="D361" s="63">
        <v>296.53461703352536</v>
      </c>
      <c r="E361" s="63">
        <v>6942977.5443291133</v>
      </c>
      <c r="F361" s="63" t="s">
        <v>415</v>
      </c>
      <c r="G361" s="25">
        <f t="shared" si="9"/>
        <v>-6.1362375838249217E-2</v>
      </c>
      <c r="I361" s="64">
        <v>7.1000000000000049E-2</v>
      </c>
      <c r="J361">
        <v>0</v>
      </c>
      <c r="L361" s="25">
        <f t="shared" si="11"/>
        <v>7.0000000000000048E-2</v>
      </c>
      <c r="M361" s="1">
        <f t="shared" si="10"/>
        <v>0.43021544801979522</v>
      </c>
    </row>
    <row r="362" spans="1:13" ht="15">
      <c r="A362" s="63">
        <v>304.20477578601862</v>
      </c>
      <c r="B362" s="63">
        <v>308.9992479886817</v>
      </c>
      <c r="C362" s="63">
        <v>279.22567528732066</v>
      </c>
      <c r="D362" s="63">
        <v>281.57805665910547</v>
      </c>
      <c r="E362" s="63">
        <v>14754814.970187239</v>
      </c>
      <c r="F362" s="63" t="s">
        <v>416</v>
      </c>
      <c r="G362" s="25">
        <f t="shared" si="9"/>
        <v>8.0356826790328961E-2</v>
      </c>
      <c r="I362" s="64">
        <v>7.200000000000005E-2</v>
      </c>
      <c r="J362">
        <v>1</v>
      </c>
      <c r="L362" s="25">
        <f t="shared" si="11"/>
        <v>7.1000000000000049E-2</v>
      </c>
      <c r="M362" s="1">
        <f t="shared" si="10"/>
        <v>0.38726160694935946</v>
      </c>
    </row>
    <row r="363" spans="1:13" ht="15">
      <c r="A363" s="63">
        <v>243.05282783729081</v>
      </c>
      <c r="B363" s="63">
        <v>255.16360481491171</v>
      </c>
      <c r="C363" s="63">
        <v>227.31380162522214</v>
      </c>
      <c r="D363" s="63">
        <v>254.68515436641309</v>
      </c>
      <c r="E363" s="63">
        <v>8441425.8836498614</v>
      </c>
      <c r="F363" s="63" t="s">
        <v>417</v>
      </c>
      <c r="G363" s="25">
        <f t="shared" si="9"/>
        <v>-4.5673359164024818E-2</v>
      </c>
      <c r="I363" s="64">
        <v>7.3000000000000051E-2</v>
      </c>
      <c r="J363">
        <v>0</v>
      </c>
      <c r="L363" s="25">
        <f t="shared" si="11"/>
        <v>7.200000000000005E-2</v>
      </c>
      <c r="M363" s="1">
        <f t="shared" si="10"/>
        <v>0.34806701366764081</v>
      </c>
    </row>
    <row r="364" spans="1:13" ht="15">
      <c r="A364" s="63">
        <v>254.80476697853774</v>
      </c>
      <c r="B364" s="63">
        <v>264.6229688904362</v>
      </c>
      <c r="C364" s="63">
        <v>248.75436234856582</v>
      </c>
      <c r="D364" s="63">
        <v>262.64936079037943</v>
      </c>
      <c r="E364" s="63">
        <v>3122476.0781144071</v>
      </c>
      <c r="F364" s="63" t="s">
        <v>418</v>
      </c>
      <c r="G364" s="25">
        <f t="shared" si="9"/>
        <v>-2.9867172675521858E-2</v>
      </c>
      <c r="I364" s="64">
        <v>7.4000000000000052E-2</v>
      </c>
      <c r="J364">
        <v>1</v>
      </c>
      <c r="L364" s="25">
        <f t="shared" si="11"/>
        <v>7.3000000000000051E-2</v>
      </c>
      <c r="M364" s="1">
        <f t="shared" si="10"/>
        <v>0.31236421353056126</v>
      </c>
    </row>
    <row r="365" spans="1:13" ht="15">
      <c r="A365" s="63">
        <v>263.42684276918965</v>
      </c>
      <c r="B365" s="63">
        <v>266.9554148268669</v>
      </c>
      <c r="C365" s="63">
        <v>250.69806729559139</v>
      </c>
      <c r="D365" s="63">
        <v>257.04750345587496</v>
      </c>
      <c r="E365" s="63">
        <v>4129304.3536686427</v>
      </c>
      <c r="F365" s="63" t="s">
        <v>419</v>
      </c>
      <c r="G365" s="25">
        <f t="shared" si="9"/>
        <v>2.4817744687451349E-2</v>
      </c>
      <c r="I365" s="64">
        <v>7.5000000000000053E-2</v>
      </c>
      <c r="J365">
        <v>0</v>
      </c>
      <c r="L365" s="25">
        <f t="shared" si="11"/>
        <v>7.4000000000000052E-2</v>
      </c>
      <c r="M365" s="1">
        <f t="shared" si="10"/>
        <v>0.27989791236708922</v>
      </c>
    </row>
    <row r="366" spans="1:13" ht="15">
      <c r="A366" s="63">
        <v>251.58519416884923</v>
      </c>
      <c r="B366" s="63">
        <v>253.35865049795075</v>
      </c>
      <c r="C366" s="63">
        <v>243.56118143882057</v>
      </c>
      <c r="D366" s="63">
        <v>249.69132781020892</v>
      </c>
      <c r="E366" s="63">
        <v>4593598.2020642059</v>
      </c>
      <c r="F366" s="63" t="s">
        <v>420</v>
      </c>
      <c r="G366" s="25">
        <f t="shared" si="9"/>
        <v>7.5848303393213357E-3</v>
      </c>
      <c r="I366" s="64">
        <v>7.6000000000000054E-2</v>
      </c>
      <c r="J366">
        <v>1</v>
      </c>
      <c r="L366" s="25">
        <f t="shared" si="11"/>
        <v>7.5000000000000053E-2</v>
      </c>
      <c r="M366" s="1">
        <f t="shared" si="10"/>
        <v>0.25042519898998411</v>
      </c>
    </row>
    <row r="367" spans="1:13" ht="15">
      <c r="A367" s="63">
        <v>241.81683084533606</v>
      </c>
      <c r="B367" s="63">
        <v>242.93321522516615</v>
      </c>
      <c r="C367" s="63">
        <v>224.41070385178008</v>
      </c>
      <c r="D367" s="63">
        <v>225.64919277315408</v>
      </c>
      <c r="E367" s="63">
        <v>4567230.0796398483</v>
      </c>
      <c r="F367" s="63" t="s">
        <v>421</v>
      </c>
      <c r="G367" s="25">
        <f t="shared" si="9"/>
        <v>7.1649438996377768E-2</v>
      </c>
      <c r="I367" s="64">
        <v>7.7000000000000055E-2</v>
      </c>
      <c r="J367">
        <v>0</v>
      </c>
      <c r="L367" s="25">
        <f t="shared" si="11"/>
        <v>7.6000000000000054E-2</v>
      </c>
      <c r="M367" s="1">
        <f t="shared" si="10"/>
        <v>0.22371565571677052</v>
      </c>
    </row>
    <row r="368" spans="1:13" ht="15">
      <c r="A368" s="63">
        <v>222.98781215338062</v>
      </c>
      <c r="B368" s="63">
        <v>226.29709442216262</v>
      </c>
      <c r="C368" s="63">
        <v>222.16049158618509</v>
      </c>
      <c r="D368" s="63">
        <v>225.61928962012291</v>
      </c>
      <c r="E368" s="63">
        <v>1892062.0157024295</v>
      </c>
      <c r="F368" s="63" t="s">
        <v>422</v>
      </c>
      <c r="G368" s="25">
        <f t="shared" si="9"/>
        <v>-1.1663353214048877E-2</v>
      </c>
      <c r="I368" s="64">
        <v>7.8000000000000055E-2</v>
      </c>
      <c r="J368">
        <v>1</v>
      </c>
      <c r="L368" s="25">
        <f t="shared" si="11"/>
        <v>7.7000000000000055E-2</v>
      </c>
      <c r="M368" s="1">
        <f t="shared" si="10"/>
        <v>0.19955136757956785</v>
      </c>
    </row>
    <row r="369" spans="1:13" ht="15.75" thickBot="1">
      <c r="A369" s="63">
        <v>225.58938646709174</v>
      </c>
      <c r="B369" s="63">
        <v>228.2607348045423</v>
      </c>
      <c r="C369" s="63">
        <v>221.53252537253067</v>
      </c>
      <c r="D369" s="63">
        <v>222.79842551751656</v>
      </c>
      <c r="E369" s="63">
        <v>1592540.0893468349</v>
      </c>
      <c r="F369" s="63" t="s">
        <v>423</v>
      </c>
      <c r="G369" s="25">
        <f t="shared" si="9"/>
        <v>1.252684323550457E-2</v>
      </c>
      <c r="I369" s="65" t="s">
        <v>1165</v>
      </c>
      <c r="J369" s="65">
        <v>10</v>
      </c>
      <c r="L369" s="25">
        <f t="shared" si="11"/>
        <v>7.8000000000000055E-2</v>
      </c>
      <c r="M369" s="1">
        <f t="shared" si="10"/>
        <v>0.17772684080463991</v>
      </c>
    </row>
    <row r="370" spans="1:13">
      <c r="A370" s="63">
        <v>225.80867625598694</v>
      </c>
      <c r="B370" s="63">
        <v>227.44338195502385</v>
      </c>
      <c r="C370" s="63">
        <v>222.02104321588311</v>
      </c>
      <c r="D370" s="63">
        <v>227.44338195502385</v>
      </c>
      <c r="E370" s="63">
        <v>1471195.3603739885</v>
      </c>
      <c r="F370" s="63" t="s">
        <v>424</v>
      </c>
      <c r="G370" s="25">
        <f t="shared" si="9"/>
        <v>-7.1873082654045906E-3</v>
      </c>
      <c r="L370" s="25">
        <f t="shared" si="11"/>
        <v>7.9000000000000056E-2</v>
      </c>
      <c r="M370" s="1">
        <f t="shared" si="10"/>
        <v>0.15804884093354898</v>
      </c>
    </row>
    <row r="371" spans="1:13">
      <c r="A371" s="63">
        <v>227.90189696816833</v>
      </c>
      <c r="B371" s="63">
        <v>229.48626569293612</v>
      </c>
      <c r="C371" s="63">
        <v>226.58516146302946</v>
      </c>
      <c r="D371" s="63">
        <v>227.83212294442896</v>
      </c>
      <c r="E371" s="63">
        <v>923646.74625503982</v>
      </c>
      <c r="F371" s="63" t="s">
        <v>425</v>
      </c>
      <c r="G371" s="25">
        <f t="shared" si="9"/>
        <v>3.0625191407440688E-4</v>
      </c>
    </row>
    <row r="372" spans="1:13">
      <c r="A372" s="63">
        <v>229.04818450102957</v>
      </c>
      <c r="B372" s="63">
        <v>229.36715146669533</v>
      </c>
      <c r="C372" s="63">
        <v>226.42258798771672</v>
      </c>
      <c r="D372" s="63">
        <v>228.50494388763013</v>
      </c>
      <c r="E372" s="63">
        <v>981545.65738978575</v>
      </c>
      <c r="F372" s="63" t="s">
        <v>426</v>
      </c>
      <c r="G372" s="25">
        <f t="shared" si="9"/>
        <v>2.3773691901676219E-3</v>
      </c>
    </row>
    <row r="373" spans="1:13">
      <c r="A373" s="63">
        <v>227.54305913179439</v>
      </c>
      <c r="B373" s="63">
        <v>228.61957264091626</v>
      </c>
      <c r="C373" s="63">
        <v>220.98430090029268</v>
      </c>
      <c r="D373" s="63">
        <v>226.26719126913144</v>
      </c>
      <c r="E373" s="63">
        <v>1941417.3461741677</v>
      </c>
      <c r="F373" s="63" t="s">
        <v>427</v>
      </c>
      <c r="G373" s="25">
        <f t="shared" si="9"/>
        <v>5.6387665198238679E-3</v>
      </c>
    </row>
    <row r="374" spans="1:13">
      <c r="A374" s="63">
        <v>226.28712670448556</v>
      </c>
      <c r="B374" s="63">
        <v>230.95201857734693</v>
      </c>
      <c r="C374" s="63">
        <v>218.93095105881952</v>
      </c>
      <c r="D374" s="63">
        <v>221.10391351241734</v>
      </c>
      <c r="E374" s="63">
        <v>5001713.6936741378</v>
      </c>
      <c r="F374" s="63" t="s">
        <v>428</v>
      </c>
      <c r="G374" s="25">
        <f t="shared" si="9"/>
        <v>2.3442430799747616E-2</v>
      </c>
    </row>
    <row r="375" spans="1:13">
      <c r="A375" s="63">
        <v>224.44309893423051</v>
      </c>
      <c r="B375" s="63">
        <v>233.03527157185127</v>
      </c>
      <c r="C375" s="63">
        <v>224.25371229836648</v>
      </c>
      <c r="D375" s="63">
        <v>228.12118675706355</v>
      </c>
      <c r="E375" s="63">
        <v>3638531.023354406</v>
      </c>
      <c r="F375" s="63" t="s">
        <v>429</v>
      </c>
      <c r="G375" s="25">
        <f t="shared" si="9"/>
        <v>-1.612339421480391E-2</v>
      </c>
    </row>
    <row r="376" spans="1:13">
      <c r="A376" s="63">
        <v>225.0311942771767</v>
      </c>
      <c r="B376" s="63">
        <v>236.22494122850864</v>
      </c>
      <c r="C376" s="63">
        <v>224.04439022714837</v>
      </c>
      <c r="D376" s="63">
        <v>233.56356060873514</v>
      </c>
      <c r="E376" s="63">
        <v>3184006.7132980125</v>
      </c>
      <c r="F376" s="63" t="s">
        <v>430</v>
      </c>
      <c r="G376" s="25">
        <f t="shared" si="9"/>
        <v>-3.653123933082969E-2</v>
      </c>
    </row>
    <row r="377" spans="1:13">
      <c r="A377" s="63">
        <v>233.48381886731872</v>
      </c>
      <c r="B377" s="63">
        <v>237.31142245530756</v>
      </c>
      <c r="C377" s="63">
        <v>228.12118675706355</v>
      </c>
      <c r="D377" s="63">
        <v>236.89277831287126</v>
      </c>
      <c r="E377" s="63">
        <v>2514589.6796113267</v>
      </c>
      <c r="F377" s="63" t="s">
        <v>431</v>
      </c>
      <c r="G377" s="25">
        <f t="shared" si="9"/>
        <v>-1.4390305478414467E-2</v>
      </c>
    </row>
    <row r="378" spans="1:13">
      <c r="A378" s="63">
        <v>238.52748401190817</v>
      </c>
      <c r="B378" s="63">
        <v>242.91327978981204</v>
      </c>
      <c r="C378" s="63">
        <v>236.48220802175339</v>
      </c>
      <c r="D378" s="63">
        <v>239.27506283768724</v>
      </c>
      <c r="E378" s="63">
        <v>1980751.3253961664</v>
      </c>
      <c r="F378" s="63" t="s">
        <v>432</v>
      </c>
      <c r="G378" s="25">
        <f t="shared" si="9"/>
        <v>-3.1243490939387719E-3</v>
      </c>
    </row>
    <row r="379" spans="1:13">
      <c r="A379" s="63">
        <v>238.29822650533592</v>
      </c>
      <c r="B379" s="63">
        <v>242.6341836948545</v>
      </c>
      <c r="C379" s="63">
        <v>235.73652306233299</v>
      </c>
      <c r="D379" s="63">
        <v>241.20880006703578</v>
      </c>
      <c r="E379" s="63">
        <v>2011579.8470252836</v>
      </c>
      <c r="F379" s="63" t="s">
        <v>433</v>
      </c>
      <c r="G379" s="25">
        <f t="shared" si="9"/>
        <v>-1.2066614322906011E-2</v>
      </c>
    </row>
    <row r="380" spans="1:13">
      <c r="A380" s="63">
        <v>238.24838791695066</v>
      </c>
      <c r="B380" s="63">
        <v>247.32897872074707</v>
      </c>
      <c r="C380" s="63">
        <v>238.14871074018009</v>
      </c>
      <c r="D380" s="63">
        <v>242.17566868171002</v>
      </c>
      <c r="E380" s="63">
        <v>2831141.5826877472</v>
      </c>
      <c r="F380" s="63" t="s">
        <v>434</v>
      </c>
      <c r="G380" s="25">
        <f t="shared" ref="G380:G443" si="12">A380/D380-1</f>
        <v>-1.6216661178794833E-2</v>
      </c>
    </row>
    <row r="381" spans="1:13">
      <c r="A381" s="63">
        <v>235.8362002391035</v>
      </c>
      <c r="B381" s="63">
        <v>238.67530526505888</v>
      </c>
      <c r="C381" s="63">
        <v>231.37066271978321</v>
      </c>
      <c r="D381" s="63">
        <v>234.01210790420259</v>
      </c>
      <c r="E381" s="63">
        <v>2394475.9245080794</v>
      </c>
      <c r="F381" s="63" t="s">
        <v>435</v>
      </c>
      <c r="G381" s="25">
        <f t="shared" si="12"/>
        <v>7.794863057460466E-3</v>
      </c>
    </row>
    <row r="382" spans="1:13">
      <c r="A382" s="63">
        <v>231.58995250867841</v>
      </c>
      <c r="B382" s="63">
        <v>238.72683836544925</v>
      </c>
      <c r="C382" s="63">
        <v>229.96521452731858</v>
      </c>
      <c r="D382" s="63">
        <v>237.11206810176645</v>
      </c>
      <c r="E382" s="63">
        <v>2780433.8864652179</v>
      </c>
      <c r="F382" s="63" t="s">
        <v>436</v>
      </c>
      <c r="G382" s="25">
        <f t="shared" si="12"/>
        <v>-2.3289053304186957E-2</v>
      </c>
    </row>
    <row r="383" spans="1:13">
      <c r="A383" s="63">
        <v>239.07570848414613</v>
      </c>
      <c r="B383" s="63">
        <v>253.18002899717791</v>
      </c>
      <c r="C383" s="63">
        <v>235.56707186182308</v>
      </c>
      <c r="D383" s="63">
        <v>252.97070692595977</v>
      </c>
      <c r="E383" s="63">
        <v>3273008.0302235717</v>
      </c>
      <c r="F383" s="63" t="s">
        <v>437</v>
      </c>
      <c r="G383" s="25">
        <f t="shared" si="12"/>
        <v>-5.4927302100161612E-2</v>
      </c>
    </row>
    <row r="384" spans="1:13">
      <c r="A384" s="63">
        <v>252.81122344312689</v>
      </c>
      <c r="B384" s="63">
        <v>257.73527597559172</v>
      </c>
      <c r="C384" s="63">
        <v>249.61168574596925</v>
      </c>
      <c r="D384" s="63">
        <v>255.62211982805619</v>
      </c>
      <c r="E384" s="63">
        <v>1334375.6746459876</v>
      </c>
      <c r="F384" s="63" t="s">
        <v>438</v>
      </c>
      <c r="G384" s="25">
        <f t="shared" si="12"/>
        <v>-1.0996295574186021E-2</v>
      </c>
    </row>
    <row r="385" spans="1:7">
      <c r="A385" s="63">
        <v>255.26328199168222</v>
      </c>
      <c r="B385" s="63">
        <v>258.92143437916116</v>
      </c>
      <c r="C385" s="63">
        <v>252.28293440624302</v>
      </c>
      <c r="D385" s="63">
        <v>252.9009329022204</v>
      </c>
      <c r="E385" s="63">
        <v>2125026.0778112044</v>
      </c>
      <c r="F385" s="63" t="s">
        <v>439</v>
      </c>
      <c r="G385" s="25">
        <f t="shared" si="12"/>
        <v>9.3410058332017432E-3</v>
      </c>
    </row>
    <row r="386" spans="1:7">
      <c r="A386" s="63">
        <v>253.379383350719</v>
      </c>
      <c r="B386" s="63">
        <v>256.82821366697982</v>
      </c>
      <c r="C386" s="63">
        <v>250.18971369406165</v>
      </c>
      <c r="D386" s="63">
        <v>251.86429026380677</v>
      </c>
      <c r="E386" s="63">
        <v>2709904.2002544664</v>
      </c>
      <c r="F386" s="63" t="s">
        <v>440</v>
      </c>
      <c r="G386" s="25">
        <f t="shared" si="12"/>
        <v>6.0155136932087405E-3</v>
      </c>
    </row>
    <row r="387" spans="1:7">
      <c r="A387" s="63">
        <v>246.71098022476968</v>
      </c>
      <c r="B387" s="63">
        <v>253.35944791536491</v>
      </c>
      <c r="C387" s="63">
        <v>245.78398248080367</v>
      </c>
      <c r="D387" s="63">
        <v>250.65869481076703</v>
      </c>
      <c r="E387" s="63">
        <v>1790351.6710832375</v>
      </c>
      <c r="F387" s="63" t="s">
        <v>441</v>
      </c>
      <c r="G387" s="25">
        <f t="shared" si="12"/>
        <v>-1.5749362251238241E-2</v>
      </c>
    </row>
    <row r="388" spans="1:7">
      <c r="A388" s="63">
        <v>248.77429778391996</v>
      </c>
      <c r="B388" s="63">
        <v>257.60569564578998</v>
      </c>
      <c r="C388" s="63">
        <v>248.70452376018054</v>
      </c>
      <c r="D388" s="63">
        <v>256.17034430029418</v>
      </c>
      <c r="E388" s="63">
        <v>1914609.805204672</v>
      </c>
      <c r="F388" s="63" t="s">
        <v>442</v>
      </c>
      <c r="G388" s="25">
        <f t="shared" si="12"/>
        <v>-2.887159533073913E-2</v>
      </c>
    </row>
    <row r="389" spans="1:7">
      <c r="A389" s="63">
        <v>255.73176472250381</v>
      </c>
      <c r="B389" s="63">
        <v>259.94711252813005</v>
      </c>
      <c r="C389" s="63">
        <v>254.37615511842441</v>
      </c>
      <c r="D389" s="63">
        <v>257.14718063264553</v>
      </c>
      <c r="E389" s="63">
        <v>1189537.1020885576</v>
      </c>
      <c r="F389" s="63" t="s">
        <v>443</v>
      </c>
      <c r="G389" s="25">
        <f t="shared" si="12"/>
        <v>-5.504302659120941E-3</v>
      </c>
    </row>
    <row r="390" spans="1:7">
      <c r="A390" s="63">
        <v>252.57199821887758</v>
      </c>
      <c r="B390" s="63">
        <v>265.14129020964299</v>
      </c>
      <c r="C390" s="63">
        <v>250.04019792890583</v>
      </c>
      <c r="D390" s="63">
        <v>264.14451844193758</v>
      </c>
      <c r="E390" s="63">
        <v>2305667.2294105268</v>
      </c>
      <c r="F390" s="63" t="s">
        <v>444</v>
      </c>
      <c r="G390" s="25">
        <f t="shared" si="12"/>
        <v>-4.3811320754717054E-2</v>
      </c>
    </row>
    <row r="391" spans="1:7">
      <c r="A391" s="63">
        <v>265.86893360006798</v>
      </c>
      <c r="B391" s="63">
        <v>266.26764230715014</v>
      </c>
      <c r="C391" s="63">
        <v>248.39552451219186</v>
      </c>
      <c r="D391" s="63">
        <v>248.74439463088879</v>
      </c>
      <c r="E391" s="63">
        <v>3894220.4482131163</v>
      </c>
      <c r="F391" s="63" t="s">
        <v>445</v>
      </c>
      <c r="G391" s="25">
        <f t="shared" si="12"/>
        <v>6.8843919054297764E-2</v>
      </c>
    </row>
    <row r="392" spans="1:7">
      <c r="A392" s="63">
        <v>248.12639613491143</v>
      </c>
      <c r="B392" s="63">
        <v>254.78483154318366</v>
      </c>
      <c r="C392" s="63">
        <v>242.21553955241825</v>
      </c>
      <c r="D392" s="63">
        <v>252.68164311332521</v>
      </c>
      <c r="E392" s="63">
        <v>3470800.5504249111</v>
      </c>
      <c r="F392" s="63" t="s">
        <v>446</v>
      </c>
      <c r="G392" s="25">
        <f t="shared" si="12"/>
        <v>-1.8027613412228694E-2</v>
      </c>
    </row>
    <row r="393" spans="1:7">
      <c r="A393" s="63">
        <v>249.08329703190861</v>
      </c>
      <c r="B393" s="63">
        <v>252.41251473604473</v>
      </c>
      <c r="C393" s="63">
        <v>244.23898624086024</v>
      </c>
      <c r="D393" s="63">
        <v>250.39903576527979</v>
      </c>
      <c r="E393" s="63">
        <v>2479554.5781653952</v>
      </c>
      <c r="F393" s="63" t="s">
        <v>447</v>
      </c>
      <c r="G393" s="25">
        <f t="shared" si="12"/>
        <v>-5.2545678914056593E-3</v>
      </c>
    </row>
    <row r="394" spans="1:7">
      <c r="A394" s="63">
        <v>251.02700197893421</v>
      </c>
      <c r="B394" s="63">
        <v>251.37587209763109</v>
      </c>
      <c r="C394" s="63">
        <v>233.35423853751703</v>
      </c>
      <c r="D394" s="63">
        <v>236.54390819417438</v>
      </c>
      <c r="E394" s="63">
        <v>3598022.2516293097</v>
      </c>
      <c r="F394" s="63" t="s">
        <v>448</v>
      </c>
      <c r="G394" s="25">
        <f t="shared" si="12"/>
        <v>6.1227929712190932E-2</v>
      </c>
    </row>
    <row r="395" spans="1:7">
      <c r="A395" s="63">
        <v>234.6600095532111</v>
      </c>
      <c r="B395" s="63">
        <v>240.70044646550599</v>
      </c>
      <c r="C395" s="63">
        <v>231.39059815513733</v>
      </c>
      <c r="D395" s="63">
        <v>237.37122876136985</v>
      </c>
      <c r="E395" s="63">
        <v>2575957.7901275521</v>
      </c>
      <c r="F395" s="63" t="s">
        <v>449</v>
      </c>
      <c r="G395" s="25">
        <f t="shared" si="12"/>
        <v>-1.1421852691693934E-2</v>
      </c>
    </row>
    <row r="396" spans="1:7">
      <c r="A396" s="63">
        <v>233.82272126833857</v>
      </c>
      <c r="B396" s="63">
        <v>234.13172051632722</v>
      </c>
      <c r="C396" s="63">
        <v>225.37009667819655</v>
      </c>
      <c r="D396" s="63">
        <v>225.57443489057619</v>
      </c>
      <c r="E396" s="63">
        <v>2204623.0352798547</v>
      </c>
      <c r="F396" s="63" t="s">
        <v>450</v>
      </c>
      <c r="G396" s="25">
        <f t="shared" si="12"/>
        <v>3.6565696736704956E-2</v>
      </c>
    </row>
    <row r="397" spans="1:7">
      <c r="A397" s="63">
        <v>229.53660266720524</v>
      </c>
      <c r="B397" s="63">
        <v>231.29092097836678</v>
      </c>
      <c r="C397" s="63">
        <v>220.46597958108589</v>
      </c>
      <c r="D397" s="63">
        <v>225.26045178374898</v>
      </c>
      <c r="E397" s="63">
        <v>3305673.4818895566</v>
      </c>
      <c r="F397" s="63" t="s">
        <v>451</v>
      </c>
      <c r="G397" s="25">
        <f t="shared" si="12"/>
        <v>1.8983140846940083E-2</v>
      </c>
    </row>
    <row r="398" spans="1:7">
      <c r="A398" s="63">
        <v>223.55597206097269</v>
      </c>
      <c r="B398" s="63">
        <v>227.01477009491052</v>
      </c>
      <c r="C398" s="63">
        <v>220.94443002958448</v>
      </c>
      <c r="D398" s="63">
        <v>224.12413196856477</v>
      </c>
      <c r="E398" s="63">
        <v>2726501.781100967</v>
      </c>
      <c r="F398" s="63" t="s">
        <v>452</v>
      </c>
      <c r="G398" s="25">
        <f t="shared" si="12"/>
        <v>-2.5350233488992124E-3</v>
      </c>
    </row>
    <row r="399" spans="1:7">
      <c r="A399" s="63">
        <v>224.30105895733254</v>
      </c>
      <c r="B399" s="63">
        <v>230.43156975322023</v>
      </c>
      <c r="C399" s="63">
        <v>224.04230363153209</v>
      </c>
      <c r="D399" s="63">
        <v>227.10755902947591</v>
      </c>
      <c r="E399" s="63">
        <v>2525296.1189440838</v>
      </c>
      <c r="F399" s="63" t="s">
        <v>453</v>
      </c>
      <c r="G399" s="25">
        <f t="shared" si="12"/>
        <v>-1.2357581069237344E-2</v>
      </c>
    </row>
    <row r="400" spans="1:7">
      <c r="A400" s="63">
        <v>224.87828237642586</v>
      </c>
      <c r="B400" s="63">
        <v>231.6556814868147</v>
      </c>
      <c r="C400" s="63">
        <v>224.5299578993868</v>
      </c>
      <c r="D400" s="63">
        <v>229.89415484578851</v>
      </c>
      <c r="E400" s="63">
        <v>2993802.9588515586</v>
      </c>
      <c r="F400" s="63" t="s">
        <v>454</v>
      </c>
      <c r="G400" s="25">
        <f t="shared" si="12"/>
        <v>-2.1818181818181737E-2</v>
      </c>
    </row>
    <row r="401" spans="1:7">
      <c r="A401" s="63">
        <v>227.60516542524601</v>
      </c>
      <c r="B401" s="63">
        <v>234.85031454765874</v>
      </c>
      <c r="C401" s="63">
        <v>224.60957492271001</v>
      </c>
      <c r="D401" s="63">
        <v>234.31289964022704</v>
      </c>
      <c r="E401" s="63">
        <v>4481467.7201823322</v>
      </c>
      <c r="F401" s="63" t="s">
        <v>455</v>
      </c>
      <c r="G401" s="25">
        <f t="shared" si="12"/>
        <v>-2.862725110431541E-2</v>
      </c>
    </row>
    <row r="402" spans="1:7">
      <c r="A402" s="63">
        <v>236.13413904874565</v>
      </c>
      <c r="B402" s="63">
        <v>242.74235198457262</v>
      </c>
      <c r="C402" s="63">
        <v>233.16840492995581</v>
      </c>
      <c r="D402" s="63">
        <v>240.83154342481544</v>
      </c>
      <c r="E402" s="63">
        <v>3398334.5358391656</v>
      </c>
      <c r="F402" s="63" t="s">
        <v>456</v>
      </c>
      <c r="G402" s="25">
        <f t="shared" si="12"/>
        <v>-1.9504938220587631E-2</v>
      </c>
    </row>
    <row r="403" spans="1:7">
      <c r="A403" s="63">
        <v>238.22408591098008</v>
      </c>
      <c r="B403" s="63">
        <v>246.81267278069294</v>
      </c>
      <c r="C403" s="63">
        <v>235.69624542046796</v>
      </c>
      <c r="D403" s="63">
        <v>242.0855115421561</v>
      </c>
      <c r="E403" s="63">
        <v>5186946.9965423299</v>
      </c>
      <c r="F403" s="63" t="s">
        <v>457</v>
      </c>
      <c r="G403" s="25">
        <f t="shared" si="12"/>
        <v>-1.5950668036998961E-2</v>
      </c>
    </row>
    <row r="404" spans="1:7">
      <c r="A404" s="63">
        <v>240.43345830819933</v>
      </c>
      <c r="B404" s="63">
        <v>247.16109677901116</v>
      </c>
      <c r="C404" s="63">
        <v>237.25604242864893</v>
      </c>
      <c r="D404" s="63">
        <v>241.35900620433173</v>
      </c>
      <c r="E404" s="63">
        <v>4174910.1652620053</v>
      </c>
      <c r="F404" s="63" t="s">
        <v>458</v>
      </c>
      <c r="G404" s="25">
        <f t="shared" si="12"/>
        <v>-3.8347352795645717E-3</v>
      </c>
    </row>
    <row r="405" spans="1:7">
      <c r="A405" s="63">
        <v>233.86505388403396</v>
      </c>
      <c r="B405" s="63">
        <v>240.84149555273083</v>
      </c>
      <c r="C405" s="63">
        <v>232.64094215043949</v>
      </c>
      <c r="D405" s="63">
        <v>237.67671887563296</v>
      </c>
      <c r="E405" s="63">
        <v>4813178.6897420138</v>
      </c>
      <c r="F405" s="63" t="s">
        <v>459</v>
      </c>
      <c r="G405" s="25">
        <f t="shared" si="12"/>
        <v>-1.6037182815509587E-2</v>
      </c>
    </row>
    <row r="406" spans="1:7">
      <c r="A406" s="63">
        <v>232.63099002252409</v>
      </c>
      <c r="B406" s="63">
        <v>235.72610180421415</v>
      </c>
      <c r="C406" s="63">
        <v>225.91330367962769</v>
      </c>
      <c r="D406" s="63">
        <v>229.24726653128738</v>
      </c>
      <c r="E406" s="63">
        <v>6377958.617449645</v>
      </c>
      <c r="F406" s="63" t="s">
        <v>460</v>
      </c>
      <c r="G406" s="25">
        <f t="shared" si="12"/>
        <v>1.4760147601476037E-2</v>
      </c>
    </row>
    <row r="407" spans="1:7">
      <c r="A407" s="63">
        <v>224.86833024851043</v>
      </c>
      <c r="B407" s="63">
        <v>234.37022389701977</v>
      </c>
      <c r="C407" s="63">
        <v>223.6044100032544</v>
      </c>
      <c r="D407" s="63">
        <v>231.38697403309882</v>
      </c>
      <c r="E407" s="63">
        <v>10770937.724193128</v>
      </c>
      <c r="F407" s="63" t="s">
        <v>461</v>
      </c>
      <c r="G407" s="25">
        <f t="shared" si="12"/>
        <v>-2.8172043010752712E-2</v>
      </c>
    </row>
    <row r="408" spans="1:7">
      <c r="A408" s="63">
        <v>256.86442149652822</v>
      </c>
      <c r="B408" s="63">
        <v>263.50249081610139</v>
      </c>
      <c r="C408" s="63">
        <v>255.59054912335674</v>
      </c>
      <c r="D408" s="63">
        <v>261.47225672135937</v>
      </c>
      <c r="E408" s="63">
        <v>2817978.249314623</v>
      </c>
      <c r="F408" s="63" t="s">
        <v>462</v>
      </c>
      <c r="G408" s="25">
        <f t="shared" si="12"/>
        <v>-1.7622654436112994E-2</v>
      </c>
    </row>
    <row r="409" spans="1:7">
      <c r="A409" s="63">
        <v>261.7011556634136</v>
      </c>
      <c r="B409" s="63">
        <v>262.92516787572896</v>
      </c>
      <c r="C409" s="63">
        <v>258.1085370072326</v>
      </c>
      <c r="D409" s="63">
        <v>260.48699605773459</v>
      </c>
      <c r="E409" s="63">
        <v>2301870.5340941567</v>
      </c>
      <c r="F409" s="63" t="s">
        <v>463</v>
      </c>
      <c r="G409" s="25">
        <f t="shared" si="12"/>
        <v>4.6611140826773312E-3</v>
      </c>
    </row>
    <row r="410" spans="1:7">
      <c r="A410" s="63">
        <v>260.52680456939618</v>
      </c>
      <c r="B410" s="63">
        <v>266.71702813277631</v>
      </c>
      <c r="C410" s="63">
        <v>260.17848009235712</v>
      </c>
      <c r="D410" s="63">
        <v>265.60238980625127</v>
      </c>
      <c r="E410" s="63">
        <v>1839829.6480557448</v>
      </c>
      <c r="F410" s="63" t="s">
        <v>464</v>
      </c>
      <c r="G410" s="25">
        <f t="shared" si="12"/>
        <v>-1.9109712230215847E-2</v>
      </c>
    </row>
    <row r="411" spans="1:7">
      <c r="A411" s="63">
        <v>263.73138975815567</v>
      </c>
      <c r="B411" s="63">
        <v>265.95071428329032</v>
      </c>
      <c r="C411" s="63">
        <v>260.44718754607294</v>
      </c>
      <c r="D411" s="63">
        <v>265.00526213132707</v>
      </c>
      <c r="E411" s="63">
        <v>1838459.0868937555</v>
      </c>
      <c r="F411" s="63" t="s">
        <v>465</v>
      </c>
      <c r="G411" s="25">
        <f t="shared" si="12"/>
        <v>-4.806970106654429E-3</v>
      </c>
    </row>
    <row r="412" spans="1:7">
      <c r="A412" s="63">
        <v>265.7019110854053</v>
      </c>
      <c r="B412" s="63">
        <v>269.89175693778958</v>
      </c>
      <c r="C412" s="63">
        <v>263.74134188607104</v>
      </c>
      <c r="D412" s="63">
        <v>265.61234193416664</v>
      </c>
      <c r="E412" s="63">
        <v>1550164.9628241016</v>
      </c>
      <c r="F412" s="63" t="s">
        <v>466</v>
      </c>
      <c r="G412" s="25">
        <f t="shared" si="12"/>
        <v>3.3721758027671633E-4</v>
      </c>
    </row>
    <row r="413" spans="1:7">
      <c r="A413" s="63">
        <v>263.14421421114696</v>
      </c>
      <c r="B413" s="63">
        <v>268.44869839005628</v>
      </c>
      <c r="C413" s="63">
        <v>261.83053332631386</v>
      </c>
      <c r="D413" s="63">
        <v>267.71224092431652</v>
      </c>
      <c r="E413" s="63">
        <v>2026206.8746918093</v>
      </c>
      <c r="F413" s="63" t="s">
        <v>467</v>
      </c>
      <c r="G413" s="25">
        <f t="shared" si="12"/>
        <v>-1.7063197026022325E-2</v>
      </c>
    </row>
    <row r="414" spans="1:7">
      <c r="A414" s="63">
        <v>263.23378336238557</v>
      </c>
      <c r="B414" s="63">
        <v>266.51798557446824</v>
      </c>
      <c r="C414" s="63">
        <v>261.31302267471295</v>
      </c>
      <c r="D414" s="63">
        <v>266.50803344655287</v>
      </c>
      <c r="E414" s="63">
        <v>1561180.6974420554</v>
      </c>
      <c r="F414" s="63" t="s">
        <v>468</v>
      </c>
      <c r="G414" s="25">
        <f t="shared" si="12"/>
        <v>-1.2285746293737687E-2</v>
      </c>
    </row>
    <row r="415" spans="1:7">
      <c r="A415" s="63">
        <v>264.7763631892729</v>
      </c>
      <c r="B415" s="63">
        <v>266.64308382236487</v>
      </c>
      <c r="C415" s="63">
        <v>261.35283118637454</v>
      </c>
      <c r="D415" s="63">
        <v>263.73138975815567</v>
      </c>
      <c r="E415" s="63">
        <v>2646397.8582148161</v>
      </c>
      <c r="F415" s="63" t="s">
        <v>469</v>
      </c>
      <c r="G415" s="25">
        <f t="shared" si="12"/>
        <v>3.962264150943362E-3</v>
      </c>
    </row>
    <row r="416" spans="1:7">
      <c r="A416" s="63">
        <v>264.72660254969588</v>
      </c>
      <c r="B416" s="63">
        <v>270.12563194380152</v>
      </c>
      <c r="C416" s="63">
        <v>264.57732063096483</v>
      </c>
      <c r="D416" s="63">
        <v>269.07568244872658</v>
      </c>
      <c r="E416" s="63">
        <v>2144378.5873141829</v>
      </c>
      <c r="F416" s="63" t="s">
        <v>470</v>
      </c>
      <c r="G416" s="25">
        <f t="shared" si="12"/>
        <v>-1.6163035839775075E-2</v>
      </c>
    </row>
    <row r="417" spans="1:7">
      <c r="A417" s="63">
        <v>272.40964530038633</v>
      </c>
      <c r="B417" s="63">
        <v>272.8077304170024</v>
      </c>
      <c r="C417" s="63">
        <v>266.72698026069168</v>
      </c>
      <c r="D417" s="63">
        <v>271.77270911380054</v>
      </c>
      <c r="E417" s="63">
        <v>1658825.1417519071</v>
      </c>
      <c r="F417" s="63" t="s">
        <v>471</v>
      </c>
      <c r="G417" s="25">
        <f t="shared" si="12"/>
        <v>2.343635564669988E-3</v>
      </c>
    </row>
    <row r="418" spans="1:7">
      <c r="A418" s="63">
        <v>268.86668776250315</v>
      </c>
      <c r="B418" s="63">
        <v>271.27510271803044</v>
      </c>
      <c r="C418" s="63">
        <v>263.73138975815567</v>
      </c>
      <c r="D418" s="63">
        <v>266.49808131863739</v>
      </c>
      <c r="E418" s="63">
        <v>1717034.8035372472</v>
      </c>
      <c r="F418" s="63" t="s">
        <v>472</v>
      </c>
      <c r="G418" s="25">
        <f t="shared" si="12"/>
        <v>8.8878930465310368E-3</v>
      </c>
    </row>
    <row r="419" spans="1:7">
      <c r="A419" s="63">
        <v>269.90170906570495</v>
      </c>
      <c r="B419" s="63">
        <v>283.63564558895985</v>
      </c>
      <c r="C419" s="63">
        <v>269.24496814456757</v>
      </c>
      <c r="D419" s="63">
        <v>283.63564558895985</v>
      </c>
      <c r="E419" s="63">
        <v>3225356.4537009955</v>
      </c>
      <c r="F419" s="63" t="s">
        <v>473</v>
      </c>
      <c r="G419" s="25">
        <f t="shared" si="12"/>
        <v>-4.842105263157892E-2</v>
      </c>
    </row>
    <row r="420" spans="1:7">
      <c r="A420" s="63">
        <v>278.46053907295078</v>
      </c>
      <c r="B420" s="63">
        <v>278.89843270122844</v>
      </c>
      <c r="C420" s="63">
        <v>262.85560250160029</v>
      </c>
      <c r="D420" s="63">
        <v>266.93597494691517</v>
      </c>
      <c r="E420" s="63">
        <v>2481174.9014785769</v>
      </c>
      <c r="F420" s="63" t="s">
        <v>474</v>
      </c>
      <c r="G420" s="25">
        <f t="shared" si="12"/>
        <v>4.3173514279322811E-2</v>
      </c>
    </row>
    <row r="421" spans="1:7">
      <c r="A421" s="63">
        <v>264.87588446842688</v>
      </c>
      <c r="B421" s="63">
        <v>268.50841115754866</v>
      </c>
      <c r="C421" s="63">
        <v>261.08412373265867</v>
      </c>
      <c r="D421" s="63">
        <v>268.50841115754866</v>
      </c>
      <c r="E421" s="63">
        <v>3015361.1624662806</v>
      </c>
      <c r="F421" s="63" t="s">
        <v>475</v>
      </c>
      <c r="G421" s="25">
        <f t="shared" si="12"/>
        <v>-1.35285396590068E-2</v>
      </c>
    </row>
    <row r="422" spans="1:7">
      <c r="A422" s="63">
        <v>270.4391239731367</v>
      </c>
      <c r="B422" s="63">
        <v>271.51385426672095</v>
      </c>
      <c r="C422" s="63">
        <v>263.94038444437911</v>
      </c>
      <c r="D422" s="63">
        <v>266.28908663241401</v>
      </c>
      <c r="E422" s="63">
        <v>2239980.2524141194</v>
      </c>
      <c r="F422" s="63" t="s">
        <v>476</v>
      </c>
      <c r="G422" s="25">
        <f t="shared" si="12"/>
        <v>1.5584706805695792E-2</v>
      </c>
    </row>
    <row r="423" spans="1:7">
      <c r="A423" s="63">
        <v>264.94554936383474</v>
      </c>
      <c r="B423" s="63">
        <v>265.62229406208206</v>
      </c>
      <c r="C423" s="63">
        <v>247.85774573308933</v>
      </c>
      <c r="D423" s="63">
        <v>255.16260762299444</v>
      </c>
      <c r="E423" s="63">
        <v>4499268.938324417</v>
      </c>
      <c r="F423" s="63" t="s">
        <v>477</v>
      </c>
      <c r="G423" s="25">
        <f t="shared" si="12"/>
        <v>3.8340028862280162E-2</v>
      </c>
    </row>
    <row r="424" spans="1:7">
      <c r="A424" s="63">
        <v>261.0542673489125</v>
      </c>
      <c r="B424" s="63">
        <v>266.47817706280665</v>
      </c>
      <c r="C424" s="63">
        <v>257.78996939266057</v>
      </c>
      <c r="D424" s="63">
        <v>259.81025135948721</v>
      </c>
      <c r="E424" s="63">
        <v>2746625.6696415846</v>
      </c>
      <c r="F424" s="63" t="s">
        <v>478</v>
      </c>
      <c r="G424" s="25">
        <f t="shared" si="12"/>
        <v>4.7881713016166838E-3</v>
      </c>
    </row>
    <row r="425" spans="1:7">
      <c r="A425" s="63">
        <v>261.02441096516628</v>
      </c>
      <c r="B425" s="63">
        <v>274.72849110467502</v>
      </c>
      <c r="C425" s="63">
        <v>256.26729382160408</v>
      </c>
      <c r="D425" s="63">
        <v>274.72849110467502</v>
      </c>
      <c r="E425" s="63">
        <v>5260973.3762535304</v>
      </c>
      <c r="F425" s="63" t="s">
        <v>479</v>
      </c>
      <c r="G425" s="25">
        <f t="shared" si="12"/>
        <v>-4.9882267705126049E-2</v>
      </c>
    </row>
    <row r="426" spans="1:7">
      <c r="A426" s="63">
        <v>278.05250182841928</v>
      </c>
      <c r="B426" s="63">
        <v>280.05287953941507</v>
      </c>
      <c r="C426" s="63">
        <v>271.7926133696314</v>
      </c>
      <c r="D426" s="63">
        <v>277.55489543264918</v>
      </c>
      <c r="E426" s="63">
        <v>2611640.4673391758</v>
      </c>
      <c r="F426" s="63" t="s">
        <v>480</v>
      </c>
      <c r="G426" s="25">
        <f t="shared" si="12"/>
        <v>1.7928215425435656E-3</v>
      </c>
    </row>
    <row r="427" spans="1:7">
      <c r="A427" s="63">
        <v>277.22647521144091</v>
      </c>
      <c r="B427" s="63">
        <v>287.37097775944773</v>
      </c>
      <c r="C427" s="63">
        <v>272.68830488201758</v>
      </c>
      <c r="D427" s="63">
        <v>283.63564558895985</v>
      </c>
      <c r="E427" s="63">
        <v>3493751.3158556665</v>
      </c>
      <c r="F427" s="63" t="s">
        <v>481</v>
      </c>
      <c r="G427" s="25">
        <f t="shared" si="12"/>
        <v>-2.2596491228070059E-2</v>
      </c>
    </row>
    <row r="428" spans="1:7">
      <c r="A428" s="63">
        <v>284.15315624056075</v>
      </c>
      <c r="B428" s="63">
        <v>284.63085838050006</v>
      </c>
      <c r="C428" s="63">
        <v>274.28064534848193</v>
      </c>
      <c r="D428" s="63">
        <v>276.57958689693982</v>
      </c>
      <c r="E428" s="63">
        <v>3849941.4723863038</v>
      </c>
      <c r="F428" s="63" t="s">
        <v>482</v>
      </c>
      <c r="G428" s="25">
        <f t="shared" si="12"/>
        <v>2.738296570832266E-2</v>
      </c>
    </row>
    <row r="429" spans="1:7">
      <c r="A429" s="63">
        <v>276.04217198950806</v>
      </c>
      <c r="B429" s="63">
        <v>278.17192736340411</v>
      </c>
      <c r="C429" s="63">
        <v>266.71702813277631</v>
      </c>
      <c r="D429" s="63">
        <v>270.84716121766814</v>
      </c>
      <c r="E429" s="63">
        <v>4294803.1178187542</v>
      </c>
      <c r="F429" s="63" t="s">
        <v>483</v>
      </c>
      <c r="G429" s="25">
        <f t="shared" si="12"/>
        <v>1.9180598934411153E-2</v>
      </c>
    </row>
    <row r="430" spans="1:7">
      <c r="A430" s="63">
        <v>264.10957061894095</v>
      </c>
      <c r="B430" s="63">
        <v>268.42879413422548</v>
      </c>
      <c r="C430" s="63">
        <v>260.39742690649592</v>
      </c>
      <c r="D430" s="63">
        <v>263.64182060691707</v>
      </c>
      <c r="E430" s="63">
        <v>3249121.2205941114</v>
      </c>
      <c r="F430" s="63" t="s">
        <v>484</v>
      </c>
      <c r="G430" s="25">
        <f t="shared" si="12"/>
        <v>1.774187459891996E-3</v>
      </c>
    </row>
    <row r="431" spans="1:7">
      <c r="A431" s="63">
        <v>264.33846956099518</v>
      </c>
      <c r="B431" s="63">
        <v>264.72660254969588</v>
      </c>
      <c r="C431" s="63">
        <v>252.74424053955175</v>
      </c>
      <c r="D431" s="63">
        <v>257.85963428806843</v>
      </c>
      <c r="E431" s="63">
        <v>3195142.8147128304</v>
      </c>
      <c r="F431" s="63" t="s">
        <v>485</v>
      </c>
      <c r="G431" s="25">
        <f t="shared" si="12"/>
        <v>2.5125434195291341E-2</v>
      </c>
    </row>
    <row r="432" spans="1:7">
      <c r="A432" s="63">
        <v>258.77523005628541</v>
      </c>
      <c r="B432" s="63">
        <v>259.86996412697965</v>
      </c>
      <c r="C432" s="63">
        <v>250.07209419426627</v>
      </c>
      <c r="D432" s="63">
        <v>256.51609701948911</v>
      </c>
      <c r="E432" s="63">
        <v>2915914.088592933</v>
      </c>
      <c r="F432" s="63" t="s">
        <v>486</v>
      </c>
      <c r="G432" s="25">
        <f t="shared" si="12"/>
        <v>8.806983511154387E-3</v>
      </c>
    </row>
    <row r="433" spans="1:7">
      <c r="A433" s="63">
        <v>255.76968742583398</v>
      </c>
      <c r="B433" s="63">
        <v>261.14383650015111</v>
      </c>
      <c r="C433" s="63">
        <v>254.11773371315638</v>
      </c>
      <c r="D433" s="63">
        <v>255.94882572831122</v>
      </c>
      <c r="E433" s="63">
        <v>2610610.5368472119</v>
      </c>
      <c r="F433" s="63" t="s">
        <v>487</v>
      </c>
      <c r="G433" s="25">
        <f t="shared" si="12"/>
        <v>-6.9989890349175798E-4</v>
      </c>
    </row>
    <row r="434" spans="1:7">
      <c r="A434" s="63">
        <v>255.54078848377972</v>
      </c>
      <c r="B434" s="63">
        <v>268.82687925084156</v>
      </c>
      <c r="C434" s="63">
        <v>253.28165544698345</v>
      </c>
      <c r="D434" s="63">
        <v>262.56699079205362</v>
      </c>
      <c r="E434" s="63">
        <v>4091814.3683601036</v>
      </c>
      <c r="F434" s="63" t="s">
        <v>488</v>
      </c>
      <c r="G434" s="25">
        <f t="shared" si="12"/>
        <v>-2.6759655838987317E-2</v>
      </c>
    </row>
    <row r="435" spans="1:7">
      <c r="A435" s="63">
        <v>261.60163438425963</v>
      </c>
      <c r="B435" s="63">
        <v>265.81138449247464</v>
      </c>
      <c r="C435" s="63">
        <v>252.02768732964279</v>
      </c>
      <c r="D435" s="63">
        <v>253.22194267949104</v>
      </c>
      <c r="E435" s="63">
        <v>6276250.7205451569</v>
      </c>
      <c r="F435" s="63" t="s">
        <v>489</v>
      </c>
      <c r="G435" s="25">
        <f t="shared" si="12"/>
        <v>3.3092281087879316E-2</v>
      </c>
    </row>
    <row r="436" spans="1:7">
      <c r="A436" s="63">
        <v>252.27649052752784</v>
      </c>
      <c r="B436" s="63">
        <v>258.19800663719207</v>
      </c>
      <c r="C436" s="63">
        <v>249.88628796608572</v>
      </c>
      <c r="D436" s="63">
        <v>252.86366607453658</v>
      </c>
      <c r="E436" s="63">
        <v>4584606.4668629747</v>
      </c>
      <c r="F436" s="63" t="s">
        <v>490</v>
      </c>
      <c r="G436" s="25">
        <f t="shared" si="12"/>
        <v>-2.322103274559284E-3</v>
      </c>
    </row>
    <row r="437" spans="1:7">
      <c r="A437" s="63">
        <v>255.88911296081881</v>
      </c>
      <c r="B437" s="63">
        <v>270.5485973802061</v>
      </c>
      <c r="C437" s="63">
        <v>250.90309687520235</v>
      </c>
      <c r="D437" s="63">
        <v>258.31743217217689</v>
      </c>
      <c r="E437" s="63">
        <v>10319386.052208973</v>
      </c>
      <c r="F437" s="63" t="s">
        <v>491</v>
      </c>
      <c r="G437" s="25">
        <f t="shared" si="12"/>
        <v>-9.4005239636306692E-3</v>
      </c>
    </row>
    <row r="438" spans="1:7">
      <c r="A438" s="63">
        <v>253.75935758692273</v>
      </c>
      <c r="B438" s="63">
        <v>254.01811291272321</v>
      </c>
      <c r="C438" s="63">
        <v>231.88458042886893</v>
      </c>
      <c r="D438" s="63">
        <v>234.0342400585958</v>
      </c>
      <c r="E438" s="63">
        <v>15103706.591971271</v>
      </c>
      <c r="F438" s="63" t="s">
        <v>492</v>
      </c>
      <c r="G438" s="25">
        <f t="shared" si="12"/>
        <v>8.4283041333560016E-2</v>
      </c>
    </row>
    <row r="439" spans="1:7">
      <c r="A439" s="63">
        <v>207.5018670361338</v>
      </c>
      <c r="B439" s="63">
        <v>207.6411968269494</v>
      </c>
      <c r="C439" s="63">
        <v>201.50073390314631</v>
      </c>
      <c r="D439" s="63">
        <v>204.12809567281249</v>
      </c>
      <c r="E439" s="63">
        <v>3449119.6547902399</v>
      </c>
      <c r="F439" s="63" t="s">
        <v>493</v>
      </c>
      <c r="G439" s="25">
        <f t="shared" si="12"/>
        <v>1.6527716834868977E-2</v>
      </c>
    </row>
    <row r="440" spans="1:7">
      <c r="A440" s="63">
        <v>199.37097852925029</v>
      </c>
      <c r="B440" s="63">
        <v>203.97184726454066</v>
      </c>
      <c r="C440" s="63">
        <v>197.47012209740845</v>
      </c>
      <c r="D440" s="63">
        <v>200.99317537946084</v>
      </c>
      <c r="E440" s="63">
        <v>1804710.5254951222</v>
      </c>
      <c r="F440" s="63" t="s">
        <v>494</v>
      </c>
      <c r="G440" s="25">
        <f t="shared" si="12"/>
        <v>-8.0709051297286338E-3</v>
      </c>
    </row>
    <row r="441" spans="1:7">
      <c r="A441" s="63">
        <v>200.26667004163644</v>
      </c>
      <c r="B441" s="63">
        <v>203.72005842828099</v>
      </c>
      <c r="C441" s="63">
        <v>197.30093592284663</v>
      </c>
      <c r="D441" s="63">
        <v>199.042558308042</v>
      </c>
      <c r="E441" s="63">
        <v>2895597.8304299838</v>
      </c>
      <c r="F441" s="63" t="s">
        <v>495</v>
      </c>
      <c r="G441" s="25">
        <f t="shared" si="12"/>
        <v>6.1499999999998778E-3</v>
      </c>
    </row>
    <row r="442" spans="1:7">
      <c r="A442" s="63">
        <v>198.29614871438685</v>
      </c>
      <c r="B442" s="63">
        <v>198.57480829601812</v>
      </c>
      <c r="C442" s="63">
        <v>191.76755280188306</v>
      </c>
      <c r="D442" s="63">
        <v>194.06649435034095</v>
      </c>
      <c r="E442" s="63">
        <v>2274867.2638102113</v>
      </c>
      <c r="F442" s="63" t="s">
        <v>496</v>
      </c>
      <c r="G442" s="25">
        <f t="shared" si="12"/>
        <v>2.1794871794871939E-2</v>
      </c>
    </row>
    <row r="443" spans="1:7">
      <c r="A443" s="63">
        <v>195.04180288605036</v>
      </c>
      <c r="B443" s="63">
        <v>196.86304229456894</v>
      </c>
      <c r="C443" s="63">
        <v>188.27435590357695</v>
      </c>
      <c r="D443" s="63">
        <v>190.53348894037319</v>
      </c>
      <c r="E443" s="63">
        <v>2626210.215762083</v>
      </c>
      <c r="F443" s="63" t="s">
        <v>497</v>
      </c>
      <c r="G443" s="25">
        <f t="shared" si="12"/>
        <v>2.3661530425698629E-2</v>
      </c>
    </row>
    <row r="444" spans="1:7">
      <c r="A444" s="63">
        <v>189.02076549723211</v>
      </c>
      <c r="B444" s="63">
        <v>190.76238788242748</v>
      </c>
      <c r="C444" s="63">
        <v>183.30824407379129</v>
      </c>
      <c r="D444" s="63">
        <v>186.10479201801928</v>
      </c>
      <c r="E444" s="63">
        <v>2165268.5921219238</v>
      </c>
      <c r="F444" s="63" t="s">
        <v>498</v>
      </c>
      <c r="G444" s="25">
        <f t="shared" ref="G444:G507" si="13">A444/D444-1</f>
        <v>1.5668449197860923E-2</v>
      </c>
    </row>
    <row r="445" spans="1:7">
      <c r="A445" s="63">
        <v>186.35359521590433</v>
      </c>
      <c r="B445" s="63">
        <v>187.24928672829051</v>
      </c>
      <c r="C445" s="63">
        <v>178.28739554047092</v>
      </c>
      <c r="D445" s="63">
        <v>180.66097804829434</v>
      </c>
      <c r="E445" s="63">
        <v>2860577.1792724952</v>
      </c>
      <c r="F445" s="63" t="s">
        <v>499</v>
      </c>
      <c r="G445" s="25">
        <f t="shared" si="13"/>
        <v>3.1509943260067175E-2</v>
      </c>
    </row>
    <row r="446" spans="1:7">
      <c r="A446" s="63">
        <v>179.38710567512285</v>
      </c>
      <c r="B446" s="63">
        <v>180.33753389104376</v>
      </c>
      <c r="C446" s="63">
        <v>173.02769593718094</v>
      </c>
      <c r="D446" s="63">
        <v>176.00338218388615</v>
      </c>
      <c r="E446" s="63">
        <v>2312897.3216247074</v>
      </c>
      <c r="F446" s="63" t="s">
        <v>500</v>
      </c>
      <c r="G446" s="25">
        <f t="shared" si="13"/>
        <v>1.9225332202431389E-2</v>
      </c>
    </row>
    <row r="447" spans="1:7">
      <c r="A447" s="63">
        <v>174.08262149621353</v>
      </c>
      <c r="B447" s="63">
        <v>175.50577578811604</v>
      </c>
      <c r="C447" s="63">
        <v>170.22119586503752</v>
      </c>
      <c r="D447" s="63">
        <v>175.50577578811604</v>
      </c>
      <c r="E447" s="63">
        <v>2195084.3262566081</v>
      </c>
      <c r="F447" s="63" t="s">
        <v>501</v>
      </c>
      <c r="G447" s="25">
        <f t="shared" si="13"/>
        <v>-8.1088743975049615E-3</v>
      </c>
    </row>
    <row r="448" spans="1:7">
      <c r="A448" s="63">
        <v>172.28128634352578</v>
      </c>
      <c r="B448" s="63">
        <v>175.79438749766268</v>
      </c>
      <c r="C448" s="63">
        <v>171.11688737742372</v>
      </c>
      <c r="D448" s="63">
        <v>174.96836088068432</v>
      </c>
      <c r="E448" s="63">
        <v>3406561.9220520458</v>
      </c>
      <c r="F448" s="63" t="s">
        <v>502</v>
      </c>
      <c r="G448" s="25">
        <f t="shared" si="13"/>
        <v>-1.5357488197485725E-2</v>
      </c>
    </row>
    <row r="449" spans="1:7">
      <c r="A449" s="63">
        <v>175.22711620648477</v>
      </c>
      <c r="B449" s="63">
        <v>178.88949927935275</v>
      </c>
      <c r="C449" s="63">
        <v>174.2717119266062</v>
      </c>
      <c r="D449" s="63">
        <v>177.11802051041118</v>
      </c>
      <c r="E449" s="63">
        <v>2456754.9983115485</v>
      </c>
      <c r="F449" s="63" t="s">
        <v>503</v>
      </c>
      <c r="G449" s="25">
        <f t="shared" si="13"/>
        <v>-1.0675956621902682E-2</v>
      </c>
    </row>
    <row r="450" spans="1:7">
      <c r="A450" s="63">
        <v>176.6701747542181</v>
      </c>
      <c r="B450" s="63">
        <v>181.87513765397338</v>
      </c>
      <c r="C450" s="63">
        <v>175.15745131107695</v>
      </c>
      <c r="D450" s="63">
        <v>176.82940880086451</v>
      </c>
      <c r="E450" s="63">
        <v>3326310.7429284374</v>
      </c>
      <c r="F450" s="63" t="s">
        <v>504</v>
      </c>
      <c r="G450" s="25">
        <f t="shared" si="13"/>
        <v>-9.0049527239977056E-4</v>
      </c>
    </row>
    <row r="451" spans="1:7">
      <c r="A451" s="63">
        <v>176.92893008001855</v>
      </c>
      <c r="B451" s="63">
        <v>194.86266458357312</v>
      </c>
      <c r="C451" s="63">
        <v>176.33180240509441</v>
      </c>
      <c r="D451" s="63">
        <v>194.56410074611105</v>
      </c>
      <c r="E451" s="63">
        <v>4272715.3792096274</v>
      </c>
      <c r="F451" s="63" t="s">
        <v>505</v>
      </c>
      <c r="G451" s="25">
        <f t="shared" si="13"/>
        <v>-9.0639386189258264E-2</v>
      </c>
    </row>
    <row r="452" spans="1:7">
      <c r="A452" s="63">
        <v>195.7583560959593</v>
      </c>
      <c r="B452" s="63">
        <v>196.86304229456894</v>
      </c>
      <c r="C452" s="63">
        <v>194.21577626907199</v>
      </c>
      <c r="D452" s="63">
        <v>194.3252496761414</v>
      </c>
      <c r="E452" s="63">
        <v>2250271.5188518721</v>
      </c>
      <c r="F452" s="63" t="s">
        <v>506</v>
      </c>
      <c r="G452" s="25">
        <f t="shared" si="13"/>
        <v>7.3747823414933578E-3</v>
      </c>
    </row>
    <row r="453" spans="1:7">
      <c r="A453" s="63">
        <v>193.50917518707843</v>
      </c>
      <c r="B453" s="63">
        <v>198.15681892357122</v>
      </c>
      <c r="C453" s="63">
        <v>191.38937194109781</v>
      </c>
      <c r="D453" s="63">
        <v>194.97213799064255</v>
      </c>
      <c r="E453" s="63">
        <v>2475791.1282337536</v>
      </c>
      <c r="F453" s="63" t="s">
        <v>507</v>
      </c>
      <c r="G453" s="25">
        <f t="shared" si="13"/>
        <v>-7.5034454596498712E-3</v>
      </c>
    </row>
    <row r="454" spans="1:7">
      <c r="A454" s="63">
        <v>192.84238261674651</v>
      </c>
      <c r="B454" s="63">
        <v>196.50476568961446</v>
      </c>
      <c r="C454" s="63">
        <v>191.48889322025181</v>
      </c>
      <c r="D454" s="63">
        <v>196.24601036381401</v>
      </c>
      <c r="E454" s="63">
        <v>2505212.9767559012</v>
      </c>
      <c r="F454" s="63" t="s">
        <v>508</v>
      </c>
      <c r="G454" s="25">
        <f t="shared" si="13"/>
        <v>-1.734367868553166E-2</v>
      </c>
    </row>
    <row r="455" spans="1:7">
      <c r="A455" s="63">
        <v>195.20103693269678</v>
      </c>
      <c r="B455" s="63">
        <v>197.35069656242365</v>
      </c>
      <c r="C455" s="63">
        <v>192.64334005843844</v>
      </c>
      <c r="D455" s="63">
        <v>193.95702094327152</v>
      </c>
      <c r="E455" s="63">
        <v>1711394.8036822281</v>
      </c>
      <c r="F455" s="63" t="s">
        <v>509</v>
      </c>
      <c r="G455" s="25">
        <f t="shared" si="13"/>
        <v>6.4138744933039948E-3</v>
      </c>
    </row>
    <row r="456" spans="1:7">
      <c r="A456" s="63">
        <v>193.95702094327152</v>
      </c>
      <c r="B456" s="63">
        <v>197.04218059704618</v>
      </c>
      <c r="C456" s="63">
        <v>192.15568579058376</v>
      </c>
      <c r="D456" s="63">
        <v>194.56410074611105</v>
      </c>
      <c r="E456" s="63">
        <v>1962918.9019734086</v>
      </c>
      <c r="F456" s="63" t="s">
        <v>510</v>
      </c>
      <c r="G456" s="25">
        <f t="shared" si="13"/>
        <v>-3.1202046035806452E-3</v>
      </c>
    </row>
    <row r="457" spans="1:7">
      <c r="A457" s="63">
        <v>194.05654222242555</v>
      </c>
      <c r="B457" s="63">
        <v>196.38534015462966</v>
      </c>
      <c r="C457" s="63">
        <v>191.59836662732124</v>
      </c>
      <c r="D457" s="63">
        <v>194.07644647825634</v>
      </c>
      <c r="E457" s="63">
        <v>2696183.1909810076</v>
      </c>
      <c r="F457" s="63" t="s">
        <v>511</v>
      </c>
      <c r="G457" s="25">
        <f t="shared" si="13"/>
        <v>-1.0255884313625785E-4</v>
      </c>
    </row>
    <row r="458" spans="1:7">
      <c r="A458" s="63">
        <v>194.01673371076393</v>
      </c>
      <c r="B458" s="63">
        <v>197.8557670541303</v>
      </c>
      <c r="C458" s="63">
        <v>193.7778826407943</v>
      </c>
      <c r="D458" s="63">
        <v>194.63376564151886</v>
      </c>
      <c r="E458" s="63">
        <v>1527766.7378520309</v>
      </c>
      <c r="F458" s="63" t="s">
        <v>512</v>
      </c>
      <c r="G458" s="25">
        <f t="shared" si="13"/>
        <v>-3.1702203814490959E-3</v>
      </c>
    </row>
    <row r="459" spans="1:7">
      <c r="A459" s="63">
        <v>195.79816460762092</v>
      </c>
      <c r="B459" s="63">
        <v>196.38534015462966</v>
      </c>
      <c r="C459" s="63">
        <v>190.0657389283493</v>
      </c>
      <c r="D459" s="63">
        <v>190.56334532411941</v>
      </c>
      <c r="E459" s="63">
        <v>2415959.7027274081</v>
      </c>
      <c r="F459" s="63" t="s">
        <v>513</v>
      </c>
      <c r="G459" s="25">
        <f t="shared" si="13"/>
        <v>2.7470231878002904E-2</v>
      </c>
    </row>
    <row r="460" spans="1:7">
      <c r="A460" s="63">
        <v>189.80698360254885</v>
      </c>
      <c r="B460" s="63">
        <v>192.57367516303063</v>
      </c>
      <c r="C460" s="63">
        <v>188.73095953233559</v>
      </c>
      <c r="D460" s="63">
        <v>192.07606876726052</v>
      </c>
      <c r="E460" s="63">
        <v>2519041.1752245943</v>
      </c>
      <c r="F460" s="63" t="s">
        <v>514</v>
      </c>
      <c r="G460" s="25">
        <f t="shared" si="13"/>
        <v>-1.18134715025906E-2</v>
      </c>
    </row>
    <row r="461" spans="1:7">
      <c r="A461" s="63">
        <v>191.85712195312169</v>
      </c>
      <c r="B461" s="63">
        <v>191.9566432322757</v>
      </c>
      <c r="C461" s="63">
        <v>184.67168559820138</v>
      </c>
      <c r="D461" s="63">
        <v>188.70229740393924</v>
      </c>
      <c r="E461" s="63">
        <v>2034814.0791739211</v>
      </c>
      <c r="F461" s="63" t="s">
        <v>515</v>
      </c>
      <c r="G461" s="25">
        <f t="shared" si="13"/>
        <v>1.6718527503823521E-2</v>
      </c>
    </row>
    <row r="462" spans="1:7">
      <c r="A462" s="63">
        <v>189.07052613680909</v>
      </c>
      <c r="B462" s="63">
        <v>190.44391978913461</v>
      </c>
      <c r="C462" s="63">
        <v>184.94039305191725</v>
      </c>
      <c r="D462" s="63">
        <v>190.30458999831896</v>
      </c>
      <c r="E462" s="63">
        <v>2584637.1970552308</v>
      </c>
      <c r="F462" s="63" t="s">
        <v>516</v>
      </c>
      <c r="G462" s="25">
        <f t="shared" si="13"/>
        <v>-6.4846773350067943E-3</v>
      </c>
    </row>
    <row r="463" spans="1:7">
      <c r="A463" s="63">
        <v>189.47856338134056</v>
      </c>
      <c r="B463" s="63">
        <v>191.65807939481365</v>
      </c>
      <c r="C463" s="63">
        <v>184.60202070279357</v>
      </c>
      <c r="D463" s="63">
        <v>185.50766434309514</v>
      </c>
      <c r="E463" s="63">
        <v>4262295.4970616587</v>
      </c>
      <c r="F463" s="63" t="s">
        <v>517</v>
      </c>
      <c r="G463" s="25">
        <f t="shared" si="13"/>
        <v>2.140557939914145E-2</v>
      </c>
    </row>
    <row r="464" spans="1:7">
      <c r="A464" s="63">
        <v>185.25886114521009</v>
      </c>
      <c r="B464" s="63">
        <v>188.98085746429135</v>
      </c>
      <c r="C464" s="63">
        <v>181.33772274654169</v>
      </c>
      <c r="D464" s="63">
        <v>188.05540908943809</v>
      </c>
      <c r="E464" s="63">
        <v>2339062.5801717765</v>
      </c>
      <c r="F464" s="63" t="s">
        <v>518</v>
      </c>
      <c r="G464" s="25">
        <f t="shared" si="13"/>
        <v>-1.4870872142252356E-2</v>
      </c>
    </row>
    <row r="465" spans="1:7">
      <c r="A465" s="63">
        <v>188.50325484563118</v>
      </c>
      <c r="B465" s="63">
        <v>189.93636126544908</v>
      </c>
      <c r="C465" s="63">
        <v>186.17445691342709</v>
      </c>
      <c r="D465" s="63">
        <v>188.43358995022336</v>
      </c>
      <c r="E465" s="63">
        <v>2360381.6389503158</v>
      </c>
      <c r="F465" s="63" t="s">
        <v>519</v>
      </c>
      <c r="G465" s="25">
        <f t="shared" si="13"/>
        <v>3.6970529206725722E-4</v>
      </c>
    </row>
    <row r="466" spans="1:7">
      <c r="A466" s="63">
        <v>186.43321223922754</v>
      </c>
      <c r="B466" s="63">
        <v>189.91645700961828</v>
      </c>
      <c r="C466" s="63">
        <v>182.82058980593658</v>
      </c>
      <c r="D466" s="63">
        <v>189.09043039263992</v>
      </c>
      <c r="E466" s="63">
        <v>2243118.2747813426</v>
      </c>
      <c r="F466" s="63" t="s">
        <v>520</v>
      </c>
      <c r="G466" s="25">
        <f t="shared" si="13"/>
        <v>-1.4052631578947428E-2</v>
      </c>
    </row>
    <row r="467" spans="1:7">
      <c r="A467" s="63">
        <v>188.61024022072169</v>
      </c>
      <c r="B467" s="63">
        <v>188.83871420424074</v>
      </c>
      <c r="C467" s="63">
        <v>181.85535722972304</v>
      </c>
      <c r="D467" s="63">
        <v>185.83875146412078</v>
      </c>
      <c r="E467" s="63">
        <v>3225419.1862439709</v>
      </c>
      <c r="F467" s="63" t="s">
        <v>521</v>
      </c>
      <c r="G467" s="25">
        <f t="shared" si="13"/>
        <v>1.4913406029506193E-2</v>
      </c>
    </row>
    <row r="468" spans="1:7">
      <c r="A468" s="63">
        <v>185.78908320683402</v>
      </c>
      <c r="B468" s="63">
        <v>186.38510229427507</v>
      </c>
      <c r="C468" s="63">
        <v>175.24947901058468</v>
      </c>
      <c r="D468" s="63">
        <v>182.03416295595537</v>
      </c>
      <c r="E468" s="63">
        <v>3361097.3913618526</v>
      </c>
      <c r="F468" s="63" t="s">
        <v>522</v>
      </c>
      <c r="G468" s="25">
        <f t="shared" si="13"/>
        <v>2.0627557980900546E-2</v>
      </c>
    </row>
    <row r="469" spans="1:7">
      <c r="A469" s="63">
        <v>178.46798208276638</v>
      </c>
      <c r="B469" s="63">
        <v>188.8287805527834</v>
      </c>
      <c r="C469" s="63">
        <v>175.72629428053756</v>
      </c>
      <c r="D469" s="63">
        <v>188.8287805527834</v>
      </c>
      <c r="E469" s="63">
        <v>6196003.5807833532</v>
      </c>
      <c r="F469" s="63" t="s">
        <v>523</v>
      </c>
      <c r="G469" s="25">
        <f t="shared" si="13"/>
        <v>-5.48687463832922E-2</v>
      </c>
    </row>
    <row r="470" spans="1:7">
      <c r="A470" s="63">
        <v>179.83882598388081</v>
      </c>
      <c r="B470" s="63">
        <v>182.61031474048173</v>
      </c>
      <c r="C470" s="63">
        <v>167.27275689033192</v>
      </c>
      <c r="D470" s="63">
        <v>172.48792390544114</v>
      </c>
      <c r="E470" s="63">
        <v>6364308.2577873776</v>
      </c>
      <c r="F470" s="63" t="s">
        <v>524</v>
      </c>
      <c r="G470" s="25">
        <f t="shared" si="13"/>
        <v>4.2616908546417864E-2</v>
      </c>
    </row>
    <row r="471" spans="1:7">
      <c r="A471" s="63">
        <v>168.84227382059336</v>
      </c>
      <c r="B471" s="63">
        <v>171.61376257719425</v>
      </c>
      <c r="C471" s="63">
        <v>154.56761667638011</v>
      </c>
      <c r="D471" s="63">
        <v>155.20337036965057</v>
      </c>
      <c r="E471" s="63">
        <v>5467088.3343518097</v>
      </c>
      <c r="F471" s="63" t="s">
        <v>525</v>
      </c>
      <c r="G471" s="25">
        <f t="shared" si="13"/>
        <v>8.7877624167946644E-2</v>
      </c>
    </row>
    <row r="472" spans="1:7">
      <c r="A472" s="63">
        <v>165.97144854941897</v>
      </c>
      <c r="B472" s="63">
        <v>174.16671100173346</v>
      </c>
      <c r="C472" s="63">
        <v>160.36688239718157</v>
      </c>
      <c r="D472" s="63">
        <v>173.31241697640127</v>
      </c>
      <c r="E472" s="63">
        <v>6139888.2638333617</v>
      </c>
      <c r="F472" s="63" t="s">
        <v>526</v>
      </c>
      <c r="G472" s="25">
        <f t="shared" si="13"/>
        <v>-4.2356852180890581E-2</v>
      </c>
    </row>
    <row r="473" spans="1:7">
      <c r="A473" s="63">
        <v>176.39184892818005</v>
      </c>
      <c r="B473" s="63">
        <v>192.98104686195609</v>
      </c>
      <c r="C473" s="63">
        <v>175.44815203973172</v>
      </c>
      <c r="D473" s="63">
        <v>187.04271002075171</v>
      </c>
      <c r="E473" s="63">
        <v>4512022.6124737384</v>
      </c>
      <c r="F473" s="63" t="s">
        <v>527</v>
      </c>
      <c r="G473" s="25">
        <f t="shared" si="13"/>
        <v>-5.6943470779427741E-2</v>
      </c>
    </row>
    <row r="474" spans="1:7">
      <c r="A474" s="63">
        <v>188.54070466052022</v>
      </c>
      <c r="B474" s="63">
        <v>195.19625113694534</v>
      </c>
      <c r="C474" s="63">
        <v>181.7858216695216</v>
      </c>
      <c r="D474" s="63">
        <v>191.99761536767832</v>
      </c>
      <c r="E474" s="63">
        <v>7533709.0616985969</v>
      </c>
      <c r="F474" s="63" t="s">
        <v>528</v>
      </c>
      <c r="G474" s="25">
        <f t="shared" si="13"/>
        <v>-1.8004966887417151E-2</v>
      </c>
    </row>
    <row r="475" spans="1:7">
      <c r="A475" s="63">
        <v>167.57076643405244</v>
      </c>
      <c r="B475" s="63">
        <v>173.86870145801294</v>
      </c>
      <c r="C475" s="63">
        <v>164.65027290559129</v>
      </c>
      <c r="D475" s="63">
        <v>172.31905183066618</v>
      </c>
      <c r="E475" s="63">
        <v>3540592.314014947</v>
      </c>
      <c r="F475" s="63" t="s">
        <v>529</v>
      </c>
      <c r="G475" s="25">
        <f t="shared" si="13"/>
        <v>-2.7555196864011089E-2</v>
      </c>
    </row>
    <row r="476" spans="1:7">
      <c r="A476" s="63">
        <v>171.53429336553546</v>
      </c>
      <c r="B476" s="63">
        <v>175.97453623045675</v>
      </c>
      <c r="C476" s="63">
        <v>169.99278933238375</v>
      </c>
      <c r="D476" s="63">
        <v>174.88193390666274</v>
      </c>
      <c r="E476" s="63">
        <v>2114168.1978844693</v>
      </c>
      <c r="F476" s="63" t="s">
        <v>530</v>
      </c>
      <c r="G476" s="25">
        <f t="shared" si="13"/>
        <v>-1.9142289122408562E-2</v>
      </c>
    </row>
    <row r="477" spans="1:7">
      <c r="A477" s="63">
        <v>173.87863510947028</v>
      </c>
      <c r="B477" s="63">
        <v>175.89516635531251</v>
      </c>
      <c r="C477" s="63">
        <v>170.30252058482395</v>
      </c>
      <c r="D477" s="63">
        <v>175.36868282807291</v>
      </c>
      <c r="E477" s="63">
        <v>3492654.2519594668</v>
      </c>
      <c r="F477" s="63" t="s">
        <v>531</v>
      </c>
      <c r="G477" s="25">
        <f t="shared" si="13"/>
        <v>-8.4966579811940335E-3</v>
      </c>
    </row>
    <row r="478" spans="1:7">
      <c r="A478" s="63">
        <v>169.29922178763152</v>
      </c>
      <c r="B478" s="63">
        <v>175.66669237179346</v>
      </c>
      <c r="C478" s="63">
        <v>164.76947672307949</v>
      </c>
      <c r="D478" s="63">
        <v>175.52762125139051</v>
      </c>
      <c r="E478" s="63">
        <v>5579031.0580092939</v>
      </c>
      <c r="F478" s="63" t="s">
        <v>532</v>
      </c>
      <c r="G478" s="25">
        <f t="shared" si="13"/>
        <v>-3.5483870967741749E-2</v>
      </c>
    </row>
    <row r="479" spans="1:7">
      <c r="A479" s="63">
        <v>173.91836971529969</v>
      </c>
      <c r="B479" s="63">
        <v>187.04072329046022</v>
      </c>
      <c r="C479" s="63">
        <v>173.54089095992035</v>
      </c>
      <c r="D479" s="63">
        <v>187.04072329046022</v>
      </c>
      <c r="E479" s="63">
        <v>4943082.6328886198</v>
      </c>
      <c r="F479" s="63" t="s">
        <v>533</v>
      </c>
      <c r="G479" s="25">
        <f t="shared" si="13"/>
        <v>-7.015773540814696E-2</v>
      </c>
    </row>
    <row r="480" spans="1:7">
      <c r="A480" s="63">
        <v>188.61024022072169</v>
      </c>
      <c r="B480" s="63">
        <v>190.88683446171734</v>
      </c>
      <c r="C480" s="63">
        <v>187.05065694191759</v>
      </c>
      <c r="D480" s="63">
        <v>188.41156719157465</v>
      </c>
      <c r="E480" s="63">
        <v>1869039.8067329875</v>
      </c>
      <c r="F480" s="63" t="s">
        <v>534</v>
      </c>
      <c r="G480" s="25">
        <f t="shared" si="13"/>
        <v>1.0544630147097944E-3</v>
      </c>
    </row>
    <row r="481" spans="1:7">
      <c r="A481" s="63">
        <v>189.15659105087596</v>
      </c>
      <c r="B481" s="63">
        <v>195.51412798358055</v>
      </c>
      <c r="C481" s="63">
        <v>187.35860013709546</v>
      </c>
      <c r="D481" s="63">
        <v>190.96451561611386</v>
      </c>
      <c r="E481" s="63">
        <v>1881331.3593935801</v>
      </c>
      <c r="F481" s="63" t="s">
        <v>535</v>
      </c>
      <c r="G481" s="25">
        <f t="shared" si="13"/>
        <v>-9.4673325010404819E-3</v>
      </c>
    </row>
    <row r="482" spans="1:7">
      <c r="A482" s="63">
        <v>188.04402208765268</v>
      </c>
      <c r="B482" s="63">
        <v>188.67977578092314</v>
      </c>
      <c r="C482" s="63">
        <v>185.16326316502091</v>
      </c>
      <c r="D482" s="63">
        <v>186.77251470111176</v>
      </c>
      <c r="E482" s="63">
        <v>2845859.8654657193</v>
      </c>
      <c r="F482" s="63" t="s">
        <v>536</v>
      </c>
      <c r="G482" s="25">
        <f t="shared" si="13"/>
        <v>6.8077864057014548E-3</v>
      </c>
    </row>
    <row r="483" spans="1:7">
      <c r="A483" s="63">
        <v>186.03742449326779</v>
      </c>
      <c r="B483" s="63">
        <v>191.56053470355491</v>
      </c>
      <c r="C483" s="63">
        <v>176.88853150104759</v>
      </c>
      <c r="D483" s="63">
        <v>189.10692279358923</v>
      </c>
      <c r="E483" s="63">
        <v>5521551.6907845186</v>
      </c>
      <c r="F483" s="63" t="s">
        <v>537</v>
      </c>
      <c r="G483" s="25">
        <f t="shared" si="13"/>
        <v>-1.6231549088617014E-2</v>
      </c>
    </row>
    <row r="484" spans="1:7">
      <c r="A484" s="63">
        <v>185.43147175436937</v>
      </c>
      <c r="B484" s="63">
        <v>201.71272649296753</v>
      </c>
      <c r="C484" s="63">
        <v>184.53744312320782</v>
      </c>
      <c r="D484" s="63">
        <v>200.78889690743389</v>
      </c>
      <c r="E484" s="63">
        <v>6793729.4045141805</v>
      </c>
      <c r="F484" s="63" t="s">
        <v>538</v>
      </c>
      <c r="G484" s="25">
        <f t="shared" si="13"/>
        <v>-7.6485430168703461E-2</v>
      </c>
    </row>
    <row r="485" spans="1:7">
      <c r="A485" s="63">
        <v>203.52065105820537</v>
      </c>
      <c r="B485" s="63">
        <v>213.58343998450184</v>
      </c>
      <c r="C485" s="63">
        <v>202.70609163870262</v>
      </c>
      <c r="D485" s="63">
        <v>212.71921230771233</v>
      </c>
      <c r="E485" s="63">
        <v>4076697.2924173395</v>
      </c>
      <c r="F485" s="63" t="s">
        <v>539</v>
      </c>
      <c r="G485" s="25">
        <f t="shared" si="13"/>
        <v>-4.3242738395442237E-2</v>
      </c>
    </row>
    <row r="486" spans="1:7">
      <c r="A486" s="63">
        <v>211.4675722240861</v>
      </c>
      <c r="B486" s="63">
        <v>218.19265426071269</v>
      </c>
      <c r="C486" s="63">
        <v>210.23381271308313</v>
      </c>
      <c r="D486" s="63">
        <v>215.56023662451469</v>
      </c>
      <c r="E486" s="63">
        <v>2179000.3497638698</v>
      </c>
      <c r="F486" s="63" t="s">
        <v>540</v>
      </c>
      <c r="G486" s="25">
        <f t="shared" si="13"/>
        <v>-1.8986175115207393E-2</v>
      </c>
    </row>
    <row r="487" spans="1:7">
      <c r="A487" s="63">
        <v>215.69930774491758</v>
      </c>
      <c r="B487" s="63">
        <v>219.67266899134339</v>
      </c>
      <c r="C487" s="63">
        <v>210.8983739955799</v>
      </c>
      <c r="D487" s="63">
        <v>214.82514641667072</v>
      </c>
      <c r="E487" s="63">
        <v>1772536.5214993777</v>
      </c>
      <c r="F487" s="63" t="s">
        <v>541</v>
      </c>
      <c r="G487" s="25">
        <f t="shared" si="13"/>
        <v>4.0691759918616288E-3</v>
      </c>
    </row>
    <row r="488" spans="1:7">
      <c r="A488" s="63">
        <v>215.40129820119708</v>
      </c>
      <c r="B488" s="63">
        <v>219.07943132631038</v>
      </c>
      <c r="C488" s="63">
        <v>213.76234504724874</v>
      </c>
      <c r="D488" s="63">
        <v>218.10325139759652</v>
      </c>
      <c r="E488" s="63">
        <v>2454479.1111990698</v>
      </c>
      <c r="F488" s="63" t="s">
        <v>542</v>
      </c>
      <c r="G488" s="25">
        <f t="shared" si="13"/>
        <v>-1.2388413190016379E-2</v>
      </c>
    </row>
    <row r="489" spans="1:7">
      <c r="A489" s="63">
        <v>218.09331774613918</v>
      </c>
      <c r="B489" s="63">
        <v>218.50059745589056</v>
      </c>
      <c r="C489" s="63">
        <v>212.32196558593287</v>
      </c>
      <c r="D489" s="63">
        <v>216.7324074964821</v>
      </c>
      <c r="E489" s="63">
        <v>2601723.0532962754</v>
      </c>
      <c r="F489" s="63" t="s">
        <v>543</v>
      </c>
      <c r="G489" s="25">
        <f t="shared" si="13"/>
        <v>6.2792189934917086E-3</v>
      </c>
    </row>
    <row r="490" spans="1:7">
      <c r="A490" s="63">
        <v>214.52713687295019</v>
      </c>
      <c r="B490" s="63">
        <v>220.89440878408297</v>
      </c>
      <c r="C490" s="63">
        <v>213.63310824178862</v>
      </c>
      <c r="D490" s="63">
        <v>215.59997123034407</v>
      </c>
      <c r="E490" s="63">
        <v>1785472.3488285025</v>
      </c>
      <c r="F490" s="63" t="s">
        <v>544</v>
      </c>
      <c r="G490" s="25">
        <f t="shared" si="13"/>
        <v>-4.9760412827127842E-3</v>
      </c>
    </row>
    <row r="491" spans="1:7">
      <c r="A491" s="63">
        <v>214.29866288943111</v>
      </c>
      <c r="B491" s="63">
        <v>214.9940184914457</v>
      </c>
      <c r="C491" s="63">
        <v>209.8483870365379</v>
      </c>
      <c r="D491" s="63">
        <v>210.42453882106429</v>
      </c>
      <c r="E491" s="63">
        <v>1645514.7505607291</v>
      </c>
      <c r="F491" s="63" t="s">
        <v>545</v>
      </c>
      <c r="G491" s="25">
        <f t="shared" si="13"/>
        <v>1.8410989944766865E-2</v>
      </c>
    </row>
    <row r="492" spans="1:7">
      <c r="A492" s="63">
        <v>209.88812164236731</v>
      </c>
      <c r="B492" s="63">
        <v>211.3483684065979</v>
      </c>
      <c r="C492" s="63">
        <v>206.68948587310032</v>
      </c>
      <c r="D492" s="63">
        <v>208.60668060436905</v>
      </c>
      <c r="E492" s="63">
        <v>1612438.2930857833</v>
      </c>
      <c r="F492" s="63" t="s">
        <v>546</v>
      </c>
      <c r="G492" s="25">
        <f t="shared" si="13"/>
        <v>6.1428571428572276E-3</v>
      </c>
    </row>
    <row r="493" spans="1:7">
      <c r="A493" s="63">
        <v>208.67621616457049</v>
      </c>
      <c r="B493" s="63">
        <v>211.02055790850534</v>
      </c>
      <c r="C493" s="63">
        <v>200.66969308994567</v>
      </c>
      <c r="D493" s="63">
        <v>203.94779807087147</v>
      </c>
      <c r="E493" s="63">
        <v>1623452.3698801766</v>
      </c>
      <c r="F493" s="63" t="s">
        <v>547</v>
      </c>
      <c r="G493" s="25">
        <f t="shared" si="13"/>
        <v>2.3184452778724829E-2</v>
      </c>
    </row>
    <row r="494" spans="1:7">
      <c r="A494" s="63">
        <v>204.78222479328895</v>
      </c>
      <c r="B494" s="63">
        <v>210.39473786669222</v>
      </c>
      <c r="C494" s="63">
        <v>201.75246109879691</v>
      </c>
      <c r="D494" s="63">
        <v>202.11007255126157</v>
      </c>
      <c r="E494" s="63">
        <v>1918139.5765501652</v>
      </c>
      <c r="F494" s="63" t="s">
        <v>548</v>
      </c>
      <c r="G494" s="25">
        <f t="shared" si="13"/>
        <v>1.3221271994495076E-2</v>
      </c>
    </row>
    <row r="495" spans="1:7">
      <c r="A495" s="63">
        <v>203.68952313298036</v>
      </c>
      <c r="B495" s="63">
        <v>212.17286147755803</v>
      </c>
      <c r="C495" s="63">
        <v>201.79219570462632</v>
      </c>
      <c r="D495" s="63">
        <v>206.80868969058852</v>
      </c>
      <c r="E495" s="63">
        <v>4196197.1566008739</v>
      </c>
      <c r="F495" s="63" t="s">
        <v>549</v>
      </c>
      <c r="G495" s="25">
        <f t="shared" si="13"/>
        <v>-1.5082376675152442E-2</v>
      </c>
    </row>
    <row r="496" spans="1:7">
      <c r="A496" s="63">
        <v>198.94123773636662</v>
      </c>
      <c r="B496" s="63">
        <v>205.92459471088432</v>
      </c>
      <c r="C496" s="63">
        <v>198.11674466540649</v>
      </c>
      <c r="D496" s="63">
        <v>203.88819616212737</v>
      </c>
      <c r="E496" s="63">
        <v>10649772.689750908</v>
      </c>
      <c r="F496" s="63" t="s">
        <v>550</v>
      </c>
      <c r="G496" s="25">
        <f t="shared" si="13"/>
        <v>-2.426309378806335E-2</v>
      </c>
    </row>
    <row r="497" spans="1:7">
      <c r="A497" s="63">
        <v>203.42131454363187</v>
      </c>
      <c r="B497" s="63">
        <v>206.54048110124006</v>
      </c>
      <c r="C497" s="63">
        <v>199.92466923064435</v>
      </c>
      <c r="D497" s="63">
        <v>206.21267060314747</v>
      </c>
      <c r="E497" s="63">
        <v>4765191.3501526695</v>
      </c>
      <c r="F497" s="63" t="s">
        <v>551</v>
      </c>
      <c r="G497" s="25">
        <f t="shared" si="13"/>
        <v>-1.3536297509513906E-2</v>
      </c>
    </row>
    <row r="498" spans="1:7">
      <c r="A498" s="63">
        <v>208.91462379954694</v>
      </c>
      <c r="B498" s="63">
        <v>220.72573538233715</v>
      </c>
      <c r="C498" s="63">
        <v>206.07359948274456</v>
      </c>
      <c r="D498" s="63">
        <v>219.10655019478895</v>
      </c>
      <c r="E498" s="63">
        <v>4265300.648196809</v>
      </c>
      <c r="F498" s="63" t="s">
        <v>552</v>
      </c>
      <c r="G498" s="25">
        <f t="shared" si="13"/>
        <v>-4.6515845309878845E-2</v>
      </c>
    </row>
    <row r="499" spans="1:7">
      <c r="A499" s="63">
        <v>220.89460745711213</v>
      </c>
      <c r="B499" s="63">
        <v>220.98401032022829</v>
      </c>
      <c r="C499" s="63">
        <v>212.75894691354173</v>
      </c>
      <c r="D499" s="63">
        <v>215.06355405164715</v>
      </c>
      <c r="E499" s="63">
        <v>2320523.3341403427</v>
      </c>
      <c r="F499" s="63" t="s">
        <v>553</v>
      </c>
      <c r="G499" s="25">
        <f t="shared" si="13"/>
        <v>2.7113163972286358E-2</v>
      </c>
    </row>
    <row r="500" spans="1:7">
      <c r="A500" s="63">
        <v>214.66620799335311</v>
      </c>
      <c r="B500" s="63">
        <v>219.38469243559479</v>
      </c>
      <c r="C500" s="63">
        <v>213.9222768357121</v>
      </c>
      <c r="D500" s="63">
        <v>216.55360177024977</v>
      </c>
      <c r="E500" s="63">
        <v>2490627.9534995789</v>
      </c>
      <c r="F500" s="63" t="s">
        <v>554</v>
      </c>
      <c r="G500" s="25">
        <f t="shared" si="13"/>
        <v>-8.7155963302751882E-3</v>
      </c>
    </row>
    <row r="501" spans="1:7">
      <c r="A501" s="63">
        <v>216.68273923919534</v>
      </c>
      <c r="B501" s="63">
        <v>223.08994442918669</v>
      </c>
      <c r="C501" s="63">
        <v>214.30869587740307</v>
      </c>
      <c r="D501" s="63">
        <v>221.52042749892522</v>
      </c>
      <c r="E501" s="63">
        <v>5550214.8667800184</v>
      </c>
      <c r="F501" s="63" t="s">
        <v>555</v>
      </c>
      <c r="G501" s="25">
        <f t="shared" si="13"/>
        <v>-2.183856502242143E-2</v>
      </c>
    </row>
    <row r="502" spans="1:7">
      <c r="A502" s="63">
        <v>220.83500554836803</v>
      </c>
      <c r="B502" s="63">
        <v>226.25877924408161</v>
      </c>
      <c r="C502" s="63">
        <v>217.83504280824803</v>
      </c>
      <c r="D502" s="63">
        <v>222.334986918428</v>
      </c>
      <c r="E502" s="63">
        <v>3095671.3281140951</v>
      </c>
      <c r="F502" s="63" t="s">
        <v>556</v>
      </c>
      <c r="G502" s="25">
        <f t="shared" si="13"/>
        <v>-6.7464927173620515E-3</v>
      </c>
    </row>
    <row r="503" spans="1:7">
      <c r="A503" s="63">
        <v>218.94761177147134</v>
      </c>
      <c r="B503" s="63">
        <v>219.73237023660207</v>
      </c>
      <c r="C503" s="63">
        <v>207.72755245039352</v>
      </c>
      <c r="D503" s="63">
        <v>211.37816936096993</v>
      </c>
      <c r="E503" s="63">
        <v>2732870.1954718698</v>
      </c>
      <c r="F503" s="63" t="s">
        <v>557</v>
      </c>
      <c r="G503" s="25">
        <f t="shared" si="13"/>
        <v>3.5809953475257394E-2</v>
      </c>
    </row>
    <row r="504" spans="1:7">
      <c r="A504" s="63">
        <v>210.61327819875393</v>
      </c>
      <c r="B504" s="63">
        <v>213.29536409223869</v>
      </c>
      <c r="C504" s="63">
        <v>207.32523956637078</v>
      </c>
      <c r="D504" s="63">
        <v>212.45100371836386</v>
      </c>
      <c r="E504" s="63">
        <v>3343303.3303603265</v>
      </c>
      <c r="F504" s="63" t="s">
        <v>558</v>
      </c>
      <c r="G504" s="25">
        <f t="shared" si="13"/>
        <v>-8.6501145555711867E-3</v>
      </c>
    </row>
    <row r="505" spans="1:7">
      <c r="A505" s="63">
        <v>213.47416981847101</v>
      </c>
      <c r="B505" s="63">
        <v>217.41782944703931</v>
      </c>
      <c r="C505" s="63">
        <v>209.56031114427475</v>
      </c>
      <c r="D505" s="63">
        <v>217.34829388683787</v>
      </c>
      <c r="E505" s="63">
        <v>2389644.9459613306</v>
      </c>
      <c r="F505" s="63" t="s">
        <v>559</v>
      </c>
      <c r="G505" s="25">
        <f t="shared" si="13"/>
        <v>-1.7824497257769689E-2</v>
      </c>
    </row>
    <row r="506" spans="1:7">
      <c r="A506" s="63">
        <v>218.47079650151852</v>
      </c>
      <c r="B506" s="63">
        <v>218.89794351418459</v>
      </c>
      <c r="C506" s="63">
        <v>212.69934500479764</v>
      </c>
      <c r="D506" s="63">
        <v>218.84827525689784</v>
      </c>
      <c r="E506" s="63">
        <v>2253179.5177328358</v>
      </c>
      <c r="F506" s="63" t="s">
        <v>560</v>
      </c>
      <c r="G506" s="25">
        <f t="shared" si="13"/>
        <v>-1.7248422677136332E-3</v>
      </c>
    </row>
    <row r="507" spans="1:7">
      <c r="A507" s="63">
        <v>216.68273923919534</v>
      </c>
      <c r="B507" s="63">
        <v>220.29858836967108</v>
      </c>
      <c r="C507" s="63">
        <v>210.7424156676995</v>
      </c>
      <c r="D507" s="63">
        <v>219.80190579680354</v>
      </c>
      <c r="E507" s="63">
        <v>3158847.4927595337</v>
      </c>
      <c r="F507" s="63" t="s">
        <v>561</v>
      </c>
      <c r="G507" s="25">
        <f t="shared" si="13"/>
        <v>-1.4190807610611533E-2</v>
      </c>
    </row>
    <row r="508" spans="1:7">
      <c r="A508" s="63">
        <v>216.86154496542767</v>
      </c>
      <c r="B508" s="63">
        <v>218.10325139759652</v>
      </c>
      <c r="C508" s="63">
        <v>209.05369491994983</v>
      </c>
      <c r="D508" s="63">
        <v>209.75898417342177</v>
      </c>
      <c r="E508" s="63">
        <v>3726626.6245536441</v>
      </c>
      <c r="F508" s="63" t="s">
        <v>562</v>
      </c>
      <c r="G508" s="25">
        <f t="shared" ref="G508:G571" si="14">A508/D508-1</f>
        <v>3.386057965523781E-2</v>
      </c>
    </row>
    <row r="509" spans="1:7">
      <c r="A509" s="63">
        <v>213.20596122912252</v>
      </c>
      <c r="B509" s="63">
        <v>213.34503234952544</v>
      </c>
      <c r="C509" s="63">
        <v>196.817423054785</v>
      </c>
      <c r="D509" s="63">
        <v>198.20614752852265</v>
      </c>
      <c r="E509" s="63">
        <v>5757773.9913227111</v>
      </c>
      <c r="F509" s="63" t="s">
        <v>563</v>
      </c>
      <c r="G509" s="25">
        <f t="shared" si="14"/>
        <v>7.5677842930887529E-2</v>
      </c>
    </row>
    <row r="510" spans="1:7">
      <c r="A510" s="63">
        <v>196.68629885554796</v>
      </c>
      <c r="B510" s="63">
        <v>202.64648972995852</v>
      </c>
      <c r="C510" s="63">
        <v>196.20948358559514</v>
      </c>
      <c r="D510" s="63">
        <v>200.73922865014714</v>
      </c>
      <c r="E510" s="63">
        <v>4589129.2034678487</v>
      </c>
      <c r="F510" s="63" t="s">
        <v>564</v>
      </c>
      <c r="G510" s="25">
        <f t="shared" si="14"/>
        <v>-2.0190023752969188E-2</v>
      </c>
    </row>
    <row r="511" spans="1:7">
      <c r="A511" s="63">
        <v>201.25577852592937</v>
      </c>
      <c r="B511" s="63">
        <v>208.41794122667937</v>
      </c>
      <c r="C511" s="63">
        <v>194.90817524468216</v>
      </c>
      <c r="D511" s="63">
        <v>208.1099980315015</v>
      </c>
      <c r="E511" s="63">
        <v>4874427.1135231489</v>
      </c>
      <c r="F511" s="63" t="s">
        <v>565</v>
      </c>
      <c r="G511" s="25">
        <f t="shared" si="14"/>
        <v>-3.2935560859188584E-2</v>
      </c>
    </row>
    <row r="512" spans="1:7">
      <c r="A512" s="63">
        <v>207.94112595672655</v>
      </c>
      <c r="B512" s="63">
        <v>211.43777126971406</v>
      </c>
      <c r="C512" s="63">
        <v>203.09350404553928</v>
      </c>
      <c r="D512" s="63">
        <v>203.13323865136871</v>
      </c>
      <c r="E512" s="63">
        <v>4532269.9506115355</v>
      </c>
      <c r="F512" s="63" t="s">
        <v>566</v>
      </c>
      <c r="G512" s="25">
        <f t="shared" si="14"/>
        <v>2.3668639053254337E-2</v>
      </c>
    </row>
    <row r="513" spans="1:7">
      <c r="A513" s="63">
        <v>201.79219570462632</v>
      </c>
      <c r="B513" s="63">
        <v>207.11663288576642</v>
      </c>
      <c r="C513" s="63">
        <v>195.53399528649527</v>
      </c>
      <c r="D513" s="63">
        <v>205.61665151570642</v>
      </c>
      <c r="E513" s="63">
        <v>4697870.6873660628</v>
      </c>
      <c r="F513" s="63" t="s">
        <v>567</v>
      </c>
      <c r="G513" s="25">
        <f t="shared" si="14"/>
        <v>-1.8599932363882354E-2</v>
      </c>
    </row>
    <row r="514" spans="1:7">
      <c r="A514" s="63">
        <v>206.87822525079</v>
      </c>
      <c r="B514" s="63">
        <v>215.7589096536617</v>
      </c>
      <c r="C514" s="63">
        <v>202.69615798724527</v>
      </c>
      <c r="D514" s="63">
        <v>214.07018890591206</v>
      </c>
      <c r="E514" s="63">
        <v>4955435.5929785566</v>
      </c>
      <c r="F514" s="63" t="s">
        <v>568</v>
      </c>
      <c r="G514" s="25">
        <f t="shared" si="14"/>
        <v>-3.3596287703016259E-2</v>
      </c>
    </row>
    <row r="515" spans="1:7">
      <c r="A515" s="63">
        <v>215.80857791094846</v>
      </c>
      <c r="B515" s="63">
        <v>222.99060791461315</v>
      </c>
      <c r="C515" s="63">
        <v>206.61995031289888</v>
      </c>
      <c r="D515" s="63">
        <v>222.57339455340443</v>
      </c>
      <c r="E515" s="63">
        <v>5655823.5651024943</v>
      </c>
      <c r="F515" s="63" t="s">
        <v>569</v>
      </c>
      <c r="G515" s="25">
        <f t="shared" si="14"/>
        <v>-3.0393644559493005E-2</v>
      </c>
    </row>
    <row r="516" spans="1:7">
      <c r="A516" s="63">
        <v>223.467423184566</v>
      </c>
      <c r="B516" s="63">
        <v>223.79523368265859</v>
      </c>
      <c r="C516" s="63">
        <v>218.54033206171997</v>
      </c>
      <c r="D516" s="63">
        <v>220.85487285128272</v>
      </c>
      <c r="E516" s="63">
        <v>2054434.8759990004</v>
      </c>
      <c r="F516" s="63" t="s">
        <v>570</v>
      </c>
      <c r="G516" s="25">
        <f t="shared" si="14"/>
        <v>1.1829262807538266E-2</v>
      </c>
    </row>
    <row r="517" spans="1:7">
      <c r="A517" s="63">
        <v>219.27542226956393</v>
      </c>
      <c r="B517" s="63">
        <v>227.36141455584755</v>
      </c>
      <c r="C517" s="63">
        <v>217.437696749954</v>
      </c>
      <c r="D517" s="63">
        <v>225.27534774980387</v>
      </c>
      <c r="E517" s="63">
        <v>3834885.9091296294</v>
      </c>
      <c r="F517" s="63" t="s">
        <v>571</v>
      </c>
      <c r="G517" s="25">
        <f t="shared" si="14"/>
        <v>-2.6633741952553081E-2</v>
      </c>
    </row>
    <row r="518" spans="1:7">
      <c r="A518" s="63">
        <v>229.38539604028287</v>
      </c>
      <c r="B518" s="63">
        <v>232.86679328204093</v>
      </c>
      <c r="C518" s="63">
        <v>220.01240346631877</v>
      </c>
      <c r="D518" s="63">
        <v>230.84341710734392</v>
      </c>
      <c r="E518" s="63">
        <v>2623563.2436439651</v>
      </c>
      <c r="F518" s="63" t="s">
        <v>572</v>
      </c>
      <c r="G518" s="25">
        <f t="shared" si="14"/>
        <v>-6.3160608404226881E-3</v>
      </c>
    </row>
    <row r="519" spans="1:7">
      <c r="A519" s="63">
        <v>228.75061135802497</v>
      </c>
      <c r="B519" s="63">
        <v>234.37440690240342</v>
      </c>
      <c r="C519" s="63">
        <v>219.83387027443374</v>
      </c>
      <c r="D519" s="63">
        <v>221.4902615547004</v>
      </c>
      <c r="E519" s="63">
        <v>2693983.0903248903</v>
      </c>
      <c r="F519" s="63" t="s">
        <v>573</v>
      </c>
      <c r="G519" s="25">
        <f t="shared" si="14"/>
        <v>3.2779544131476435E-2</v>
      </c>
    </row>
    <row r="520" spans="1:7">
      <c r="A520" s="63">
        <v>219.35778176274033</v>
      </c>
      <c r="B520" s="63">
        <v>226.19163560767288</v>
      </c>
      <c r="C520" s="63">
        <v>218.9412043150086</v>
      </c>
      <c r="D520" s="63">
        <v>221.95643155573353</v>
      </c>
      <c r="E520" s="63">
        <v>2680142.3026600885</v>
      </c>
      <c r="F520" s="63" t="s">
        <v>574</v>
      </c>
      <c r="G520" s="25">
        <f t="shared" si="14"/>
        <v>-1.1707927428724618E-2</v>
      </c>
    </row>
    <row r="521" spans="1:7">
      <c r="A521" s="63">
        <v>218.316338143411</v>
      </c>
      <c r="B521" s="63">
        <v>222.576338472001</v>
      </c>
      <c r="C521" s="63">
        <v>216.08467324484812</v>
      </c>
      <c r="D521" s="63">
        <v>220.2901217648066</v>
      </c>
      <c r="E521" s="63">
        <v>1586591.0255075158</v>
      </c>
      <c r="F521" s="63" t="s">
        <v>575</v>
      </c>
      <c r="G521" s="25">
        <f t="shared" si="14"/>
        <v>-8.9599279603781445E-3</v>
      </c>
    </row>
    <row r="522" spans="1:7">
      <c r="A522" s="63">
        <v>220.7761287871603</v>
      </c>
      <c r="B522" s="63">
        <v>220.85547687244252</v>
      </c>
      <c r="C522" s="63">
        <v>213.74390472902215</v>
      </c>
      <c r="D522" s="63">
        <v>214.17040068741417</v>
      </c>
      <c r="E522" s="63">
        <v>1896588.1717840487</v>
      </c>
      <c r="F522" s="63" t="s">
        <v>576</v>
      </c>
      <c r="G522" s="25">
        <f t="shared" si="14"/>
        <v>3.0843328856573926E-2</v>
      </c>
    </row>
    <row r="523" spans="1:7">
      <c r="A523" s="63">
        <v>213.31740877063012</v>
      </c>
      <c r="B523" s="63">
        <v>213.48602345185489</v>
      </c>
      <c r="C523" s="63">
        <v>209.42935259180061</v>
      </c>
      <c r="D523" s="63">
        <v>212.20653557667882</v>
      </c>
      <c r="E523" s="63">
        <v>2345322.8813028871</v>
      </c>
      <c r="F523" s="63" t="s">
        <v>577</v>
      </c>
      <c r="G523" s="25">
        <f t="shared" si="14"/>
        <v>5.2348679598037684E-3</v>
      </c>
    </row>
    <row r="524" spans="1:7">
      <c r="A524" s="63">
        <v>211.37338068121539</v>
      </c>
      <c r="B524" s="63">
        <v>215.93787928707596</v>
      </c>
      <c r="C524" s="63">
        <v>208.19945726992594</v>
      </c>
      <c r="D524" s="63">
        <v>214.5968966458062</v>
      </c>
      <c r="E524" s="63">
        <v>3082432.5392355444</v>
      </c>
      <c r="F524" s="63" t="s">
        <v>578</v>
      </c>
      <c r="G524" s="25">
        <f t="shared" si="14"/>
        <v>-1.5021260861526997E-2</v>
      </c>
    </row>
    <row r="525" spans="1:7">
      <c r="A525" s="63">
        <v>214.57705962448563</v>
      </c>
      <c r="B525" s="63">
        <v>222.96811964308205</v>
      </c>
      <c r="C525" s="63">
        <v>214.47787451788284</v>
      </c>
      <c r="D525" s="63">
        <v>221.90683900243212</v>
      </c>
      <c r="E525" s="63">
        <v>3568927.9582830695</v>
      </c>
      <c r="F525" s="63" t="s">
        <v>579</v>
      </c>
      <c r="G525" s="25">
        <f t="shared" si="14"/>
        <v>-3.3030885442274061E-2</v>
      </c>
    </row>
    <row r="526" spans="1:7">
      <c r="A526" s="63">
        <v>221.4902615547004</v>
      </c>
      <c r="B526" s="63">
        <v>222.8887715577998</v>
      </c>
      <c r="C526" s="63">
        <v>217.9691902703012</v>
      </c>
      <c r="D526" s="63">
        <v>218.34609367539181</v>
      </c>
      <c r="E526" s="63">
        <v>2704219.506201983</v>
      </c>
      <c r="F526" s="63" t="s">
        <v>580</v>
      </c>
      <c r="G526" s="25">
        <f t="shared" si="14"/>
        <v>1.4399927318978767E-2</v>
      </c>
    </row>
    <row r="527" spans="1:7">
      <c r="A527" s="63">
        <v>215.96565111692476</v>
      </c>
      <c r="B527" s="63">
        <v>216.1342657981495</v>
      </c>
      <c r="C527" s="63">
        <v>209.05244918670999</v>
      </c>
      <c r="D527" s="63">
        <v>212.82148323761615</v>
      </c>
      <c r="E527" s="63">
        <v>1966991.887010819</v>
      </c>
      <c r="F527" s="63" t="s">
        <v>581</v>
      </c>
      <c r="G527" s="25">
        <f t="shared" si="14"/>
        <v>1.4773733513538723E-2</v>
      </c>
    </row>
    <row r="528" spans="1:7">
      <c r="A528" s="63">
        <v>211.84946919290877</v>
      </c>
      <c r="B528" s="63">
        <v>216.89303186366089</v>
      </c>
      <c r="C528" s="63">
        <v>210.85761812688085</v>
      </c>
      <c r="D528" s="63">
        <v>215.23168132806407</v>
      </c>
      <c r="E528" s="63">
        <v>1935060.6817273155</v>
      </c>
      <c r="F528" s="63" t="s">
        <v>582</v>
      </c>
      <c r="G528" s="25">
        <f t="shared" si="14"/>
        <v>-1.5714285714285792E-2</v>
      </c>
    </row>
    <row r="529" spans="1:7">
      <c r="A529" s="63">
        <v>213.17854962138622</v>
      </c>
      <c r="B529" s="63">
        <v>218.72299708048246</v>
      </c>
      <c r="C529" s="63">
        <v>210.13356684868046</v>
      </c>
      <c r="D529" s="63">
        <v>218.72299708048246</v>
      </c>
      <c r="E529" s="63">
        <v>2767270.3029818274</v>
      </c>
      <c r="F529" s="63" t="s">
        <v>583</v>
      </c>
      <c r="G529" s="25">
        <f t="shared" si="14"/>
        <v>-2.5349174678033881E-2</v>
      </c>
    </row>
    <row r="530" spans="1:7">
      <c r="A530" s="63">
        <v>214.1505636660936</v>
      </c>
      <c r="B530" s="63">
        <v>214.19023770873471</v>
      </c>
      <c r="C530" s="63">
        <v>201.34576640367285</v>
      </c>
      <c r="D530" s="63">
        <v>203.75596449412075</v>
      </c>
      <c r="E530" s="63">
        <v>4348975.5143122142</v>
      </c>
      <c r="F530" s="63" t="s">
        <v>584</v>
      </c>
      <c r="G530" s="25">
        <f t="shared" si="14"/>
        <v>5.1014944263252593E-2</v>
      </c>
    </row>
    <row r="531" spans="1:7">
      <c r="A531" s="63">
        <v>206.30502173381257</v>
      </c>
      <c r="B531" s="63">
        <v>206.57282152164012</v>
      </c>
      <c r="C531" s="63">
        <v>196.4956146907962</v>
      </c>
      <c r="D531" s="63">
        <v>196.9221106491882</v>
      </c>
      <c r="E531" s="63">
        <v>4024911.7400127123</v>
      </c>
      <c r="F531" s="63" t="s">
        <v>585</v>
      </c>
      <c r="G531" s="25">
        <f t="shared" si="14"/>
        <v>4.7647829152815513E-2</v>
      </c>
    </row>
    <row r="532" spans="1:7">
      <c r="A532" s="63">
        <v>198.92564980256466</v>
      </c>
      <c r="B532" s="63">
        <v>203.40881662101097</v>
      </c>
      <c r="C532" s="63">
        <v>195.74180788061494</v>
      </c>
      <c r="D532" s="63">
        <v>197.08080681975267</v>
      </c>
      <c r="E532" s="63">
        <v>2820302.4585156683</v>
      </c>
      <c r="F532" s="63" t="s">
        <v>586</v>
      </c>
      <c r="G532" s="25">
        <f t="shared" si="14"/>
        <v>9.3608454957223586E-3</v>
      </c>
    </row>
    <row r="533" spans="1:7">
      <c r="A533" s="63">
        <v>196.08895575372472</v>
      </c>
      <c r="B533" s="63">
        <v>197.28909554361854</v>
      </c>
      <c r="C533" s="63">
        <v>192.53812893734471</v>
      </c>
      <c r="D533" s="63">
        <v>196.13854830702613</v>
      </c>
      <c r="E533" s="63">
        <v>2730229.4595947973</v>
      </c>
      <c r="F533" s="63" t="s">
        <v>587</v>
      </c>
      <c r="G533" s="25">
        <f t="shared" si="14"/>
        <v>-2.5284450063212116E-4</v>
      </c>
    </row>
    <row r="534" spans="1:7">
      <c r="A534" s="63">
        <v>193.27209872620537</v>
      </c>
      <c r="B534" s="63">
        <v>195.66245979533272</v>
      </c>
      <c r="C534" s="63">
        <v>186.46800041325366</v>
      </c>
      <c r="D534" s="63">
        <v>187.78716233107085</v>
      </c>
      <c r="E534" s="63">
        <v>3508747.5521268914</v>
      </c>
      <c r="F534" s="63" t="s">
        <v>588</v>
      </c>
      <c r="G534" s="25">
        <f t="shared" si="14"/>
        <v>2.9208260708815326E-2</v>
      </c>
    </row>
    <row r="535" spans="1:7">
      <c r="A535" s="63">
        <v>184.6628314730828</v>
      </c>
      <c r="B535" s="63">
        <v>185.65468253911075</v>
      </c>
      <c r="C535" s="63">
        <v>182.10385572273071</v>
      </c>
      <c r="D535" s="63">
        <v>183.49244721516982</v>
      </c>
      <c r="E535" s="63">
        <v>3096251.1461508828</v>
      </c>
      <c r="F535" s="63" t="s">
        <v>589</v>
      </c>
      <c r="G535" s="25">
        <f t="shared" si="14"/>
        <v>6.378378378378402E-3</v>
      </c>
    </row>
    <row r="536" spans="1:7">
      <c r="A536" s="63">
        <v>183.05603274611755</v>
      </c>
      <c r="B536" s="63">
        <v>186.6713298817894</v>
      </c>
      <c r="C536" s="63">
        <v>182.42124806385965</v>
      </c>
      <c r="D536" s="63">
        <v>184.73226104770475</v>
      </c>
      <c r="E536" s="63">
        <v>2739410.2734406367</v>
      </c>
      <c r="F536" s="63" t="s">
        <v>590</v>
      </c>
      <c r="G536" s="25">
        <f t="shared" si="14"/>
        <v>-9.0738255033555593E-3</v>
      </c>
    </row>
    <row r="537" spans="1:7">
      <c r="A537" s="63">
        <v>184.42478721723609</v>
      </c>
      <c r="B537" s="63">
        <v>187.8565919056928</v>
      </c>
      <c r="C537" s="63">
        <v>184.19666147204967</v>
      </c>
      <c r="D537" s="63">
        <v>187.07302956353072</v>
      </c>
      <c r="E537" s="63">
        <v>2191041.653766566</v>
      </c>
      <c r="F537" s="63" t="s">
        <v>591</v>
      </c>
      <c r="G537" s="25">
        <f t="shared" si="14"/>
        <v>-1.4156195323683951E-2</v>
      </c>
    </row>
    <row r="538" spans="1:7">
      <c r="A538" s="63">
        <v>187.07302956353072</v>
      </c>
      <c r="B538" s="63">
        <v>188.86827999304128</v>
      </c>
      <c r="C538" s="63">
        <v>184.62325661554829</v>
      </c>
      <c r="D538" s="63">
        <v>186.89449637164569</v>
      </c>
      <c r="E538" s="63">
        <v>2223668.5280104941</v>
      </c>
      <c r="F538" s="63" t="s">
        <v>592</v>
      </c>
      <c r="G538" s="25">
        <f t="shared" si="14"/>
        <v>9.5526190097117158E-4</v>
      </c>
    </row>
    <row r="539" spans="1:7">
      <c r="A539" s="63">
        <v>186.83498530768401</v>
      </c>
      <c r="B539" s="63">
        <v>187.83675488437223</v>
      </c>
      <c r="C539" s="63">
        <v>184.11731338676742</v>
      </c>
      <c r="D539" s="63">
        <v>185.39184200661333</v>
      </c>
      <c r="E539" s="63">
        <v>1841640.4060693274</v>
      </c>
      <c r="F539" s="63" t="s">
        <v>593</v>
      </c>
      <c r="G539" s="25">
        <f t="shared" si="14"/>
        <v>7.7842869753632637E-3</v>
      </c>
    </row>
    <row r="540" spans="1:7">
      <c r="A540" s="63">
        <v>186.47791892391393</v>
      </c>
      <c r="B540" s="63">
        <v>188.97668931455814</v>
      </c>
      <c r="C540" s="63">
        <v>183.89414689691114</v>
      </c>
      <c r="D540" s="63">
        <v>184.08755785478658</v>
      </c>
      <c r="E540" s="63">
        <v>2932821.367677032</v>
      </c>
      <c r="F540" s="63" t="s">
        <v>594</v>
      </c>
      <c r="G540" s="25">
        <f t="shared" si="14"/>
        <v>1.2984913793103514E-2</v>
      </c>
    </row>
    <row r="541" spans="1:7">
      <c r="A541" s="63">
        <v>184.64299445176223</v>
      </c>
      <c r="B541" s="63">
        <v>192.78609170385167</v>
      </c>
      <c r="C541" s="63">
        <v>182.15077027815383</v>
      </c>
      <c r="D541" s="63">
        <v>185.20834955939816</v>
      </c>
      <c r="E541" s="63">
        <v>2285064.8425235888</v>
      </c>
      <c r="F541" s="63" t="s">
        <v>595</v>
      </c>
      <c r="G541" s="25">
        <f t="shared" si="14"/>
        <v>-3.0525357468002001E-3</v>
      </c>
    </row>
    <row r="542" spans="1:7">
      <c r="A542" s="63">
        <v>186.71596317976065</v>
      </c>
      <c r="B542" s="63">
        <v>188.20373977880257</v>
      </c>
      <c r="C542" s="63">
        <v>182.47084061716106</v>
      </c>
      <c r="D542" s="63">
        <v>182.47084061716106</v>
      </c>
      <c r="E542" s="63">
        <v>2406949.0690376875</v>
      </c>
      <c r="F542" s="63" t="s">
        <v>596</v>
      </c>
      <c r="G542" s="25">
        <f t="shared" si="14"/>
        <v>2.3264662716747209E-2</v>
      </c>
    </row>
    <row r="543" spans="1:7">
      <c r="A543" s="63">
        <v>181.7269523176401</v>
      </c>
      <c r="B543" s="63">
        <v>182.3518184892377</v>
      </c>
      <c r="C543" s="63">
        <v>176.75777847684009</v>
      </c>
      <c r="D543" s="63">
        <v>180.12015359067482</v>
      </c>
      <c r="E543" s="63">
        <v>2346839.2379934364</v>
      </c>
      <c r="F543" s="63" t="s">
        <v>597</v>
      </c>
      <c r="G543" s="25">
        <f t="shared" si="14"/>
        <v>8.9207048458150862E-3</v>
      </c>
    </row>
    <row r="544" spans="1:7">
      <c r="A544" s="63">
        <v>179.42585784445527</v>
      </c>
      <c r="B544" s="63">
        <v>184.44462423855666</v>
      </c>
      <c r="C544" s="63">
        <v>176.20234187986443</v>
      </c>
      <c r="D544" s="63">
        <v>181.80630040292235</v>
      </c>
      <c r="E544" s="63">
        <v>3470764.0268876916</v>
      </c>
      <c r="F544" s="63" t="s">
        <v>598</v>
      </c>
      <c r="G544" s="25">
        <f t="shared" si="14"/>
        <v>-1.3093289689034449E-2</v>
      </c>
    </row>
    <row r="545" spans="1:7">
      <c r="A545" s="63">
        <v>182.361736999898</v>
      </c>
      <c r="B545" s="63">
        <v>186.73381649894915</v>
      </c>
      <c r="C545" s="63">
        <v>181.59801167905647</v>
      </c>
      <c r="D545" s="63">
        <v>184.61323891978139</v>
      </c>
      <c r="E545" s="63">
        <v>1667749.3795761012</v>
      </c>
      <c r="F545" s="63" t="s">
        <v>599</v>
      </c>
      <c r="G545" s="25">
        <f t="shared" si="14"/>
        <v>-1.219577714500597E-2</v>
      </c>
    </row>
    <row r="546" spans="1:7">
      <c r="A546" s="63">
        <v>183.889187641581</v>
      </c>
      <c r="B546" s="63">
        <v>187.49952552192272</v>
      </c>
      <c r="C546" s="63">
        <v>181.14176018868361</v>
      </c>
      <c r="D546" s="63">
        <v>186.38865232797141</v>
      </c>
      <c r="E546" s="63">
        <v>3310114.9078237708</v>
      </c>
      <c r="F546" s="63" t="s">
        <v>600</v>
      </c>
      <c r="G546" s="25">
        <f t="shared" si="14"/>
        <v>-1.3409961685823646E-2</v>
      </c>
    </row>
    <row r="547" spans="1:7">
      <c r="A547" s="63">
        <v>185.12900147411594</v>
      </c>
      <c r="B547" s="63">
        <v>186.74075945641135</v>
      </c>
      <c r="C547" s="63">
        <v>181.61784870037704</v>
      </c>
      <c r="D547" s="63">
        <v>183.52220274715066</v>
      </c>
      <c r="E547" s="63">
        <v>3007382.965212197</v>
      </c>
      <c r="F547" s="63" t="s">
        <v>601</v>
      </c>
      <c r="G547" s="25">
        <f t="shared" si="14"/>
        <v>8.7553369723829544E-3</v>
      </c>
    </row>
    <row r="548" spans="1:7">
      <c r="A548" s="63">
        <v>183.889187641581</v>
      </c>
      <c r="B548" s="63">
        <v>194.40280894147722</v>
      </c>
      <c r="C548" s="63">
        <v>183.2742399806437</v>
      </c>
      <c r="D548" s="63">
        <v>192.50837340536387</v>
      </c>
      <c r="E548" s="63">
        <v>2552254.1505527576</v>
      </c>
      <c r="F548" s="63" t="s">
        <v>602</v>
      </c>
      <c r="G548" s="25">
        <f t="shared" si="14"/>
        <v>-4.4773043433458781E-2</v>
      </c>
    </row>
    <row r="549" spans="1:7">
      <c r="A549" s="63">
        <v>190.10809382557622</v>
      </c>
      <c r="B549" s="63">
        <v>191.67511932479377</v>
      </c>
      <c r="C549" s="63">
        <v>188.79885041841933</v>
      </c>
      <c r="D549" s="63">
        <v>190.39573063472434</v>
      </c>
      <c r="E549" s="63">
        <v>1816659.8410947651</v>
      </c>
      <c r="F549" s="63" t="s">
        <v>603</v>
      </c>
      <c r="G549" s="25">
        <f t="shared" si="14"/>
        <v>-1.5107314023755647E-3</v>
      </c>
    </row>
    <row r="550" spans="1:7">
      <c r="A550" s="63">
        <v>191.30823361547004</v>
      </c>
      <c r="B550" s="63">
        <v>192.69682510790918</v>
      </c>
      <c r="C550" s="63">
        <v>188.45170254530956</v>
      </c>
      <c r="D550" s="63">
        <v>190.00890871897343</v>
      </c>
      <c r="E550" s="63">
        <v>2285928.8835367542</v>
      </c>
      <c r="F550" s="63" t="s">
        <v>604</v>
      </c>
      <c r="G550" s="25">
        <f t="shared" si="14"/>
        <v>6.8382314558648183E-3</v>
      </c>
    </row>
    <row r="551" spans="1:7">
      <c r="A551" s="63">
        <v>189.52290169661975</v>
      </c>
      <c r="B551" s="63">
        <v>192.25049212819661</v>
      </c>
      <c r="C551" s="63">
        <v>181.01281955009998</v>
      </c>
      <c r="D551" s="63">
        <v>182.00467061612792</v>
      </c>
      <c r="E551" s="63">
        <v>3893870.8968340065</v>
      </c>
      <c r="F551" s="63" t="s">
        <v>605</v>
      </c>
      <c r="G551" s="25">
        <f t="shared" si="14"/>
        <v>4.1307901907357003E-2</v>
      </c>
    </row>
    <row r="552" spans="1:7">
      <c r="A552" s="63">
        <v>186.56718551985645</v>
      </c>
      <c r="B552" s="63">
        <v>193.2522617048848</v>
      </c>
      <c r="C552" s="63">
        <v>183.54203976847123</v>
      </c>
      <c r="D552" s="63">
        <v>191.03051531698222</v>
      </c>
      <c r="E552" s="63">
        <v>1974860.0037748131</v>
      </c>
      <c r="F552" s="63" t="s">
        <v>606</v>
      </c>
      <c r="G552" s="25">
        <f t="shared" si="14"/>
        <v>-2.3364485981308469E-2</v>
      </c>
    </row>
    <row r="553" spans="1:7">
      <c r="A553" s="63">
        <v>190.41556765604489</v>
      </c>
      <c r="B553" s="63">
        <v>196.02944468976304</v>
      </c>
      <c r="C553" s="63">
        <v>186.57710403051675</v>
      </c>
      <c r="D553" s="63">
        <v>193.27705798153551</v>
      </c>
      <c r="E553" s="63">
        <v>1677136.8776782989</v>
      </c>
      <c r="F553" s="63" t="s">
        <v>607</v>
      </c>
      <c r="G553" s="25">
        <f t="shared" si="14"/>
        <v>-1.4805121494367857E-2</v>
      </c>
    </row>
    <row r="554" spans="1:7">
      <c r="A554" s="63">
        <v>191.50660382867565</v>
      </c>
      <c r="B554" s="63">
        <v>193.26218021554507</v>
      </c>
      <c r="C554" s="63">
        <v>179.94162039878978</v>
      </c>
      <c r="D554" s="63">
        <v>180.83428635821494</v>
      </c>
      <c r="E554" s="63">
        <v>4366965.1103424486</v>
      </c>
      <c r="F554" s="63" t="s">
        <v>608</v>
      </c>
      <c r="G554" s="25">
        <f t="shared" si="14"/>
        <v>5.9017112768758428E-2</v>
      </c>
    </row>
    <row r="555" spans="1:7">
      <c r="A555" s="63">
        <v>181.61784870037704</v>
      </c>
      <c r="B555" s="63">
        <v>193.90688340846324</v>
      </c>
      <c r="C555" s="63">
        <v>181.46907104047284</v>
      </c>
      <c r="D555" s="63">
        <v>191.8636702124457</v>
      </c>
      <c r="E555" s="63">
        <v>3778586.451500983</v>
      </c>
      <c r="F555" s="63" t="s">
        <v>609</v>
      </c>
      <c r="G555" s="25">
        <f t="shared" si="14"/>
        <v>-5.3401571546732751E-2</v>
      </c>
    </row>
    <row r="556" spans="1:7">
      <c r="A556" s="63">
        <v>188.70958382247682</v>
      </c>
      <c r="B556" s="63">
        <v>191.63554446725928</v>
      </c>
      <c r="C556" s="63">
        <v>185.34720870864209</v>
      </c>
      <c r="D556" s="63">
        <v>186.94408892494707</v>
      </c>
      <c r="E556" s="63">
        <v>2576781.0183792165</v>
      </c>
      <c r="F556" s="63" t="s">
        <v>610</v>
      </c>
      <c r="G556" s="25">
        <f t="shared" si="14"/>
        <v>9.4439728353141739E-3</v>
      </c>
    </row>
    <row r="557" spans="1:7">
      <c r="A557" s="63">
        <v>186.59694105183729</v>
      </c>
      <c r="B557" s="63">
        <v>186.83498530768401</v>
      </c>
      <c r="C557" s="63">
        <v>182.61961827706526</v>
      </c>
      <c r="D557" s="63">
        <v>183.18001412937105</v>
      </c>
      <c r="E557" s="63">
        <v>1890926.0313757206</v>
      </c>
      <c r="F557" s="63" t="s">
        <v>611</v>
      </c>
      <c r="G557" s="25">
        <f t="shared" si="14"/>
        <v>1.8653382786907313E-2</v>
      </c>
    </row>
    <row r="558" spans="1:7">
      <c r="A558" s="63">
        <v>184.4644612598772</v>
      </c>
      <c r="B558" s="63">
        <v>187.2713997767363</v>
      </c>
      <c r="C558" s="63">
        <v>181.90548550952514</v>
      </c>
      <c r="D558" s="63">
        <v>184.51405381317861</v>
      </c>
      <c r="E558" s="63">
        <v>1993705.5750911355</v>
      </c>
      <c r="F558" s="63" t="s">
        <v>612</v>
      </c>
      <c r="G558" s="25">
        <f t="shared" si="14"/>
        <v>-2.6877385367962692E-4</v>
      </c>
    </row>
    <row r="559" spans="1:7">
      <c r="A559" s="63">
        <v>183.34366955526565</v>
      </c>
      <c r="B559" s="63">
        <v>185.30753466600098</v>
      </c>
      <c r="C559" s="63">
        <v>181.84101519023332</v>
      </c>
      <c r="D559" s="63">
        <v>183.52220274715066</v>
      </c>
      <c r="E559" s="63">
        <v>2067658.2102319575</v>
      </c>
      <c r="F559" s="63" t="s">
        <v>613</v>
      </c>
      <c r="G559" s="25">
        <f t="shared" si="14"/>
        <v>-9.728152191534889E-4</v>
      </c>
    </row>
    <row r="560" spans="1:7">
      <c r="A560" s="63">
        <v>183.38334359790676</v>
      </c>
      <c r="B560" s="63">
        <v>188.57072467323292</v>
      </c>
      <c r="C560" s="63">
        <v>180.85412337953551</v>
      </c>
      <c r="D560" s="63">
        <v>186.54734849853591</v>
      </c>
      <c r="E560" s="63">
        <v>2472264.3186945091</v>
      </c>
      <c r="F560" s="63" t="s">
        <v>614</v>
      </c>
      <c r="G560" s="25">
        <f t="shared" si="14"/>
        <v>-1.696086771586558E-2</v>
      </c>
    </row>
    <row r="561" spans="1:7">
      <c r="A561" s="63">
        <v>183.89910615224127</v>
      </c>
      <c r="B561" s="63">
        <v>197.20974745833632</v>
      </c>
      <c r="C561" s="63">
        <v>182.9766846608353</v>
      </c>
      <c r="D561" s="63">
        <v>188.35251743870677</v>
      </c>
      <c r="E561" s="63">
        <v>4263421.3389864508</v>
      </c>
      <c r="F561" s="63" t="s">
        <v>615</v>
      </c>
      <c r="G561" s="25">
        <f t="shared" si="14"/>
        <v>-2.3644023170089623E-2</v>
      </c>
    </row>
    <row r="562" spans="1:7">
      <c r="A562" s="63">
        <v>185.73403062439297</v>
      </c>
      <c r="B562" s="63">
        <v>187.50944403258302</v>
      </c>
      <c r="C562" s="63">
        <v>178.07694039465724</v>
      </c>
      <c r="D562" s="63">
        <v>178.53319188503011</v>
      </c>
      <c r="E562" s="63">
        <v>3599913.4570667492</v>
      </c>
      <c r="F562" s="63" t="s">
        <v>616</v>
      </c>
      <c r="G562" s="25">
        <f t="shared" si="14"/>
        <v>4.0333333333333332E-2</v>
      </c>
    </row>
    <row r="563" spans="1:7">
      <c r="A563" s="63">
        <v>176.78753400882093</v>
      </c>
      <c r="B563" s="63">
        <v>176.91647464740456</v>
      </c>
      <c r="C563" s="63">
        <v>172.79533346805846</v>
      </c>
      <c r="D563" s="63">
        <v>173.57393655489039</v>
      </c>
      <c r="E563" s="63">
        <v>1621587.2070804273</v>
      </c>
      <c r="F563" s="63" t="s">
        <v>617</v>
      </c>
      <c r="G563" s="25">
        <f t="shared" si="14"/>
        <v>1.8514285714285705E-2</v>
      </c>
    </row>
    <row r="564" spans="1:7">
      <c r="A564" s="63">
        <v>172.71102612744608</v>
      </c>
      <c r="B564" s="63">
        <v>176.3610380504289</v>
      </c>
      <c r="C564" s="63">
        <v>170.9653682512369</v>
      </c>
      <c r="D564" s="63">
        <v>176.01389017731913</v>
      </c>
      <c r="E564" s="63">
        <v>2230310.6542587252</v>
      </c>
      <c r="F564" s="63" t="s">
        <v>618</v>
      </c>
      <c r="G564" s="25">
        <f t="shared" si="14"/>
        <v>-1.8764792065817604E-2</v>
      </c>
    </row>
    <row r="565" spans="1:7">
      <c r="A565" s="63">
        <v>174.27815081177022</v>
      </c>
      <c r="B565" s="63">
        <v>175.32951294175984</v>
      </c>
      <c r="C565" s="63">
        <v>171.24397921568413</v>
      </c>
      <c r="D565" s="63">
        <v>171.51088633755225</v>
      </c>
      <c r="E565" s="63">
        <v>1985497.6895740062</v>
      </c>
      <c r="F565" s="63" t="s">
        <v>619</v>
      </c>
      <c r="G565" s="25">
        <f t="shared" si="14"/>
        <v>1.6134628730048561E-2</v>
      </c>
    </row>
    <row r="566" spans="1:7">
      <c r="A566" s="63">
        <v>171.00504229387801</v>
      </c>
      <c r="B566" s="63">
        <v>172.59200399952272</v>
      </c>
      <c r="C566" s="63">
        <v>166.88886036986202</v>
      </c>
      <c r="D566" s="63">
        <v>167.62283015872271</v>
      </c>
      <c r="E566" s="63">
        <v>1937978.4584975615</v>
      </c>
      <c r="F566" s="63" t="s">
        <v>620</v>
      </c>
      <c r="G566" s="25">
        <f t="shared" si="14"/>
        <v>2.0177514792899531E-2</v>
      </c>
    </row>
    <row r="567" spans="1:7">
      <c r="A567" s="63">
        <v>167.46413398815824</v>
      </c>
      <c r="B567" s="63">
        <v>169.68588037606085</v>
      </c>
      <c r="C567" s="63">
        <v>164.83572866318417</v>
      </c>
      <c r="D567" s="63">
        <v>166.32350526222609</v>
      </c>
      <c r="E567" s="63">
        <v>2023261.4237503475</v>
      </c>
      <c r="F567" s="63" t="s">
        <v>621</v>
      </c>
      <c r="G567" s="25">
        <f t="shared" si="14"/>
        <v>6.8578925398057322E-3</v>
      </c>
    </row>
    <row r="568" spans="1:7">
      <c r="A568" s="63">
        <v>164.17118844894549</v>
      </c>
      <c r="B568" s="63">
        <v>167.01780100844564</v>
      </c>
      <c r="C568" s="63">
        <v>161.34441291076581</v>
      </c>
      <c r="D568" s="63">
        <v>162.84210802046803</v>
      </c>
      <c r="E568" s="63">
        <v>4569270.6851134356</v>
      </c>
      <c r="F568" s="63" t="s">
        <v>622</v>
      </c>
      <c r="G568" s="25">
        <f t="shared" si="14"/>
        <v>8.1617736630528182E-3</v>
      </c>
    </row>
    <row r="569" spans="1:7">
      <c r="A569" s="63">
        <v>163.29835951084087</v>
      </c>
      <c r="B569" s="63">
        <v>167.01780100844564</v>
      </c>
      <c r="C569" s="63">
        <v>161.9395235503826</v>
      </c>
      <c r="D569" s="63">
        <v>166.48220143279056</v>
      </c>
      <c r="E569" s="63">
        <v>3037102.1448447262</v>
      </c>
      <c r="F569" s="63" t="s">
        <v>623</v>
      </c>
      <c r="G569" s="25">
        <f t="shared" si="14"/>
        <v>-1.9124218051831954E-2</v>
      </c>
    </row>
    <row r="570" spans="1:7">
      <c r="A570" s="63">
        <v>166.49211994345086</v>
      </c>
      <c r="B570" s="63">
        <v>169.91400612124727</v>
      </c>
      <c r="C570" s="63">
        <v>165.08369142969116</v>
      </c>
      <c r="D570" s="63">
        <v>169.84457654662532</v>
      </c>
      <c r="E570" s="63">
        <v>1652576.7387276455</v>
      </c>
      <c r="F570" s="63" t="s">
        <v>624</v>
      </c>
      <c r="G570" s="25">
        <f t="shared" si="14"/>
        <v>-1.9738378883438434E-2</v>
      </c>
    </row>
    <row r="571" spans="1:7">
      <c r="A571" s="63">
        <v>166.9979639871251</v>
      </c>
      <c r="B571" s="63">
        <v>167.68234122268439</v>
      </c>
      <c r="C571" s="63">
        <v>162.86194504178857</v>
      </c>
      <c r="D571" s="63">
        <v>165.21263206827479</v>
      </c>
      <c r="E571" s="63">
        <v>2638525.1673725238</v>
      </c>
      <c r="F571" s="63" t="s">
        <v>625</v>
      </c>
      <c r="G571" s="25">
        <f t="shared" si="14"/>
        <v>1.0806267635228517E-2</v>
      </c>
    </row>
    <row r="572" spans="1:7">
      <c r="A572" s="63">
        <v>166.54171249675224</v>
      </c>
      <c r="B572" s="63">
        <v>169.56685824813749</v>
      </c>
      <c r="C572" s="63">
        <v>165.04401738705005</v>
      </c>
      <c r="D572" s="63">
        <v>168.92215505521932</v>
      </c>
      <c r="E572" s="63">
        <v>2623148.8669153643</v>
      </c>
      <c r="F572" s="63" t="s">
        <v>626</v>
      </c>
      <c r="G572" s="25">
        <f t="shared" ref="G572:G635" si="15">A572/D572-1</f>
        <v>-1.4091949973577655E-2</v>
      </c>
    </row>
    <row r="573" spans="1:7">
      <c r="A573" s="63">
        <v>169.18003633238658</v>
      </c>
      <c r="B573" s="63">
        <v>178.36457720380537</v>
      </c>
      <c r="C573" s="63">
        <v>167.08723058306762</v>
      </c>
      <c r="D573" s="63">
        <v>178.11661443729838</v>
      </c>
      <c r="E573" s="63">
        <v>3223231.9039620073</v>
      </c>
      <c r="F573" s="63" t="s">
        <v>627</v>
      </c>
      <c r="G573" s="25">
        <f t="shared" si="15"/>
        <v>-5.0172625013921501E-2</v>
      </c>
    </row>
    <row r="574" spans="1:7">
      <c r="A574" s="63">
        <v>178.11661443729838</v>
      </c>
      <c r="B574" s="63">
        <v>180.56648657038741</v>
      </c>
      <c r="C574" s="63">
        <v>174.77407634478419</v>
      </c>
      <c r="D574" s="63">
        <v>180.26893125057902</v>
      </c>
      <c r="E574" s="63">
        <v>1984700.1908092294</v>
      </c>
      <c r="F574" s="63" t="s">
        <v>628</v>
      </c>
      <c r="G574" s="25">
        <f t="shared" si="15"/>
        <v>-1.1939477303988921E-2</v>
      </c>
    </row>
    <row r="575" spans="1:7">
      <c r="A575" s="63">
        <v>178.16372736293459</v>
      </c>
      <c r="B575" s="63">
        <v>178.9853513973342</v>
      </c>
      <c r="C575" s="63">
        <v>173.24388224128896</v>
      </c>
      <c r="D575" s="63">
        <v>174.98612115760614</v>
      </c>
      <c r="E575" s="63">
        <v>2094694.663183392</v>
      </c>
      <c r="F575" s="63" t="s">
        <v>629</v>
      </c>
      <c r="G575" s="25">
        <f t="shared" si="15"/>
        <v>1.8159189907789752E-2</v>
      </c>
    </row>
    <row r="576" spans="1:7">
      <c r="A576" s="63">
        <v>174.98612115760614</v>
      </c>
      <c r="B576" s="63">
        <v>183.70721482394381</v>
      </c>
      <c r="C576" s="63">
        <v>173.64974471611282</v>
      </c>
      <c r="D576" s="63">
        <v>175.59986441221784</v>
      </c>
      <c r="E576" s="63">
        <v>4367853.2999860002</v>
      </c>
      <c r="F576" s="63" t="s">
        <v>630</v>
      </c>
      <c r="G576" s="25">
        <f t="shared" si="15"/>
        <v>-3.4951237386547929E-3</v>
      </c>
    </row>
    <row r="577" spans="1:7">
      <c r="A577" s="63">
        <v>174.21399254696559</v>
      </c>
      <c r="B577" s="63">
        <v>175.24844690352887</v>
      </c>
      <c r="C577" s="63">
        <v>167.90827556006761</v>
      </c>
      <c r="D577" s="63">
        <v>171.21456986716953</v>
      </c>
      <c r="E577" s="63">
        <v>3857118.2040894232</v>
      </c>
      <c r="F577" s="63" t="s">
        <v>631</v>
      </c>
      <c r="G577" s="25">
        <f t="shared" si="15"/>
        <v>1.7518501387604246E-2</v>
      </c>
    </row>
    <row r="578" spans="1:7">
      <c r="A578" s="63">
        <v>168.2745416958843</v>
      </c>
      <c r="B578" s="63">
        <v>168.59131240794196</v>
      </c>
      <c r="C578" s="63">
        <v>163.38439382849404</v>
      </c>
      <c r="D578" s="63">
        <v>165.35431169410265</v>
      </c>
      <c r="E578" s="63">
        <v>4604094.3322263053</v>
      </c>
      <c r="F578" s="63" t="s">
        <v>632</v>
      </c>
      <c r="G578" s="25">
        <f t="shared" si="15"/>
        <v>1.7660440613026962E-2</v>
      </c>
    </row>
    <row r="579" spans="1:7">
      <c r="A579" s="63">
        <v>166.75008264410675</v>
      </c>
      <c r="B579" s="63">
        <v>169.57706326752643</v>
      </c>
      <c r="C579" s="63">
        <v>161.7213475901913</v>
      </c>
      <c r="D579" s="63">
        <v>169.45253278134874</v>
      </c>
      <c r="E579" s="63">
        <v>4583401.5100982087</v>
      </c>
      <c r="F579" s="63" t="s">
        <v>633</v>
      </c>
      <c r="G579" s="25">
        <f t="shared" si="15"/>
        <v>-1.5948124780932327E-2</v>
      </c>
    </row>
    <row r="580" spans="1:7">
      <c r="A580" s="63">
        <v>169.10606481503567</v>
      </c>
      <c r="B580" s="63">
        <v>169.25455108631269</v>
      </c>
      <c r="C580" s="63">
        <v>154.92067636570323</v>
      </c>
      <c r="D580" s="63">
        <v>156.88069514656004</v>
      </c>
      <c r="E580" s="63">
        <v>8311359.2885465408</v>
      </c>
      <c r="F580" s="63" t="s">
        <v>634</v>
      </c>
      <c r="G580" s="25">
        <f t="shared" si="15"/>
        <v>7.7927814235234649E-2</v>
      </c>
    </row>
    <row r="581" spans="1:7">
      <c r="A581" s="63">
        <v>154.18814409406986</v>
      </c>
      <c r="B581" s="63">
        <v>155.08896080648384</v>
      </c>
      <c r="C581" s="63">
        <v>133.63764414932865</v>
      </c>
      <c r="D581" s="63">
        <v>133.63764414932865</v>
      </c>
      <c r="E581" s="63">
        <v>4938115.1112077218</v>
      </c>
      <c r="F581" s="63" t="s">
        <v>635</v>
      </c>
      <c r="G581" s="25">
        <f t="shared" si="15"/>
        <v>0.15377777777777779</v>
      </c>
    </row>
    <row r="582" spans="1:7">
      <c r="A582" s="63">
        <v>131.87560706350789</v>
      </c>
      <c r="B582" s="63">
        <v>133.83552685351719</v>
      </c>
      <c r="C582" s="63">
        <v>131.58853360570563</v>
      </c>
      <c r="D582" s="63">
        <v>133.32087343727099</v>
      </c>
      <c r="E582" s="63">
        <v>1509938.5826835057</v>
      </c>
      <c r="F582" s="63" t="s">
        <v>636</v>
      </c>
      <c r="G582" s="25">
        <f t="shared" si="15"/>
        <v>-1.0840510840510742E-2</v>
      </c>
    </row>
    <row r="583" spans="1:7">
      <c r="A583" s="63">
        <v>132.63783658939664</v>
      </c>
      <c r="B583" s="63">
        <v>132.79622194542549</v>
      </c>
      <c r="C583" s="63">
        <v>130.02447821492089</v>
      </c>
      <c r="D583" s="63">
        <v>132.14288235180655</v>
      </c>
      <c r="E583" s="63">
        <v>2073232.0729210628</v>
      </c>
      <c r="F583" s="63" t="s">
        <v>637</v>
      </c>
      <c r="G583" s="25">
        <f t="shared" si="15"/>
        <v>3.7455989212673568E-3</v>
      </c>
    </row>
    <row r="584" spans="1:7">
      <c r="A584" s="63">
        <v>132.0438915042885</v>
      </c>
      <c r="B584" s="63">
        <v>132.70713018265926</v>
      </c>
      <c r="C584" s="63">
        <v>130.32145075747496</v>
      </c>
      <c r="D584" s="63">
        <v>131.0638821138601</v>
      </c>
      <c r="E584" s="63">
        <v>1545496.4154352578</v>
      </c>
      <c r="F584" s="63" t="s">
        <v>638</v>
      </c>
      <c r="G584" s="25">
        <f t="shared" si="15"/>
        <v>7.4773413897279983E-3</v>
      </c>
    </row>
    <row r="585" spans="1:7">
      <c r="A585" s="63">
        <v>130.07397363867989</v>
      </c>
      <c r="B585" s="63">
        <v>131.24325352956276</v>
      </c>
      <c r="C585" s="63">
        <v>128.8266889599528</v>
      </c>
      <c r="D585" s="63">
        <v>130.95499218159028</v>
      </c>
      <c r="E585" s="63">
        <v>993440.32772420684</v>
      </c>
      <c r="F585" s="63" t="s">
        <v>639</v>
      </c>
      <c r="G585" s="25">
        <f t="shared" si="15"/>
        <v>-6.7276438128355265E-3</v>
      </c>
    </row>
    <row r="586" spans="1:7">
      <c r="A586" s="63">
        <v>130.46993702875199</v>
      </c>
      <c r="B586" s="63">
        <v>130.72731323229883</v>
      </c>
      <c r="C586" s="63">
        <v>128.08425760356766</v>
      </c>
      <c r="D586" s="63">
        <v>129.67801024860782</v>
      </c>
      <c r="E586" s="63">
        <v>2142859.722070599</v>
      </c>
      <c r="F586" s="63" t="s">
        <v>640</v>
      </c>
      <c r="G586" s="25">
        <f t="shared" si="15"/>
        <v>6.1068702290076882E-3</v>
      </c>
    </row>
    <row r="587" spans="1:7">
      <c r="A587" s="63">
        <v>129.83639560463664</v>
      </c>
      <c r="B587" s="63">
        <v>131.32125831740697</v>
      </c>
      <c r="C587" s="63">
        <v>129.1731569262659</v>
      </c>
      <c r="D587" s="63">
        <v>129.93538645215466</v>
      </c>
      <c r="E587" s="63">
        <v>1308948.2840967812</v>
      </c>
      <c r="F587" s="63" t="s">
        <v>641</v>
      </c>
      <c r="G587" s="25">
        <f t="shared" si="15"/>
        <v>-7.618467164406395E-4</v>
      </c>
    </row>
    <row r="588" spans="1:7">
      <c r="A588" s="63">
        <v>130.17296448619791</v>
      </c>
      <c r="B588" s="63">
        <v>130.29175350321955</v>
      </c>
      <c r="C588" s="63">
        <v>127.52990885746676</v>
      </c>
      <c r="D588" s="63">
        <v>128.60890909541317</v>
      </c>
      <c r="E588" s="63">
        <v>1362691.6364711658</v>
      </c>
      <c r="F588" s="63" t="s">
        <v>642</v>
      </c>
      <c r="G588" s="25">
        <f t="shared" si="15"/>
        <v>1.2161330049261121E-2</v>
      </c>
    </row>
    <row r="589" spans="1:7">
      <c r="A589" s="63">
        <v>127.37152350143791</v>
      </c>
      <c r="B589" s="63">
        <v>128.12880348495079</v>
      </c>
      <c r="C589" s="63">
        <v>126.40141319576131</v>
      </c>
      <c r="D589" s="63">
        <v>127.00525736562125</v>
      </c>
      <c r="E589" s="63">
        <v>1386340.287419162</v>
      </c>
      <c r="F589" s="63" t="s">
        <v>643</v>
      </c>
      <c r="G589" s="25">
        <f t="shared" si="15"/>
        <v>2.883865939204755E-3</v>
      </c>
    </row>
    <row r="590" spans="1:7">
      <c r="A590" s="63">
        <v>126.61919306030096</v>
      </c>
      <c r="B590" s="63">
        <v>127.51011068796315</v>
      </c>
      <c r="C590" s="63">
        <v>125.45110105958831</v>
      </c>
      <c r="D590" s="63">
        <v>126.61919306030096</v>
      </c>
      <c r="E590" s="63">
        <v>1519046.49541085</v>
      </c>
      <c r="F590" s="63" t="s">
        <v>644</v>
      </c>
      <c r="G590" s="25">
        <f t="shared" si="15"/>
        <v>0</v>
      </c>
    </row>
    <row r="591" spans="1:7">
      <c r="A591" s="63">
        <v>127.21313814540908</v>
      </c>
      <c r="B591" s="63">
        <v>130.85600133407226</v>
      </c>
      <c r="C591" s="63">
        <v>126.66868848405996</v>
      </c>
      <c r="D591" s="63">
        <v>130.48973519825557</v>
      </c>
      <c r="E591" s="63">
        <v>1219196.5522674061</v>
      </c>
      <c r="F591" s="63" t="s">
        <v>645</v>
      </c>
      <c r="G591" s="25">
        <f t="shared" si="15"/>
        <v>-2.5109998482779505E-2</v>
      </c>
    </row>
    <row r="592" spans="1:7">
      <c r="A592" s="63">
        <v>130.83620316456864</v>
      </c>
      <c r="B592" s="63">
        <v>131.17277204612992</v>
      </c>
      <c r="C592" s="63">
        <v>128.6881017734276</v>
      </c>
      <c r="D592" s="63">
        <v>128.70789994293122</v>
      </c>
      <c r="E592" s="63">
        <v>1258094.0877117715</v>
      </c>
      <c r="F592" s="63" t="s">
        <v>646</v>
      </c>
      <c r="G592" s="25">
        <f t="shared" si="15"/>
        <v>1.6535917551145696E-2</v>
      </c>
    </row>
    <row r="593" spans="1:7">
      <c r="A593" s="63">
        <v>129.40083587555736</v>
      </c>
      <c r="B593" s="63">
        <v>132.61803841989305</v>
      </c>
      <c r="C593" s="63">
        <v>128.85638621420821</v>
      </c>
      <c r="D593" s="63">
        <v>131.21236838513715</v>
      </c>
      <c r="E593" s="63">
        <v>1241248.085866031</v>
      </c>
      <c r="F593" s="63" t="s">
        <v>647</v>
      </c>
      <c r="G593" s="25">
        <f t="shared" si="15"/>
        <v>-1.3806110901546598E-2</v>
      </c>
    </row>
    <row r="594" spans="1:7">
      <c r="A594" s="63">
        <v>131.16287296137813</v>
      </c>
      <c r="B594" s="63">
        <v>132.44975397911242</v>
      </c>
      <c r="C594" s="63">
        <v>129.48992763832356</v>
      </c>
      <c r="D594" s="63">
        <v>130.62832238478083</v>
      </c>
      <c r="E594" s="63">
        <v>2108857.5886977408</v>
      </c>
      <c r="F594" s="63" t="s">
        <v>648</v>
      </c>
      <c r="G594" s="25">
        <f t="shared" si="15"/>
        <v>4.0921491361016749E-3</v>
      </c>
    </row>
    <row r="595" spans="1:7">
      <c r="A595" s="63">
        <v>129.68790933335961</v>
      </c>
      <c r="B595" s="63">
        <v>130.16801494382202</v>
      </c>
      <c r="C595" s="63">
        <v>125.9064589581712</v>
      </c>
      <c r="D595" s="63">
        <v>126.47070678902392</v>
      </c>
      <c r="E595" s="63">
        <v>2683999.6490749414</v>
      </c>
      <c r="F595" s="63" t="s">
        <v>649</v>
      </c>
      <c r="G595" s="25">
        <f t="shared" si="15"/>
        <v>2.5438321853475276E-2</v>
      </c>
    </row>
    <row r="596" spans="1:7">
      <c r="A596" s="63">
        <v>125.74807360214237</v>
      </c>
      <c r="B596" s="63">
        <v>127.12404638264285</v>
      </c>
      <c r="C596" s="63">
        <v>124.57998160142971</v>
      </c>
      <c r="D596" s="63">
        <v>126.60929397554916</v>
      </c>
      <c r="E596" s="63">
        <v>1897202.6678103758</v>
      </c>
      <c r="F596" s="63" t="s">
        <v>650</v>
      </c>
      <c r="G596" s="25">
        <f t="shared" si="15"/>
        <v>-6.8021892103206083E-3</v>
      </c>
    </row>
    <row r="597" spans="1:7">
      <c r="A597" s="63">
        <v>128.40102831562535</v>
      </c>
      <c r="B597" s="63">
        <v>131.72712079223083</v>
      </c>
      <c r="C597" s="63">
        <v>125.15412851703425</v>
      </c>
      <c r="D597" s="63">
        <v>125.72827543263877</v>
      </c>
      <c r="E597" s="63">
        <v>3820225.9045327888</v>
      </c>
      <c r="F597" s="63" t="s">
        <v>651</v>
      </c>
      <c r="G597" s="25">
        <f t="shared" si="15"/>
        <v>2.125816864813812E-2</v>
      </c>
    </row>
    <row r="598" spans="1:7">
      <c r="A598" s="63">
        <v>126.34201868725049</v>
      </c>
      <c r="B598" s="63">
        <v>126.41131228051312</v>
      </c>
      <c r="C598" s="63">
        <v>120.7688339719859</v>
      </c>
      <c r="D598" s="63">
        <v>120.7688339719859</v>
      </c>
      <c r="E598" s="63">
        <v>1957275.8983069367</v>
      </c>
      <c r="F598" s="63" t="s">
        <v>652</v>
      </c>
      <c r="G598" s="25">
        <f t="shared" si="15"/>
        <v>4.6147540983606516E-2</v>
      </c>
    </row>
    <row r="599" spans="1:7">
      <c r="A599" s="63">
        <v>120.7688339719859</v>
      </c>
      <c r="B599" s="63">
        <v>122.92683444787878</v>
      </c>
      <c r="C599" s="63">
        <v>120.14024209024646</v>
      </c>
      <c r="D599" s="63">
        <v>121.54096258262646</v>
      </c>
      <c r="E599" s="63">
        <v>1683054.5871391725</v>
      </c>
      <c r="F599" s="63" t="s">
        <v>653</v>
      </c>
      <c r="G599" s="25">
        <f t="shared" si="15"/>
        <v>-6.3528261931911079E-3</v>
      </c>
    </row>
    <row r="600" spans="1:7">
      <c r="A600" s="63">
        <v>120.65004495496427</v>
      </c>
      <c r="B600" s="63">
        <v>121.07570559929177</v>
      </c>
      <c r="C600" s="63">
        <v>119.48195295425162</v>
      </c>
      <c r="D600" s="63">
        <v>120.10559529361515</v>
      </c>
      <c r="E600" s="63">
        <v>1298570.5570062743</v>
      </c>
      <c r="F600" s="63" t="s">
        <v>654</v>
      </c>
      <c r="G600" s="25">
        <f t="shared" si="15"/>
        <v>4.5330915684496098E-3</v>
      </c>
    </row>
    <row r="601" spans="1:7">
      <c r="A601" s="63">
        <v>119.78882458155749</v>
      </c>
      <c r="B601" s="63">
        <v>120.51343758538941</v>
      </c>
      <c r="C601" s="63">
        <v>118.79396656400137</v>
      </c>
      <c r="D601" s="63">
        <v>119.86801725957191</v>
      </c>
      <c r="E601" s="63">
        <v>1819833.8989592381</v>
      </c>
      <c r="F601" s="63" t="s">
        <v>655</v>
      </c>
      <c r="G601" s="25">
        <f t="shared" si="15"/>
        <v>-6.6066562061284362E-4</v>
      </c>
    </row>
    <row r="602" spans="1:7">
      <c r="A602" s="63">
        <v>120.04620078510435</v>
      </c>
      <c r="B602" s="63">
        <v>121.17469644680979</v>
      </c>
      <c r="C602" s="63">
        <v>118.85831061488808</v>
      </c>
      <c r="D602" s="63">
        <v>118.85831061488808</v>
      </c>
      <c r="E602" s="63">
        <v>1574698.1050103849</v>
      </c>
      <c r="F602" s="63" t="s">
        <v>656</v>
      </c>
      <c r="G602" s="25">
        <f t="shared" si="15"/>
        <v>9.9941700674606171E-3</v>
      </c>
    </row>
    <row r="603" spans="1:7">
      <c r="A603" s="63">
        <v>119.33346668297459</v>
      </c>
      <c r="B603" s="63">
        <v>119.37306302198181</v>
      </c>
      <c r="C603" s="63">
        <v>115.85888793509206</v>
      </c>
      <c r="D603" s="63">
        <v>116.71020922374703</v>
      </c>
      <c r="E603" s="63">
        <v>1440299.821395549</v>
      </c>
      <c r="F603" s="63" t="s">
        <v>657</v>
      </c>
      <c r="G603" s="25">
        <f t="shared" si="15"/>
        <v>2.247667514843088E-2</v>
      </c>
    </row>
    <row r="604" spans="1:7">
      <c r="A604" s="63">
        <v>114.50271332409515</v>
      </c>
      <c r="B604" s="63">
        <v>118.31386095353896</v>
      </c>
      <c r="C604" s="63">
        <v>114.17604352728569</v>
      </c>
      <c r="D604" s="63">
        <v>117.9376957329705</v>
      </c>
      <c r="E604" s="63">
        <v>1530176.8173307572</v>
      </c>
      <c r="F604" s="63" t="s">
        <v>658</v>
      </c>
      <c r="G604" s="25">
        <f t="shared" si="15"/>
        <v>-2.9125398690616144E-2</v>
      </c>
    </row>
    <row r="605" spans="1:7">
      <c r="A605" s="63">
        <v>117.4922369191394</v>
      </c>
      <c r="B605" s="63">
        <v>119.3433657677264</v>
      </c>
      <c r="C605" s="63">
        <v>115.97767695211367</v>
      </c>
      <c r="D605" s="63">
        <v>116.5419247829664</v>
      </c>
      <c r="E605" s="63">
        <v>1949032.7119876009</v>
      </c>
      <c r="F605" s="63" t="s">
        <v>659</v>
      </c>
      <c r="G605" s="25">
        <f t="shared" si="15"/>
        <v>8.1542512528667288E-3</v>
      </c>
    </row>
    <row r="606" spans="1:7">
      <c r="A606" s="63">
        <v>116.02717237587268</v>
      </c>
      <c r="B606" s="63">
        <v>116.19050727427742</v>
      </c>
      <c r="C606" s="63">
        <v>113.17623596735368</v>
      </c>
      <c r="D606" s="63">
        <v>113.3049240691271</v>
      </c>
      <c r="E606" s="63">
        <v>1895932.8534472135</v>
      </c>
      <c r="F606" s="63" t="s">
        <v>660</v>
      </c>
      <c r="G606" s="25">
        <f t="shared" si="15"/>
        <v>2.4025860562641999E-2</v>
      </c>
    </row>
    <row r="607" spans="1:7">
      <c r="A607" s="63">
        <v>113.2950249843753</v>
      </c>
      <c r="B607" s="63">
        <v>113.45341034040413</v>
      </c>
      <c r="C607" s="63">
        <v>110.32529955883466</v>
      </c>
      <c r="D607" s="63">
        <v>110.32529955883466</v>
      </c>
      <c r="E607" s="63">
        <v>1701473.4616686392</v>
      </c>
      <c r="F607" s="63" t="s">
        <v>661</v>
      </c>
      <c r="G607" s="25">
        <f t="shared" si="15"/>
        <v>2.6917900403768513E-2</v>
      </c>
    </row>
    <row r="608" spans="1:7">
      <c r="A608" s="63">
        <v>110.28570321982745</v>
      </c>
      <c r="B608" s="63">
        <v>110.77075837266577</v>
      </c>
      <c r="C608" s="63">
        <v>109.13740938861841</v>
      </c>
      <c r="D608" s="63">
        <v>110.24610688082025</v>
      </c>
      <c r="E608" s="63">
        <v>1631339.7051237617</v>
      </c>
      <c r="F608" s="63" t="s">
        <v>662</v>
      </c>
      <c r="G608" s="25">
        <f t="shared" si="15"/>
        <v>3.5916314986073061E-4</v>
      </c>
    </row>
    <row r="609" spans="1:7">
      <c r="A609" s="63">
        <v>110.79055654216936</v>
      </c>
      <c r="B609" s="63">
        <v>110.86974922018378</v>
      </c>
      <c r="C609" s="63">
        <v>108.33558352372243</v>
      </c>
      <c r="D609" s="63">
        <v>110.10751969429502</v>
      </c>
      <c r="E609" s="63">
        <v>1499600.2531746721</v>
      </c>
      <c r="F609" s="63" t="s">
        <v>663</v>
      </c>
      <c r="G609" s="25">
        <f t="shared" si="15"/>
        <v>6.2033624022295175E-3</v>
      </c>
    </row>
    <row r="610" spans="1:7">
      <c r="A610" s="63">
        <v>110.68166660989954</v>
      </c>
      <c r="B610" s="63">
        <v>111.69632279695925</v>
      </c>
      <c r="C610" s="63">
        <v>110.17681328755762</v>
      </c>
      <c r="D610" s="63">
        <v>111.23601535600046</v>
      </c>
      <c r="E610" s="63">
        <v>1431444.4572686744</v>
      </c>
      <c r="F610" s="63" t="s">
        <v>664</v>
      </c>
      <c r="G610" s="25">
        <f t="shared" si="15"/>
        <v>-4.983536531102728E-3</v>
      </c>
    </row>
    <row r="611" spans="1:7">
      <c r="A611" s="63">
        <v>111.77056593259776</v>
      </c>
      <c r="B611" s="63">
        <v>113.26532773011989</v>
      </c>
      <c r="C611" s="63">
        <v>111.60228149181712</v>
      </c>
      <c r="D611" s="63">
        <v>112.79017166203339</v>
      </c>
      <c r="E611" s="63">
        <v>1572777.7254524122</v>
      </c>
      <c r="F611" s="63" t="s">
        <v>665</v>
      </c>
      <c r="G611" s="25">
        <f t="shared" si="15"/>
        <v>-9.0398455327366234E-3</v>
      </c>
    </row>
    <row r="612" spans="1:7">
      <c r="A612" s="63">
        <v>111.77056593259776</v>
      </c>
      <c r="B612" s="63">
        <v>114.12654810352669</v>
      </c>
      <c r="C612" s="63">
        <v>110.35499681309007</v>
      </c>
      <c r="D612" s="63">
        <v>113.83947464572441</v>
      </c>
      <c r="E612" s="63">
        <v>1625796.7684406494</v>
      </c>
      <c r="F612" s="63" t="s">
        <v>666</v>
      </c>
      <c r="G612" s="25">
        <f t="shared" si="15"/>
        <v>-1.8173913043478263E-2</v>
      </c>
    </row>
    <row r="613" spans="1:7">
      <c r="A613" s="63">
        <v>114.68089684962759</v>
      </c>
      <c r="B613" s="63">
        <v>115.2549447743846</v>
      </c>
      <c r="C613" s="63">
        <v>113.80482784909312</v>
      </c>
      <c r="D613" s="63">
        <v>114.84918129040823</v>
      </c>
      <c r="E613" s="63">
        <v>1101640.2297207031</v>
      </c>
      <c r="F613" s="63" t="s">
        <v>667</v>
      </c>
      <c r="G613" s="25">
        <f t="shared" si="15"/>
        <v>-1.4652646095500987E-3</v>
      </c>
    </row>
    <row r="614" spans="1:7">
      <c r="A614" s="63">
        <v>115.31443827374292</v>
      </c>
      <c r="B614" s="63">
        <v>115.74999800282222</v>
      </c>
      <c r="C614" s="63">
        <v>114.00775908650505</v>
      </c>
      <c r="D614" s="63">
        <v>115.26494284998392</v>
      </c>
      <c r="E614" s="63">
        <v>1529482.8137766661</v>
      </c>
      <c r="F614" s="63" t="s">
        <v>668</v>
      </c>
      <c r="G614" s="25">
        <f t="shared" si="15"/>
        <v>4.2940570250760146E-4</v>
      </c>
    </row>
    <row r="615" spans="1:7">
      <c r="A615" s="63">
        <v>115.84898885034025</v>
      </c>
      <c r="B615" s="63">
        <v>115.97767695211367</v>
      </c>
      <c r="C615" s="63">
        <v>113.86917189997982</v>
      </c>
      <c r="D615" s="63">
        <v>115.01746573118886</v>
      </c>
      <c r="E615" s="63">
        <v>1365515.1298244188</v>
      </c>
      <c r="F615" s="63" t="s">
        <v>669</v>
      </c>
      <c r="G615" s="25">
        <f t="shared" si="15"/>
        <v>7.2295378259747967E-3</v>
      </c>
    </row>
    <row r="616" spans="1:7">
      <c r="A616" s="63">
        <v>115.06696115494788</v>
      </c>
      <c r="B616" s="63">
        <v>116.47500697004422</v>
      </c>
      <c r="C616" s="63">
        <v>113.94836457799424</v>
      </c>
      <c r="D616" s="63">
        <v>113.94836457799424</v>
      </c>
      <c r="E616" s="63">
        <v>1747503.9797846749</v>
      </c>
      <c r="F616" s="63" t="s">
        <v>670</v>
      </c>
      <c r="G616" s="25">
        <f t="shared" si="15"/>
        <v>9.8166970723654323E-3</v>
      </c>
    </row>
    <row r="617" spans="1:7">
      <c r="A617" s="63">
        <v>114.19584169678929</v>
      </c>
      <c r="B617" s="63">
        <v>115.92719161987948</v>
      </c>
      <c r="C617" s="63">
        <v>113.83947464572441</v>
      </c>
      <c r="D617" s="63">
        <v>115.03726390069247</v>
      </c>
      <c r="E617" s="63">
        <v>1362612.8413078194</v>
      </c>
      <c r="F617" s="63" t="s">
        <v>671</v>
      </c>
      <c r="G617" s="25">
        <f t="shared" si="15"/>
        <v>-7.3143447207640877E-3</v>
      </c>
    </row>
    <row r="618" spans="1:7">
      <c r="A618" s="63">
        <v>114.68089684962759</v>
      </c>
      <c r="B618" s="63">
        <v>115.98381438465979</v>
      </c>
      <c r="C618" s="63">
        <v>114.33442888331452</v>
      </c>
      <c r="D618" s="63">
        <v>114.33442888331452</v>
      </c>
      <c r="E618" s="63">
        <v>1386355.4403351904</v>
      </c>
      <c r="F618" s="63" t="s">
        <v>672</v>
      </c>
      <c r="G618" s="25">
        <f t="shared" si="15"/>
        <v>3.0303030303029388E-3</v>
      </c>
    </row>
    <row r="619" spans="1:7">
      <c r="A619" s="63">
        <v>114.08695176451947</v>
      </c>
      <c r="B619" s="63">
        <v>116.0469705453763</v>
      </c>
      <c r="C619" s="63">
        <v>113.80977739146901</v>
      </c>
      <c r="D619" s="63">
        <v>115.22534651097672</v>
      </c>
      <c r="E619" s="63">
        <v>1376707.0736028403</v>
      </c>
      <c r="F619" s="63" t="s">
        <v>673</v>
      </c>
      <c r="G619" s="25">
        <f t="shared" si="15"/>
        <v>-9.8797250859107288E-3</v>
      </c>
    </row>
    <row r="620" spans="1:7">
      <c r="A620" s="63">
        <v>115.71040166381502</v>
      </c>
      <c r="B620" s="63">
        <v>116.08656688438349</v>
      </c>
      <c r="C620" s="63">
        <v>114.76008952764202</v>
      </c>
      <c r="D620" s="63">
        <v>115.55201630778619</v>
      </c>
      <c r="E620" s="63">
        <v>858533.91632522549</v>
      </c>
      <c r="F620" s="63" t="s">
        <v>674</v>
      </c>
      <c r="G620" s="25">
        <f t="shared" si="15"/>
        <v>1.370684485564988E-3</v>
      </c>
    </row>
    <row r="621" spans="1:7">
      <c r="A621" s="63">
        <v>115.92818152835466</v>
      </c>
      <c r="B621" s="63">
        <v>117.58132868190562</v>
      </c>
      <c r="C621" s="63">
        <v>115.76979617232583</v>
      </c>
      <c r="D621" s="63">
        <v>117.51203508864299</v>
      </c>
      <c r="E621" s="63">
        <v>565399.74556547566</v>
      </c>
      <c r="F621" s="63" t="s">
        <v>675</v>
      </c>
      <c r="G621" s="25">
        <f t="shared" si="15"/>
        <v>-1.3478224243955839E-2</v>
      </c>
    </row>
    <row r="622" spans="1:7">
      <c r="A622" s="63">
        <v>116.23505315566052</v>
      </c>
      <c r="B622" s="63">
        <v>116.5716220372218</v>
      </c>
      <c r="C622" s="63">
        <v>115.70050257906321</v>
      </c>
      <c r="D622" s="63">
        <v>116.09646596913529</v>
      </c>
      <c r="E622" s="63">
        <v>546875.8108182135</v>
      </c>
      <c r="F622" s="63" t="s">
        <v>676</v>
      </c>
      <c r="G622" s="25">
        <f t="shared" si="15"/>
        <v>1.1937244201909447E-3</v>
      </c>
    </row>
    <row r="623" spans="1:7">
      <c r="A623" s="63">
        <v>116.38353942693756</v>
      </c>
      <c r="B623" s="63">
        <v>116.65081471523622</v>
      </c>
      <c r="C623" s="63">
        <v>114.42352064608075</v>
      </c>
      <c r="D623" s="63">
        <v>114.42352064608075</v>
      </c>
      <c r="E623" s="63">
        <v>748263.11580487655</v>
      </c>
      <c r="F623" s="63" t="s">
        <v>677</v>
      </c>
      <c r="G623" s="25">
        <f t="shared" si="15"/>
        <v>1.7129509473137849E-2</v>
      </c>
    </row>
    <row r="624" spans="1:7">
      <c r="A624" s="63">
        <v>114.16614444253388</v>
      </c>
      <c r="B624" s="63">
        <v>116.78940190176145</v>
      </c>
      <c r="C624" s="63">
        <v>112.86936434004781</v>
      </c>
      <c r="D624" s="63">
        <v>113.83947464572441</v>
      </c>
      <c r="E624" s="63">
        <v>1200577.6592463674</v>
      </c>
      <c r="F624" s="63" t="s">
        <v>678</v>
      </c>
      <c r="G624" s="25">
        <f t="shared" si="15"/>
        <v>2.8695652173913455E-3</v>
      </c>
    </row>
    <row r="625" spans="1:7">
      <c r="A625" s="63">
        <v>117.11607169857092</v>
      </c>
      <c r="B625" s="63">
        <v>117.23486071559255</v>
      </c>
      <c r="C625" s="63">
        <v>115.6312089858006</v>
      </c>
      <c r="D625" s="63">
        <v>116.30434674892314</v>
      </c>
      <c r="E625" s="63">
        <v>913808.72341285937</v>
      </c>
      <c r="F625" s="63" t="s">
        <v>679</v>
      </c>
      <c r="G625" s="25">
        <f t="shared" si="15"/>
        <v>6.9793173887140458E-3</v>
      </c>
    </row>
    <row r="626" spans="1:7">
      <c r="A626" s="63">
        <v>115.82919068083665</v>
      </c>
      <c r="B626" s="63">
        <v>118.91275558102301</v>
      </c>
      <c r="C626" s="63">
        <v>115.81929159608484</v>
      </c>
      <c r="D626" s="63">
        <v>118.62073258084484</v>
      </c>
      <c r="E626" s="63">
        <v>1337892.374099429</v>
      </c>
      <c r="F626" s="63" t="s">
        <v>680</v>
      </c>
      <c r="G626" s="25">
        <f t="shared" si="15"/>
        <v>-2.353333889677045E-2</v>
      </c>
    </row>
    <row r="627" spans="1:7">
      <c r="A627" s="63">
        <v>119.59084288652144</v>
      </c>
      <c r="B627" s="63">
        <v>119.8284209205647</v>
      </c>
      <c r="C627" s="63">
        <v>118.05153520761621</v>
      </c>
      <c r="D627" s="63">
        <v>118.56133807233402</v>
      </c>
      <c r="E627" s="63">
        <v>1023074.3805033384</v>
      </c>
      <c r="F627" s="63" t="s">
        <v>681</v>
      </c>
      <c r="G627" s="25">
        <f t="shared" si="15"/>
        <v>8.6833096768805795E-3</v>
      </c>
    </row>
    <row r="628" spans="1:7">
      <c r="A628" s="63">
        <v>118.15547559751013</v>
      </c>
      <c r="B628" s="63">
        <v>120.31347607340301</v>
      </c>
      <c r="C628" s="63">
        <v>117.71001678367904</v>
      </c>
      <c r="D628" s="63">
        <v>118.36335637729798</v>
      </c>
      <c r="E628" s="63">
        <v>2040389.6427215624</v>
      </c>
      <c r="F628" s="63" t="s">
        <v>682</v>
      </c>
      <c r="G628" s="25">
        <f t="shared" si="15"/>
        <v>-1.756293384628238E-3</v>
      </c>
    </row>
    <row r="629" spans="1:7">
      <c r="A629" s="63">
        <v>117.55163142765021</v>
      </c>
      <c r="B629" s="63">
        <v>119.65023739503226</v>
      </c>
      <c r="C629" s="63">
        <v>114.44331881558435</v>
      </c>
      <c r="D629" s="63">
        <v>114.50271332409515</v>
      </c>
      <c r="E629" s="63">
        <v>6108413.2034521559</v>
      </c>
      <c r="F629" s="63" t="s">
        <v>683</v>
      </c>
      <c r="G629" s="25">
        <f t="shared" si="15"/>
        <v>2.6627474712544341E-2</v>
      </c>
    </row>
    <row r="630" spans="1:7">
      <c r="A630" s="63">
        <v>114.43341973083254</v>
      </c>
      <c r="B630" s="63">
        <v>116.62111746098081</v>
      </c>
      <c r="C630" s="63">
        <v>114.2057407815411</v>
      </c>
      <c r="D630" s="63">
        <v>115.46292454501996</v>
      </c>
      <c r="E630" s="63">
        <v>2481487.9977189866</v>
      </c>
      <c r="F630" s="63" t="s">
        <v>684</v>
      </c>
      <c r="G630" s="25">
        <f t="shared" si="15"/>
        <v>-8.9163237311384869E-3</v>
      </c>
    </row>
    <row r="631" spans="1:7">
      <c r="A631" s="63">
        <v>115.25504376523213</v>
      </c>
      <c r="B631" s="63">
        <v>115.57181447728979</v>
      </c>
      <c r="C631" s="63">
        <v>112.38430918720951</v>
      </c>
      <c r="D631" s="63">
        <v>113.43361217090053</v>
      </c>
      <c r="E631" s="63">
        <v>1748721.2640389395</v>
      </c>
      <c r="F631" s="63" t="s">
        <v>685</v>
      </c>
      <c r="G631" s="25">
        <f t="shared" si="15"/>
        <v>1.605724757832272E-2</v>
      </c>
    </row>
    <row r="632" spans="1:7">
      <c r="A632" s="63">
        <v>113.33462132338251</v>
      </c>
      <c r="B632" s="63">
        <v>115.22534651097672</v>
      </c>
      <c r="C632" s="63">
        <v>112.70107989926717</v>
      </c>
      <c r="D632" s="63">
        <v>114.98776847693345</v>
      </c>
      <c r="E632" s="63">
        <v>1864970.3950296105</v>
      </c>
      <c r="F632" s="63" t="s">
        <v>686</v>
      </c>
      <c r="G632" s="25">
        <f t="shared" si="15"/>
        <v>-1.4376721763085354E-2</v>
      </c>
    </row>
    <row r="633" spans="1:7">
      <c r="A633" s="63">
        <v>114.97786939218166</v>
      </c>
      <c r="B633" s="63">
        <v>115.12635566345868</v>
      </c>
      <c r="C633" s="63">
        <v>109.55317094819409</v>
      </c>
      <c r="D633" s="63">
        <v>110.42429040635268</v>
      </c>
      <c r="E633" s="63">
        <v>2609247.2837246712</v>
      </c>
      <c r="F633" s="63" t="s">
        <v>687</v>
      </c>
      <c r="G633" s="25">
        <f t="shared" si="15"/>
        <v>4.1237113402061931E-2</v>
      </c>
    </row>
    <row r="634" spans="1:7">
      <c r="A634" s="63">
        <v>110.08772152479141</v>
      </c>
      <c r="B634" s="63">
        <v>110.48388289655854</v>
      </c>
      <c r="C634" s="63">
        <v>108.54346430351029</v>
      </c>
      <c r="D634" s="63">
        <v>108.88003318507154</v>
      </c>
      <c r="E634" s="63">
        <v>2654064.5583640495</v>
      </c>
      <c r="F634" s="63" t="s">
        <v>688</v>
      </c>
      <c r="G634" s="25">
        <f t="shared" si="15"/>
        <v>1.1091917447040744E-2</v>
      </c>
    </row>
    <row r="635" spans="1:7">
      <c r="A635" s="63">
        <v>109.41458376166887</v>
      </c>
      <c r="B635" s="63">
        <v>112.29521742444328</v>
      </c>
      <c r="C635" s="63">
        <v>108.34548260847424</v>
      </c>
      <c r="D635" s="63">
        <v>112.11703389891085</v>
      </c>
      <c r="E635" s="63">
        <v>3532689.2209538524</v>
      </c>
      <c r="F635" s="63" t="s">
        <v>689</v>
      </c>
      <c r="G635" s="25">
        <f t="shared" si="15"/>
        <v>-2.4103831891223781E-2</v>
      </c>
    </row>
    <row r="636" spans="1:7">
      <c r="A636" s="63">
        <v>111.49339155954731</v>
      </c>
      <c r="B636" s="63">
        <v>118.46234722481601</v>
      </c>
      <c r="C636" s="63">
        <v>111.08752908472343</v>
      </c>
      <c r="D636" s="63">
        <v>118.13567742800655</v>
      </c>
      <c r="E636" s="63">
        <v>2656589.0341743464</v>
      </c>
      <c r="F636" s="63" t="s">
        <v>690</v>
      </c>
      <c r="G636" s="25">
        <f t="shared" ref="G636:G699" si="16">A636/D636-1</f>
        <v>-5.6225909167085808E-2</v>
      </c>
    </row>
    <row r="637" spans="1:7">
      <c r="A637" s="63">
        <v>117.11607169857092</v>
      </c>
      <c r="B637" s="63">
        <v>117.73971403793445</v>
      </c>
      <c r="C637" s="63">
        <v>114.71554364625891</v>
      </c>
      <c r="D637" s="63">
        <v>117.50708554626711</v>
      </c>
      <c r="E637" s="63">
        <v>1824374.722795686</v>
      </c>
      <c r="F637" s="63" t="s">
        <v>691</v>
      </c>
      <c r="G637" s="25">
        <f t="shared" si="16"/>
        <v>-3.3275767659324273E-3</v>
      </c>
    </row>
    <row r="638" spans="1:7">
      <c r="A638" s="63">
        <v>117.71991586843085</v>
      </c>
      <c r="B638" s="63">
        <v>118.34355820779437</v>
      </c>
      <c r="C638" s="63">
        <v>116.85869549502407</v>
      </c>
      <c r="D638" s="63">
        <v>117.79910854644527</v>
      </c>
      <c r="E638" s="63">
        <v>1966797.9907390517</v>
      </c>
      <c r="F638" s="63" t="s">
        <v>692</v>
      </c>
      <c r="G638" s="25">
        <f t="shared" si="16"/>
        <v>-6.7226890756311164E-4</v>
      </c>
    </row>
    <row r="639" spans="1:7">
      <c r="A639" s="63">
        <v>118.67022800460384</v>
      </c>
      <c r="B639" s="63">
        <v>119.71953098829488</v>
      </c>
      <c r="C639" s="63">
        <v>118.44254905531241</v>
      </c>
      <c r="D639" s="63">
        <v>119.40276027623722</v>
      </c>
      <c r="E639" s="63">
        <v>1469859.1197889415</v>
      </c>
      <c r="F639" s="63" t="s">
        <v>693</v>
      </c>
      <c r="G639" s="25">
        <f t="shared" si="16"/>
        <v>-6.1349693251535609E-3</v>
      </c>
    </row>
    <row r="640" spans="1:7">
      <c r="A640" s="63">
        <v>119.8185218358129</v>
      </c>
      <c r="B640" s="63">
        <v>120.63024678546067</v>
      </c>
      <c r="C640" s="63">
        <v>119.29881988634328</v>
      </c>
      <c r="D640" s="63">
        <v>119.37306302198181</v>
      </c>
      <c r="E640" s="63">
        <v>2676983.8489538888</v>
      </c>
      <c r="F640" s="63" t="s">
        <v>694</v>
      </c>
      <c r="G640" s="25">
        <f t="shared" si="16"/>
        <v>3.7316527075212935E-3</v>
      </c>
    </row>
    <row r="641" spans="1:7">
      <c r="A641" s="63">
        <v>119.36316393723</v>
      </c>
      <c r="B641" s="63">
        <v>122.68925641383551</v>
      </c>
      <c r="C641" s="63">
        <v>118.55143898758223</v>
      </c>
      <c r="D641" s="63">
        <v>122.30319210851523</v>
      </c>
      <c r="E641" s="63">
        <v>2099978.9900996229</v>
      </c>
      <c r="F641" s="63" t="s">
        <v>695</v>
      </c>
      <c r="G641" s="25">
        <f t="shared" si="16"/>
        <v>-2.4038850667745915E-2</v>
      </c>
    </row>
    <row r="642" spans="1:7">
      <c r="A642" s="63">
        <v>123.19410973617742</v>
      </c>
      <c r="B642" s="63">
        <v>125.22342211029685</v>
      </c>
      <c r="C642" s="63">
        <v>122.51107288830308</v>
      </c>
      <c r="D642" s="63">
        <v>123.71876122802294</v>
      </c>
      <c r="E642" s="63">
        <v>2023508.2840717561</v>
      </c>
      <c r="F642" s="63" t="s">
        <v>696</v>
      </c>
      <c r="G642" s="25">
        <f t="shared" si="16"/>
        <v>-4.2406785085613574E-3</v>
      </c>
    </row>
    <row r="643" spans="1:7">
      <c r="A643" s="63">
        <v>123.83755024504455</v>
      </c>
      <c r="B643" s="63">
        <v>124.11472461809501</v>
      </c>
      <c r="C643" s="63">
        <v>122.1250085829828</v>
      </c>
      <c r="D643" s="63">
        <v>122.67935732908371</v>
      </c>
      <c r="E643" s="63">
        <v>1084120.428208909</v>
      </c>
      <c r="F643" s="63" t="s">
        <v>697</v>
      </c>
      <c r="G643" s="25">
        <f t="shared" si="16"/>
        <v>9.4408133623820056E-3</v>
      </c>
    </row>
    <row r="644" spans="1:7">
      <c r="A644" s="63">
        <v>122.6100637358211</v>
      </c>
      <c r="B644" s="63">
        <v>123.04562346490039</v>
      </c>
      <c r="C644" s="63">
        <v>121.80823787092513</v>
      </c>
      <c r="D644" s="63">
        <v>121.82803604042873</v>
      </c>
      <c r="E644" s="63">
        <v>537920.4374455529</v>
      </c>
      <c r="F644" s="63" t="s">
        <v>698</v>
      </c>
      <c r="G644" s="25">
        <f t="shared" si="16"/>
        <v>6.4191110749980407E-3</v>
      </c>
    </row>
    <row r="645" spans="1:7">
      <c r="A645" s="63">
        <v>122.00621956596116</v>
      </c>
      <c r="B645" s="63">
        <v>122.5902655663175</v>
      </c>
      <c r="C645" s="63">
        <v>120.74408626010639</v>
      </c>
      <c r="D645" s="63">
        <v>121.6597515996481</v>
      </c>
      <c r="E645" s="63">
        <v>1390758.8777329824</v>
      </c>
      <c r="F645" s="63" t="s">
        <v>699</v>
      </c>
      <c r="G645" s="25">
        <f t="shared" si="16"/>
        <v>2.847843775427128E-3</v>
      </c>
    </row>
    <row r="646" spans="1:7">
      <c r="A646" s="63">
        <v>121.27368729432781</v>
      </c>
      <c r="B646" s="63">
        <v>121.93692597269856</v>
      </c>
      <c r="C646" s="63">
        <v>120.62034770070886</v>
      </c>
      <c r="D646" s="63">
        <v>121.6597515996481</v>
      </c>
      <c r="E646" s="63">
        <v>994733.37655861245</v>
      </c>
      <c r="F646" s="63" t="s">
        <v>700</v>
      </c>
      <c r="G646" s="25">
        <f t="shared" si="16"/>
        <v>-3.1733116354760726E-3</v>
      </c>
    </row>
    <row r="647" spans="1:7">
      <c r="A647" s="63">
        <v>121.04600834503636</v>
      </c>
      <c r="B647" s="63">
        <v>121.61025617588908</v>
      </c>
      <c r="C647" s="63">
        <v>120.25408156489219</v>
      </c>
      <c r="D647" s="63">
        <v>121.21429278581699</v>
      </c>
      <c r="E647" s="63">
        <v>1052351.8346586064</v>
      </c>
      <c r="F647" s="63" t="s">
        <v>701</v>
      </c>
      <c r="G647" s="25">
        <f t="shared" si="16"/>
        <v>-1.3883217639852896E-3</v>
      </c>
    </row>
    <row r="648" spans="1:7">
      <c r="A648" s="63">
        <v>120.46196234468003</v>
      </c>
      <c r="B648" s="63">
        <v>122.27349485425982</v>
      </c>
      <c r="C648" s="63">
        <v>120.37287058191382</v>
      </c>
      <c r="D648" s="63">
        <v>120.96681566702195</v>
      </c>
      <c r="E648" s="63">
        <v>1503072.2913339315</v>
      </c>
      <c r="F648" s="63" t="s">
        <v>702</v>
      </c>
      <c r="G648" s="25">
        <f t="shared" si="16"/>
        <v>-4.173486088379752E-3</v>
      </c>
    </row>
    <row r="649" spans="1:7">
      <c r="A649" s="63">
        <v>120.44216417517643</v>
      </c>
      <c r="B649" s="63">
        <v>122.58036648156569</v>
      </c>
      <c r="C649" s="63">
        <v>120.2837788191476</v>
      </c>
      <c r="D649" s="63">
        <v>121.75874244716611</v>
      </c>
      <c r="E649" s="63">
        <v>1489585.18587444</v>
      </c>
      <c r="F649" s="63" t="s">
        <v>703</v>
      </c>
      <c r="G649" s="25">
        <f t="shared" si="16"/>
        <v>-1.0813008130081347E-2</v>
      </c>
    </row>
    <row r="650" spans="1:7">
      <c r="A650" s="63">
        <v>120.47978069723325</v>
      </c>
      <c r="B650" s="63">
        <v>125.66478642442789</v>
      </c>
      <c r="C650" s="63">
        <v>120.18388970373468</v>
      </c>
      <c r="D650" s="63">
        <v>125.01295713300914</v>
      </c>
      <c r="E650" s="63">
        <v>2007086.4522710165</v>
      </c>
      <c r="F650" s="63" t="s">
        <v>704</v>
      </c>
      <c r="G650" s="25">
        <f t="shared" si="16"/>
        <v>-3.6261652709748793E-2</v>
      </c>
    </row>
    <row r="651" spans="1:7">
      <c r="A651" s="63">
        <v>124.95369992469834</v>
      </c>
      <c r="B651" s="63">
        <v>125.14134775101586</v>
      </c>
      <c r="C651" s="63">
        <v>121.85257268976669</v>
      </c>
      <c r="D651" s="63">
        <v>122.51427818257058</v>
      </c>
      <c r="E651" s="63">
        <v>1451231.0392511794</v>
      </c>
      <c r="F651" s="63" t="s">
        <v>705</v>
      </c>
      <c r="G651" s="25">
        <f t="shared" si="16"/>
        <v>1.9911326078194236E-2</v>
      </c>
    </row>
    <row r="652" spans="1:7">
      <c r="A652" s="63">
        <v>120.21312325983467</v>
      </c>
      <c r="B652" s="63">
        <v>120.72273525130753</v>
      </c>
      <c r="C652" s="63">
        <v>119.41315094763893</v>
      </c>
      <c r="D652" s="63">
        <v>119.87733241274016</v>
      </c>
      <c r="E652" s="63">
        <v>902775.23232989875</v>
      </c>
      <c r="F652" s="63" t="s">
        <v>706</v>
      </c>
      <c r="G652" s="25">
        <f t="shared" si="16"/>
        <v>2.8011204481792618E-3</v>
      </c>
    </row>
    <row r="653" spans="1:7">
      <c r="A653" s="63">
        <v>120.26250426676033</v>
      </c>
      <c r="B653" s="63">
        <v>121.20568149904049</v>
      </c>
      <c r="C653" s="63">
        <v>119.87288812211686</v>
      </c>
      <c r="D653" s="63">
        <v>119.9464658224361</v>
      </c>
      <c r="E653" s="63">
        <v>1235021.3937882525</v>
      </c>
      <c r="F653" s="63" t="s">
        <v>707</v>
      </c>
      <c r="G653" s="25">
        <f t="shared" si="16"/>
        <v>2.6348291477973351E-3</v>
      </c>
    </row>
    <row r="654" spans="1:7">
      <c r="A654" s="63">
        <v>119.13661730885521</v>
      </c>
      <c r="B654" s="63">
        <v>122.81550232481713</v>
      </c>
      <c r="C654" s="63">
        <v>119.02797909361875</v>
      </c>
      <c r="D654" s="63">
        <v>120.08473264182796</v>
      </c>
      <c r="E654" s="63">
        <v>1623334.6582153211</v>
      </c>
      <c r="F654" s="63" t="s">
        <v>708</v>
      </c>
      <c r="G654" s="25">
        <f t="shared" si="16"/>
        <v>-7.8953861337281994E-3</v>
      </c>
    </row>
    <row r="655" spans="1:7">
      <c r="A655" s="63">
        <v>119.67980838503752</v>
      </c>
      <c r="B655" s="63">
        <v>119.97609442659149</v>
      </c>
      <c r="C655" s="63">
        <v>117.49222977823062</v>
      </c>
      <c r="D655" s="63">
        <v>118.92921707976743</v>
      </c>
      <c r="E655" s="63">
        <v>1751921.5460760472</v>
      </c>
      <c r="F655" s="63" t="s">
        <v>709</v>
      </c>
      <c r="G655" s="25">
        <f t="shared" si="16"/>
        <v>6.3112439794055231E-3</v>
      </c>
    </row>
    <row r="656" spans="1:7">
      <c r="A656" s="63">
        <v>118.38602600358513</v>
      </c>
      <c r="B656" s="63">
        <v>123.42723423861224</v>
      </c>
      <c r="C656" s="63">
        <v>117.19100563598408</v>
      </c>
      <c r="D656" s="63">
        <v>122.89945003659075</v>
      </c>
      <c r="E656" s="63">
        <v>2299970.3139098049</v>
      </c>
      <c r="F656" s="63" t="s">
        <v>710</v>
      </c>
      <c r="G656" s="25">
        <f t="shared" si="16"/>
        <v>-3.6724525875924119E-2</v>
      </c>
    </row>
    <row r="657" spans="1:7">
      <c r="A657" s="63">
        <v>123.18585987675961</v>
      </c>
      <c r="B657" s="63">
        <v>124.06908856663202</v>
      </c>
      <c r="C657" s="63">
        <v>116.59843355287612</v>
      </c>
      <c r="D657" s="63">
        <v>117.51692028169346</v>
      </c>
      <c r="E657" s="63">
        <v>2562563.177184551</v>
      </c>
      <c r="F657" s="63" t="s">
        <v>711</v>
      </c>
      <c r="G657" s="25">
        <f t="shared" si="16"/>
        <v>4.8239347844356795E-2</v>
      </c>
    </row>
    <row r="658" spans="1:7">
      <c r="A658" s="63">
        <v>115.62068961574798</v>
      </c>
      <c r="B658" s="63">
        <v>117.20088183736921</v>
      </c>
      <c r="C658" s="63">
        <v>115.40291937520583</v>
      </c>
      <c r="D658" s="63">
        <v>117.18112943459896</v>
      </c>
      <c r="E658" s="63">
        <v>1876491.7074188513</v>
      </c>
      <c r="F658" s="63" t="s">
        <v>712</v>
      </c>
      <c r="G658" s="25">
        <f t="shared" si="16"/>
        <v>-1.3316477033291418E-2</v>
      </c>
    </row>
    <row r="659" spans="1:7">
      <c r="A659" s="63">
        <v>115.73920403236957</v>
      </c>
      <c r="B659" s="63">
        <v>116.44041433071401</v>
      </c>
      <c r="C659" s="63">
        <v>112.96399144314729</v>
      </c>
      <c r="D659" s="63">
        <v>113.48743011655934</v>
      </c>
      <c r="E659" s="63">
        <v>1918420.7835739178</v>
      </c>
      <c r="F659" s="63" t="s">
        <v>713</v>
      </c>
      <c r="G659" s="25">
        <f t="shared" si="16"/>
        <v>1.984161517709504E-2</v>
      </c>
    </row>
    <row r="660" spans="1:7">
      <c r="A660" s="63">
        <v>113.42817290824853</v>
      </c>
      <c r="B660" s="63">
        <v>113.95161158166057</v>
      </c>
      <c r="C660" s="63">
        <v>111.43318022845175</v>
      </c>
      <c r="D660" s="63">
        <v>112.18377153372182</v>
      </c>
      <c r="E660" s="63">
        <v>2785789.6904995576</v>
      </c>
      <c r="F660" s="63" t="s">
        <v>714</v>
      </c>
      <c r="G660" s="25">
        <f t="shared" si="16"/>
        <v>1.1092525750506121E-2</v>
      </c>
    </row>
    <row r="661" spans="1:7">
      <c r="A661" s="63">
        <v>111.52206604091793</v>
      </c>
      <c r="B661" s="63">
        <v>112.10476192264076</v>
      </c>
      <c r="C661" s="63">
        <v>109.79373079851972</v>
      </c>
      <c r="D661" s="63">
        <v>111.71959006862059</v>
      </c>
      <c r="E661" s="63">
        <v>1966377.4808434763</v>
      </c>
      <c r="F661" s="63" t="s">
        <v>715</v>
      </c>
      <c r="G661" s="25">
        <f t="shared" si="16"/>
        <v>-1.7680339462518013E-3</v>
      </c>
    </row>
    <row r="662" spans="1:7">
      <c r="A662" s="63">
        <v>111.6307042561544</v>
      </c>
      <c r="B662" s="63">
        <v>111.82822828385706</v>
      </c>
      <c r="C662" s="63">
        <v>110.12458354492166</v>
      </c>
      <c r="D662" s="63">
        <v>110.47518869409387</v>
      </c>
      <c r="E662" s="63">
        <v>1287560.8246650996</v>
      </c>
      <c r="F662" s="63" t="s">
        <v>716</v>
      </c>
      <c r="G662" s="25">
        <f t="shared" si="16"/>
        <v>1.0459502950116217E-2</v>
      </c>
    </row>
    <row r="663" spans="1:7">
      <c r="A663" s="63">
        <v>109.40855894449955</v>
      </c>
      <c r="B663" s="63">
        <v>111.95661890186378</v>
      </c>
      <c r="C663" s="63">
        <v>108.53224359559674</v>
      </c>
      <c r="D663" s="63">
        <v>111.601075651999</v>
      </c>
      <c r="E663" s="63">
        <v>1143079.1616900959</v>
      </c>
      <c r="F663" s="63" t="s">
        <v>717</v>
      </c>
      <c r="G663" s="25">
        <f t="shared" si="16"/>
        <v>-1.9646017699115004E-2</v>
      </c>
    </row>
    <row r="664" spans="1:7">
      <c r="A664" s="63">
        <v>111.32454201321528</v>
      </c>
      <c r="B664" s="63">
        <v>111.6307042561544</v>
      </c>
      <c r="C664" s="63">
        <v>109.76410219436433</v>
      </c>
      <c r="D664" s="63">
        <v>110.61345551348573</v>
      </c>
      <c r="E664" s="63">
        <v>1673475.3935739035</v>
      </c>
      <c r="F664" s="63" t="s">
        <v>718</v>
      </c>
      <c r="G664" s="25">
        <f t="shared" si="16"/>
        <v>6.4285714285714501E-3</v>
      </c>
    </row>
    <row r="665" spans="1:7">
      <c r="A665" s="63">
        <v>110.64308411764114</v>
      </c>
      <c r="B665" s="63">
        <v>112.85535322791084</v>
      </c>
      <c r="C665" s="63">
        <v>110.28754086777636</v>
      </c>
      <c r="D665" s="63">
        <v>112.81584842237032</v>
      </c>
      <c r="E665" s="63">
        <v>1594760.9192852082</v>
      </c>
      <c r="F665" s="63" t="s">
        <v>719</v>
      </c>
      <c r="G665" s="25">
        <f t="shared" si="16"/>
        <v>-1.9259388952114209E-2</v>
      </c>
    </row>
    <row r="666" spans="1:7">
      <c r="A666" s="63">
        <v>112.85535322791084</v>
      </c>
      <c r="B666" s="63">
        <v>113.87260197057951</v>
      </c>
      <c r="C666" s="63">
        <v>111.85785688801245</v>
      </c>
      <c r="D666" s="63">
        <v>111.85785688801245</v>
      </c>
      <c r="E666" s="63">
        <v>1955250.7332494645</v>
      </c>
      <c r="F666" s="63" t="s">
        <v>720</v>
      </c>
      <c r="G666" s="25">
        <f t="shared" si="16"/>
        <v>8.9175348755075046E-3</v>
      </c>
    </row>
    <row r="667" spans="1:7">
      <c r="A667" s="63">
        <v>110.72209372872219</v>
      </c>
      <c r="B667" s="63">
        <v>111.6307042561544</v>
      </c>
      <c r="C667" s="63">
        <v>109.03257195776754</v>
      </c>
      <c r="D667" s="63">
        <v>110.44556008993848</v>
      </c>
      <c r="E667" s="63">
        <v>962792.23450365895</v>
      </c>
      <c r="F667" s="63" t="s">
        <v>721</v>
      </c>
      <c r="G667" s="25">
        <f t="shared" si="16"/>
        <v>2.5038004113384638E-3</v>
      </c>
    </row>
    <row r="668" spans="1:7">
      <c r="A668" s="63">
        <v>110.71221752733706</v>
      </c>
      <c r="B668" s="63">
        <v>113.36891569993774</v>
      </c>
      <c r="C668" s="63">
        <v>110.53444590240467</v>
      </c>
      <c r="D668" s="63">
        <v>112.69733400574871</v>
      </c>
      <c r="E668" s="63">
        <v>1675127.8507650425</v>
      </c>
      <c r="F668" s="63" t="s">
        <v>722</v>
      </c>
      <c r="G668" s="25">
        <f t="shared" si="16"/>
        <v>-1.7614582420471425E-2</v>
      </c>
    </row>
    <row r="669" spans="1:7">
      <c r="A669" s="63">
        <v>112.87510563068112</v>
      </c>
      <c r="B669" s="63">
        <v>115.16638435203188</v>
      </c>
      <c r="C669" s="63">
        <v>112.69733400574871</v>
      </c>
      <c r="D669" s="63">
        <v>114.56393606753879</v>
      </c>
      <c r="E669" s="63">
        <v>993267.51424563408</v>
      </c>
      <c r="F669" s="63" t="s">
        <v>723</v>
      </c>
      <c r="G669" s="25">
        <f t="shared" si="16"/>
        <v>-1.4741379310344693E-2</v>
      </c>
    </row>
    <row r="670" spans="1:7">
      <c r="A670" s="63">
        <v>114.63306947723471</v>
      </c>
      <c r="B670" s="63">
        <v>117.17619133390637</v>
      </c>
      <c r="C670" s="63">
        <v>114.37628824122127</v>
      </c>
      <c r="D670" s="63">
        <v>115.87747085176143</v>
      </c>
      <c r="E670" s="63">
        <v>1063840.1942488211</v>
      </c>
      <c r="F670" s="63" t="s">
        <v>724</v>
      </c>
      <c r="G670" s="25">
        <f t="shared" si="16"/>
        <v>-1.0738941447200223E-2</v>
      </c>
    </row>
    <row r="671" spans="1:7">
      <c r="A671" s="63">
        <v>115.69969922682905</v>
      </c>
      <c r="B671" s="63">
        <v>116.52930014318019</v>
      </c>
      <c r="C671" s="63">
        <v>114.2776249893838</v>
      </c>
      <c r="D671" s="63">
        <v>114.61331707446446</v>
      </c>
      <c r="E671" s="63">
        <v>1229854.427460812</v>
      </c>
      <c r="F671" s="63" t="s">
        <v>725</v>
      </c>
      <c r="G671" s="25">
        <f t="shared" si="16"/>
        <v>9.4786729857820884E-3</v>
      </c>
    </row>
    <row r="672" spans="1:7">
      <c r="A672" s="63">
        <v>115.3836607825048</v>
      </c>
      <c r="B672" s="63">
        <v>115.67007062267366</v>
      </c>
      <c r="C672" s="63">
        <v>113.19114407500535</v>
      </c>
      <c r="D672" s="63">
        <v>113.34916329716748</v>
      </c>
      <c r="E672" s="63">
        <v>1723014.6831165932</v>
      </c>
      <c r="F672" s="63" t="s">
        <v>726</v>
      </c>
      <c r="G672" s="25">
        <f t="shared" si="16"/>
        <v>1.7948941360982795E-2</v>
      </c>
    </row>
    <row r="673" spans="1:7">
      <c r="A673" s="63">
        <v>112.28253354757315</v>
      </c>
      <c r="B673" s="63">
        <v>115.93672806007223</v>
      </c>
      <c r="C673" s="63">
        <v>111.59119945061386</v>
      </c>
      <c r="D673" s="63">
        <v>115.32440357419401</v>
      </c>
      <c r="E673" s="63">
        <v>1720703.065612077</v>
      </c>
      <c r="F673" s="63" t="s">
        <v>727</v>
      </c>
      <c r="G673" s="25">
        <f t="shared" si="16"/>
        <v>-2.637663783506039E-2</v>
      </c>
    </row>
    <row r="674" spans="1:7">
      <c r="A674" s="63">
        <v>114.28740242875507</v>
      </c>
      <c r="B674" s="63">
        <v>114.72195528970092</v>
      </c>
      <c r="C674" s="63">
        <v>113.04300105422836</v>
      </c>
      <c r="D674" s="63">
        <v>113.48743011655934</v>
      </c>
      <c r="E674" s="63">
        <v>1315984.7084087613</v>
      </c>
      <c r="F674" s="63" t="s">
        <v>728</v>
      </c>
      <c r="G674" s="25">
        <f t="shared" si="16"/>
        <v>7.048994865546776E-3</v>
      </c>
    </row>
    <row r="675" spans="1:7">
      <c r="A675" s="63">
        <v>113.64544933872145</v>
      </c>
      <c r="B675" s="63">
        <v>113.75211231368088</v>
      </c>
      <c r="C675" s="63">
        <v>111.90723789493811</v>
      </c>
      <c r="D675" s="63">
        <v>112.49980997804606</v>
      </c>
      <c r="E675" s="63">
        <v>1370471.2441744322</v>
      </c>
      <c r="F675" s="63" t="s">
        <v>729</v>
      </c>
      <c r="G675" s="25">
        <f t="shared" si="16"/>
        <v>1.018347818453158E-2</v>
      </c>
    </row>
    <row r="676" spans="1:7">
      <c r="A676" s="63">
        <v>111.601075651999</v>
      </c>
      <c r="B676" s="63">
        <v>112.0850095198705</v>
      </c>
      <c r="C676" s="63">
        <v>109.58633056943194</v>
      </c>
      <c r="D676" s="63">
        <v>109.58633056943194</v>
      </c>
      <c r="E676" s="63">
        <v>1482788.7189547524</v>
      </c>
      <c r="F676" s="63" t="s">
        <v>730</v>
      </c>
      <c r="G676" s="25">
        <f t="shared" si="16"/>
        <v>1.8385003604902694E-2</v>
      </c>
    </row>
    <row r="677" spans="1:7">
      <c r="A677" s="63">
        <v>110.0011310276075</v>
      </c>
      <c r="B677" s="63">
        <v>110.10680638242842</v>
      </c>
      <c r="C677" s="63">
        <v>108.6085866323038</v>
      </c>
      <c r="D677" s="63">
        <v>108.80611066000645</v>
      </c>
      <c r="E677" s="63">
        <v>1274239.913631628</v>
      </c>
      <c r="F677" s="63" t="s">
        <v>731</v>
      </c>
      <c r="G677" s="25">
        <f t="shared" si="16"/>
        <v>1.098302623218661E-2</v>
      </c>
    </row>
    <row r="678" spans="1:7">
      <c r="A678" s="63">
        <v>108.80611066000645</v>
      </c>
      <c r="B678" s="63">
        <v>109.21103491679689</v>
      </c>
      <c r="C678" s="63">
        <v>103.8285051618996</v>
      </c>
      <c r="D678" s="63">
        <v>105.23092575858843</v>
      </c>
      <c r="E678" s="63">
        <v>2122077.0195664149</v>
      </c>
      <c r="F678" s="63" t="s">
        <v>732</v>
      </c>
      <c r="G678" s="25">
        <f t="shared" si="16"/>
        <v>3.397465978413905E-2</v>
      </c>
    </row>
    <row r="679" spans="1:7">
      <c r="A679" s="63">
        <v>106.54446054281108</v>
      </c>
      <c r="B679" s="63">
        <v>107.1567850286893</v>
      </c>
      <c r="C679" s="63">
        <v>105.29018296689924</v>
      </c>
      <c r="D679" s="63">
        <v>105.65560241814914</v>
      </c>
      <c r="E679" s="63">
        <v>1609132.8416939264</v>
      </c>
      <c r="F679" s="63" t="s">
        <v>733</v>
      </c>
      <c r="G679" s="25">
        <f t="shared" si="16"/>
        <v>8.4127874369039901E-3</v>
      </c>
    </row>
    <row r="680" spans="1:7">
      <c r="A680" s="63">
        <v>104.84575390456826</v>
      </c>
      <c r="B680" s="63">
        <v>105.2803067655141</v>
      </c>
      <c r="C680" s="63">
        <v>102.93470893654509</v>
      </c>
      <c r="D680" s="63">
        <v>103.3445712940281</v>
      </c>
      <c r="E680" s="63">
        <v>1998621.6593066033</v>
      </c>
      <c r="F680" s="63" t="s">
        <v>734</v>
      </c>
      <c r="G680" s="25">
        <f t="shared" si="16"/>
        <v>1.4525993883792054E-2</v>
      </c>
    </row>
    <row r="681" spans="1:7">
      <c r="A681" s="63">
        <v>103.59147632865641</v>
      </c>
      <c r="B681" s="63">
        <v>103.62110493281182</v>
      </c>
      <c r="C681" s="63">
        <v>101.13724028445095</v>
      </c>
      <c r="D681" s="63">
        <v>101.93227449595412</v>
      </c>
      <c r="E681" s="63">
        <v>2589066.2819505222</v>
      </c>
      <c r="F681" s="63" t="s">
        <v>735</v>
      </c>
      <c r="G681" s="25">
        <f t="shared" si="16"/>
        <v>1.6277492491037826E-2</v>
      </c>
    </row>
    <row r="682" spans="1:7">
      <c r="A682" s="63">
        <v>103.4334571064943</v>
      </c>
      <c r="B682" s="63">
        <v>106.95926100098664</v>
      </c>
      <c r="C682" s="63">
        <v>101.48784543362316</v>
      </c>
      <c r="D682" s="63">
        <v>106.95926100098664</v>
      </c>
      <c r="E682" s="63">
        <v>2928754.5759792631</v>
      </c>
      <c r="F682" s="63" t="s">
        <v>736</v>
      </c>
      <c r="G682" s="25">
        <f t="shared" si="16"/>
        <v>-3.2963988919667453E-2</v>
      </c>
    </row>
    <row r="683" spans="1:7">
      <c r="A683" s="63">
        <v>107.729604709027</v>
      </c>
      <c r="B683" s="63">
        <v>109.33942553480361</v>
      </c>
      <c r="C683" s="63">
        <v>107.29505184808116</v>
      </c>
      <c r="D683" s="63">
        <v>108.67772004199973</v>
      </c>
      <c r="E683" s="63">
        <v>2903604.2180315284</v>
      </c>
      <c r="F683" s="63" t="s">
        <v>737</v>
      </c>
      <c r="G683" s="25">
        <f t="shared" si="16"/>
        <v>-8.7241003271537609E-3</v>
      </c>
    </row>
    <row r="684" spans="1:7">
      <c r="A684" s="63">
        <v>107.96663354227017</v>
      </c>
      <c r="B684" s="63">
        <v>109.6060829722022</v>
      </c>
      <c r="C684" s="63">
        <v>107.48763777509124</v>
      </c>
      <c r="D684" s="63">
        <v>109.39868274311441</v>
      </c>
      <c r="E684" s="63">
        <v>1570149.2299806634</v>
      </c>
      <c r="F684" s="63" t="s">
        <v>738</v>
      </c>
      <c r="G684" s="25">
        <f t="shared" si="16"/>
        <v>-1.3090186873702225E-2</v>
      </c>
    </row>
    <row r="685" spans="1:7">
      <c r="A685" s="63">
        <v>109.37893034034416</v>
      </c>
      <c r="B685" s="63">
        <v>109.91224521514133</v>
      </c>
      <c r="C685" s="63">
        <v>107.63084269517567</v>
      </c>
      <c r="D685" s="63">
        <v>107.63084269517567</v>
      </c>
      <c r="E685" s="63">
        <v>2854566.1333354157</v>
      </c>
      <c r="F685" s="63" t="s">
        <v>739</v>
      </c>
      <c r="G685" s="25">
        <f t="shared" si="16"/>
        <v>1.6241512204074215E-2</v>
      </c>
    </row>
    <row r="686" spans="1:7">
      <c r="A686" s="63">
        <v>107.14690882730416</v>
      </c>
      <c r="B686" s="63">
        <v>110.33198377400946</v>
      </c>
      <c r="C686" s="63">
        <v>106.59384154973675</v>
      </c>
      <c r="D686" s="63">
        <v>110.27766466639122</v>
      </c>
      <c r="E686" s="63">
        <v>2338670.4158108626</v>
      </c>
      <c r="F686" s="63" t="s">
        <v>740</v>
      </c>
      <c r="G686" s="25">
        <f t="shared" si="16"/>
        <v>-2.8389754612215712E-2</v>
      </c>
    </row>
    <row r="687" spans="1:7">
      <c r="A687" s="63">
        <v>110.82085574257351</v>
      </c>
      <c r="B687" s="63">
        <v>111.52206604091793</v>
      </c>
      <c r="C687" s="63">
        <v>108.13946706651001</v>
      </c>
      <c r="D687" s="63">
        <v>108.36168159767549</v>
      </c>
      <c r="E687" s="63">
        <v>2141713.1116667576</v>
      </c>
      <c r="F687" s="63" t="s">
        <v>741</v>
      </c>
      <c r="G687" s="25">
        <f t="shared" si="16"/>
        <v>2.2694130514035793E-2</v>
      </c>
    </row>
    <row r="688" spans="1:7">
      <c r="A688" s="63">
        <v>108.99375848632397</v>
      </c>
      <c r="B688" s="63">
        <v>109.36895537694517</v>
      </c>
      <c r="C688" s="63">
        <v>107.27026258260449</v>
      </c>
      <c r="D688" s="63">
        <v>108.10490036166203</v>
      </c>
      <c r="E688" s="63">
        <v>1225752.6479992284</v>
      </c>
      <c r="F688" s="63" t="s">
        <v>742</v>
      </c>
      <c r="G688" s="25">
        <f t="shared" si="16"/>
        <v>8.2221816188561281E-3</v>
      </c>
    </row>
    <row r="689" spans="1:7">
      <c r="A689" s="63">
        <v>108.57895802814841</v>
      </c>
      <c r="B689" s="63">
        <v>109.27029212510769</v>
      </c>
      <c r="C689" s="63">
        <v>108.1542813685877</v>
      </c>
      <c r="D689" s="63">
        <v>108.27279578520928</v>
      </c>
      <c r="E689" s="63">
        <v>1464495.2483222098</v>
      </c>
      <c r="F689" s="63" t="s">
        <v>743</v>
      </c>
      <c r="G689" s="25">
        <f t="shared" si="16"/>
        <v>2.8276931496853397E-3</v>
      </c>
    </row>
    <row r="690" spans="1:7">
      <c r="A690" s="63">
        <v>108.76660585446592</v>
      </c>
      <c r="B690" s="63">
        <v>109.80360699990486</v>
      </c>
      <c r="C690" s="63">
        <v>108.549329423993</v>
      </c>
      <c r="D690" s="63">
        <v>109.55670196527655</v>
      </c>
      <c r="E690" s="63">
        <v>936208.12693420064</v>
      </c>
      <c r="F690" s="63" t="s">
        <v>744</v>
      </c>
      <c r="G690" s="25">
        <f t="shared" si="16"/>
        <v>-7.2117551609124364E-3</v>
      </c>
    </row>
    <row r="691" spans="1:7">
      <c r="A691" s="63">
        <v>109.17153011125637</v>
      </c>
      <c r="B691" s="63">
        <v>110.0011310276075</v>
      </c>
      <c r="C691" s="63">
        <v>108.93450127801317</v>
      </c>
      <c r="D691" s="63">
        <v>109.71472118743867</v>
      </c>
      <c r="E691" s="63">
        <v>1996825.4221392744</v>
      </c>
      <c r="F691" s="63" t="s">
        <v>745</v>
      </c>
      <c r="G691" s="25">
        <f t="shared" si="16"/>
        <v>-4.9509406787289212E-3</v>
      </c>
    </row>
    <row r="692" spans="1:7">
      <c r="A692" s="63">
        <v>109.36905413895902</v>
      </c>
      <c r="B692" s="63">
        <v>110.86036054811404</v>
      </c>
      <c r="C692" s="63">
        <v>109.04313949324964</v>
      </c>
      <c r="D692" s="63">
        <v>109.06289189601991</v>
      </c>
      <c r="E692" s="63">
        <v>1375493.4179906391</v>
      </c>
      <c r="F692" s="63" t="s">
        <v>746</v>
      </c>
      <c r="G692" s="25">
        <f t="shared" si="16"/>
        <v>2.8072081861811871E-3</v>
      </c>
    </row>
    <row r="693" spans="1:7">
      <c r="A693" s="63">
        <v>108.56908182676328</v>
      </c>
      <c r="B693" s="63">
        <v>111.28503720767476</v>
      </c>
      <c r="C693" s="63">
        <v>108.44069120875655</v>
      </c>
      <c r="D693" s="63">
        <v>111.06776077720183</v>
      </c>
      <c r="E693" s="63">
        <v>4341467.7696372308</v>
      </c>
      <c r="F693" s="63" t="s">
        <v>747</v>
      </c>
      <c r="G693" s="25">
        <f t="shared" si="16"/>
        <v>-2.2496887782322506E-2</v>
      </c>
    </row>
    <row r="694" spans="1:7">
      <c r="A694" s="63">
        <v>111.06776077720183</v>
      </c>
      <c r="B694" s="63">
        <v>111.22577999936397</v>
      </c>
      <c r="C694" s="63">
        <v>108.1690956706654</v>
      </c>
      <c r="D694" s="63">
        <v>108.40118640321602</v>
      </c>
      <c r="E694" s="63">
        <v>2337236.6661891388</v>
      </c>
      <c r="F694" s="63" t="s">
        <v>748</v>
      </c>
      <c r="G694" s="25">
        <f t="shared" si="16"/>
        <v>2.4599125364431318E-2</v>
      </c>
    </row>
    <row r="695" spans="1:7">
      <c r="A695" s="63">
        <v>107.91725253534452</v>
      </c>
      <c r="B695" s="63">
        <v>108.72710104892541</v>
      </c>
      <c r="C695" s="63">
        <v>107.16666123007444</v>
      </c>
      <c r="D695" s="63">
        <v>107.43331866747302</v>
      </c>
      <c r="E695" s="63">
        <v>1918350.9186559101</v>
      </c>
      <c r="F695" s="63" t="s">
        <v>749</v>
      </c>
      <c r="G695" s="25">
        <f t="shared" si="16"/>
        <v>4.5045045045044585E-3</v>
      </c>
    </row>
    <row r="696" spans="1:7">
      <c r="A696" s="63">
        <v>107.1567850286893</v>
      </c>
      <c r="B696" s="63">
        <v>108.73203914961796</v>
      </c>
      <c r="C696" s="63">
        <v>106.81111798020967</v>
      </c>
      <c r="D696" s="63">
        <v>108.18390997274311</v>
      </c>
      <c r="E696" s="63">
        <v>1576671.980731471</v>
      </c>
      <c r="F696" s="63" t="s">
        <v>750</v>
      </c>
      <c r="G696" s="25">
        <f t="shared" si="16"/>
        <v>-9.4942486762827905E-3</v>
      </c>
    </row>
    <row r="697" spans="1:7">
      <c r="A697" s="63">
        <v>108.61846283368894</v>
      </c>
      <c r="B697" s="63">
        <v>109.03030043144898</v>
      </c>
      <c r="C697" s="63">
        <v>107.3049280494663</v>
      </c>
      <c r="D697" s="63">
        <v>107.45307107024328</v>
      </c>
      <c r="E697" s="63">
        <v>1843568.1179414752</v>
      </c>
      <c r="F697" s="63" t="s">
        <v>751</v>
      </c>
      <c r="G697" s="25">
        <f t="shared" si="16"/>
        <v>1.0845588235294024E-2</v>
      </c>
    </row>
    <row r="698" spans="1:7">
      <c r="A698" s="63">
        <v>107.29505184808116</v>
      </c>
      <c r="B698" s="63">
        <v>108.30242438936469</v>
      </c>
      <c r="C698" s="63">
        <v>106.89012759129072</v>
      </c>
      <c r="D698" s="63">
        <v>106.89012759129072</v>
      </c>
      <c r="E698" s="63">
        <v>1446044.8347579108</v>
      </c>
      <c r="F698" s="63" t="s">
        <v>752</v>
      </c>
      <c r="G698" s="25">
        <f t="shared" si="16"/>
        <v>3.788228772059421E-3</v>
      </c>
    </row>
    <row r="699" spans="1:7">
      <c r="A699" s="63">
        <v>107.19628983422984</v>
      </c>
      <c r="B699" s="63">
        <v>109.58139246873937</v>
      </c>
      <c r="C699" s="63">
        <v>105.8531264458518</v>
      </c>
      <c r="D699" s="63">
        <v>106.52470814004081</v>
      </c>
      <c r="E699" s="63">
        <v>1975690.778174418</v>
      </c>
      <c r="F699" s="63" t="s">
        <v>753</v>
      </c>
      <c r="G699" s="25">
        <f t="shared" si="16"/>
        <v>6.3044687557947121E-3</v>
      </c>
    </row>
    <row r="700" spans="1:7">
      <c r="A700" s="63">
        <v>105.31981157105463</v>
      </c>
      <c r="B700" s="63">
        <v>106.45557473034489</v>
      </c>
      <c r="C700" s="63">
        <v>104.677858481021</v>
      </c>
      <c r="D700" s="63">
        <v>105.01364932811552</v>
      </c>
      <c r="E700" s="63">
        <v>1354589.6320157214</v>
      </c>
      <c r="F700" s="63" t="s">
        <v>754</v>
      </c>
      <c r="G700" s="25">
        <f t="shared" ref="G700:G763" si="17">A700/D700-1</f>
        <v>2.9154518950436081E-3</v>
      </c>
    </row>
    <row r="701" spans="1:7">
      <c r="A701" s="63">
        <v>104.7371156893318</v>
      </c>
      <c r="B701" s="63">
        <v>105.40869738352083</v>
      </c>
      <c r="C701" s="63">
        <v>103.84924518480837</v>
      </c>
      <c r="D701" s="63">
        <v>105.23092575858843</v>
      </c>
      <c r="E701" s="63">
        <v>1451137.8860271692</v>
      </c>
      <c r="F701" s="63" t="s">
        <v>755</v>
      </c>
      <c r="G701" s="25">
        <f t="shared" si="17"/>
        <v>-4.6926325668699143E-3</v>
      </c>
    </row>
    <row r="702" spans="1:7">
      <c r="A702" s="63">
        <v>105.96176466108825</v>
      </c>
      <c r="B702" s="63">
        <v>106.08027907770985</v>
      </c>
      <c r="C702" s="63">
        <v>103.89763857159554</v>
      </c>
      <c r="D702" s="63">
        <v>104.32231523115622</v>
      </c>
      <c r="E702" s="63">
        <v>1355578.8787533089</v>
      </c>
      <c r="F702" s="63" t="s">
        <v>756</v>
      </c>
      <c r="G702" s="25">
        <f t="shared" si="17"/>
        <v>1.5715232415033586E-2</v>
      </c>
    </row>
    <row r="703" spans="1:7">
      <c r="A703" s="63">
        <v>102.87051362754173</v>
      </c>
      <c r="B703" s="63">
        <v>104.77662049487233</v>
      </c>
      <c r="C703" s="63">
        <v>102.48534177352155</v>
      </c>
      <c r="D703" s="63">
        <v>104.63835367548047</v>
      </c>
      <c r="E703" s="63">
        <v>2061006.9809473208</v>
      </c>
      <c r="F703" s="63" t="s">
        <v>757</v>
      </c>
      <c r="G703" s="25">
        <f t="shared" si="17"/>
        <v>-1.6894761680037784E-2</v>
      </c>
    </row>
    <row r="704" spans="1:7">
      <c r="A704" s="63">
        <v>104.43095344639269</v>
      </c>
      <c r="B704" s="63">
        <v>104.95192306945843</v>
      </c>
      <c r="C704" s="63">
        <v>103.78900035635907</v>
      </c>
      <c r="D704" s="63">
        <v>104.03590539098738</v>
      </c>
      <c r="E704" s="63">
        <v>1182014.1717212666</v>
      </c>
      <c r="F704" s="63" t="s">
        <v>758</v>
      </c>
      <c r="G704" s="25">
        <f t="shared" si="17"/>
        <v>3.7972280235427647E-3</v>
      </c>
    </row>
    <row r="705" spans="1:7">
      <c r="A705" s="63">
        <v>104.23342941869004</v>
      </c>
      <c r="B705" s="63">
        <v>104.8556301059534</v>
      </c>
      <c r="C705" s="63">
        <v>103.50259051619022</v>
      </c>
      <c r="D705" s="63">
        <v>103.92726717575093</v>
      </c>
      <c r="E705" s="63">
        <v>1145750.2291350868</v>
      </c>
      <c r="F705" s="63" t="s">
        <v>759</v>
      </c>
      <c r="G705" s="25">
        <f t="shared" si="17"/>
        <v>2.9459279673096361E-3</v>
      </c>
    </row>
    <row r="706" spans="1:7">
      <c r="A706" s="63">
        <v>104.06553399514279</v>
      </c>
      <c r="B706" s="63">
        <v>106.02102186939904</v>
      </c>
      <c r="C706" s="63">
        <v>103.92726717575093</v>
      </c>
      <c r="D706" s="63">
        <v>104.9889588246527</v>
      </c>
      <c r="E706" s="63">
        <v>1101658.3781269118</v>
      </c>
      <c r="F706" s="63" t="s">
        <v>760</v>
      </c>
      <c r="G706" s="25">
        <f t="shared" si="17"/>
        <v>-8.7954470626970815E-3</v>
      </c>
    </row>
    <row r="707" spans="1:7">
      <c r="A707" s="63">
        <v>104.55934406439943</v>
      </c>
      <c r="B707" s="63">
        <v>106.10990768186524</v>
      </c>
      <c r="C707" s="63">
        <v>104.26305802284543</v>
      </c>
      <c r="D707" s="63">
        <v>105.497583195987</v>
      </c>
      <c r="E707" s="63">
        <v>1401177.381906346</v>
      </c>
      <c r="F707" s="63" t="s">
        <v>761</v>
      </c>
      <c r="G707" s="25">
        <f t="shared" si="17"/>
        <v>-8.8934656431377546E-3</v>
      </c>
    </row>
    <row r="708" spans="1:7">
      <c r="A708" s="63">
        <v>105.59634520983835</v>
      </c>
      <c r="B708" s="63">
        <v>108.88512027108752</v>
      </c>
      <c r="C708" s="63">
        <v>105.51733559875728</v>
      </c>
      <c r="D708" s="63">
        <v>107.55183308409461</v>
      </c>
      <c r="E708" s="63">
        <v>1517482.219688324</v>
      </c>
      <c r="F708" s="63" t="s">
        <v>762</v>
      </c>
      <c r="G708" s="25">
        <f t="shared" si="17"/>
        <v>-1.8181818181818188E-2</v>
      </c>
    </row>
    <row r="709" spans="1:7">
      <c r="A709" s="63">
        <v>107.0975278203785</v>
      </c>
      <c r="B709" s="63">
        <v>107.90737633395939</v>
      </c>
      <c r="C709" s="63">
        <v>105.62597381399374</v>
      </c>
      <c r="D709" s="63">
        <v>105.62597381399374</v>
      </c>
      <c r="E709" s="63">
        <v>1410953.4077522084</v>
      </c>
      <c r="F709" s="63" t="s">
        <v>763</v>
      </c>
      <c r="G709" s="25">
        <f t="shared" si="17"/>
        <v>1.393174380551665E-2</v>
      </c>
    </row>
    <row r="710" spans="1:7">
      <c r="A710" s="63">
        <v>104.9445159184196</v>
      </c>
      <c r="B710" s="63">
        <v>105.22598765789587</v>
      </c>
      <c r="C710" s="63">
        <v>104.20380081453465</v>
      </c>
      <c r="D710" s="63">
        <v>104.35194383531163</v>
      </c>
      <c r="E710" s="63">
        <v>1292910.0473003862</v>
      </c>
      <c r="F710" s="63" t="s">
        <v>764</v>
      </c>
      <c r="G710" s="25">
        <f t="shared" si="17"/>
        <v>5.6785917092561089E-3</v>
      </c>
    </row>
    <row r="711" spans="1:7">
      <c r="A711" s="63">
        <v>104.7963728976426</v>
      </c>
      <c r="B711" s="63">
        <v>105.13779317952662</v>
      </c>
      <c r="C711" s="63">
        <v>102.98902804416332</v>
      </c>
      <c r="D711" s="63">
        <v>103.30506648848757</v>
      </c>
      <c r="E711" s="63">
        <v>1394246.5795329716</v>
      </c>
      <c r="F711" s="63" t="s">
        <v>765</v>
      </c>
      <c r="G711" s="25">
        <f t="shared" si="17"/>
        <v>1.4435946462715066E-2</v>
      </c>
    </row>
    <row r="712" spans="1:7">
      <c r="A712" s="63">
        <v>103.47296191203482</v>
      </c>
      <c r="B712" s="63">
        <v>104.23342941869004</v>
      </c>
      <c r="C712" s="63">
        <v>103.21618067602138</v>
      </c>
      <c r="D712" s="63">
        <v>103.23593307879165</v>
      </c>
      <c r="E712" s="63">
        <v>1689905.7997262401</v>
      </c>
      <c r="F712" s="63" t="s">
        <v>766</v>
      </c>
      <c r="G712" s="25">
        <f t="shared" si="17"/>
        <v>2.2959915813640652E-3</v>
      </c>
    </row>
    <row r="713" spans="1:7">
      <c r="A713" s="63">
        <v>103.52234291896048</v>
      </c>
      <c r="B713" s="63">
        <v>104.83093960249056</v>
      </c>
      <c r="C713" s="63">
        <v>103.27543788433216</v>
      </c>
      <c r="D713" s="63">
        <v>104.17417221037924</v>
      </c>
      <c r="E713" s="63">
        <v>1823216.1635653141</v>
      </c>
      <c r="F713" s="63" t="s">
        <v>767</v>
      </c>
      <c r="G713" s="25">
        <f t="shared" si="17"/>
        <v>-6.2571103526736227E-3</v>
      </c>
    </row>
    <row r="714" spans="1:7">
      <c r="A714" s="63">
        <v>103.79887655774419</v>
      </c>
      <c r="B714" s="63">
        <v>105.13216374473711</v>
      </c>
      <c r="C714" s="63">
        <v>103.70011454389288</v>
      </c>
      <c r="D714" s="63">
        <v>105.08278273781146</v>
      </c>
      <c r="E714" s="63">
        <v>1858279.2395897959</v>
      </c>
      <c r="F714" s="63" t="s">
        <v>768</v>
      </c>
      <c r="G714" s="25">
        <f t="shared" si="17"/>
        <v>-1.2218045112782128E-2</v>
      </c>
    </row>
    <row r="715" spans="1:7">
      <c r="A715" s="63">
        <v>104.92476351564932</v>
      </c>
      <c r="B715" s="63">
        <v>105.26549246343639</v>
      </c>
      <c r="C715" s="63">
        <v>104.3124390297711</v>
      </c>
      <c r="D715" s="63">
        <v>105.07290653642632</v>
      </c>
      <c r="E715" s="63">
        <v>1731027.8854515653</v>
      </c>
      <c r="F715" s="63" t="s">
        <v>769</v>
      </c>
      <c r="G715" s="25">
        <f t="shared" si="17"/>
        <v>-1.4099069461416258E-3</v>
      </c>
    </row>
    <row r="716" spans="1:7">
      <c r="A716" s="63">
        <v>105.67535482091941</v>
      </c>
      <c r="B716" s="63">
        <v>106.26792690402736</v>
      </c>
      <c r="C716" s="63">
        <v>104.40379389258358</v>
      </c>
      <c r="D716" s="63">
        <v>105.14203994612224</v>
      </c>
      <c r="E716" s="63">
        <v>2434181.8339376738</v>
      </c>
      <c r="F716" s="63" t="s">
        <v>770</v>
      </c>
      <c r="G716" s="25">
        <f t="shared" si="17"/>
        <v>5.0723276347923729E-3</v>
      </c>
    </row>
    <row r="717" spans="1:7">
      <c r="A717" s="63">
        <v>105.24080195997357</v>
      </c>
      <c r="B717" s="63">
        <v>105.39546327366475</v>
      </c>
      <c r="C717" s="63">
        <v>103.69023834250774</v>
      </c>
      <c r="D717" s="63">
        <v>104.13466740483871</v>
      </c>
      <c r="E717" s="63">
        <v>1431857.1937271263</v>
      </c>
      <c r="F717" s="63" t="s">
        <v>771</v>
      </c>
      <c r="G717" s="25">
        <f t="shared" si="17"/>
        <v>1.0622154779969639E-2</v>
      </c>
    </row>
    <row r="718" spans="1:7">
      <c r="A718" s="63">
        <v>104.13269216456167</v>
      </c>
      <c r="B718" s="63">
        <v>105.24572604789456</v>
      </c>
      <c r="C718" s="63">
        <v>103.5318508647094</v>
      </c>
      <c r="D718" s="63">
        <v>104.37893859892735</v>
      </c>
      <c r="E718" s="63">
        <v>1587500.1439390266</v>
      </c>
      <c r="F718" s="63" t="s">
        <v>772</v>
      </c>
      <c r="G718" s="25">
        <f t="shared" si="17"/>
        <v>-2.3591582523354582E-3</v>
      </c>
    </row>
    <row r="719" spans="1:7">
      <c r="A719" s="63">
        <v>103.5318508647094</v>
      </c>
      <c r="B719" s="63">
        <v>104.30998959730496</v>
      </c>
      <c r="C719" s="63">
        <v>102.74208930041176</v>
      </c>
      <c r="D719" s="63">
        <v>103.04920785335266</v>
      </c>
      <c r="E719" s="63">
        <v>1671891.2136149404</v>
      </c>
      <c r="F719" s="63" t="s">
        <v>773</v>
      </c>
      <c r="G719" s="25">
        <f t="shared" si="17"/>
        <v>4.6836168992543392E-3</v>
      </c>
    </row>
    <row r="720" spans="1:7">
      <c r="A720" s="63">
        <v>103.23635514347058</v>
      </c>
      <c r="B720" s="63">
        <v>103.35455343196611</v>
      </c>
      <c r="C720" s="63">
        <v>101.41413152916448</v>
      </c>
      <c r="D720" s="63">
        <v>101.41413152916448</v>
      </c>
      <c r="E720" s="63">
        <v>1225880.6945878919</v>
      </c>
      <c r="F720" s="63" t="s">
        <v>774</v>
      </c>
      <c r="G720" s="25">
        <f t="shared" si="17"/>
        <v>1.7968142968143086E-2</v>
      </c>
    </row>
    <row r="721" spans="1:7">
      <c r="A721" s="63">
        <v>102.19227026176006</v>
      </c>
      <c r="B721" s="63">
        <v>103.07875742547654</v>
      </c>
      <c r="C721" s="63">
        <v>101.23220466345512</v>
      </c>
      <c r="D721" s="63">
        <v>103.00980842385414</v>
      </c>
      <c r="E721" s="63">
        <v>1786623.8393797618</v>
      </c>
      <c r="F721" s="63" t="s">
        <v>775</v>
      </c>
      <c r="G721" s="25">
        <f t="shared" si="17"/>
        <v>-7.9365079365079083E-3</v>
      </c>
    </row>
    <row r="722" spans="1:7">
      <c r="A722" s="63">
        <v>102.37941755187798</v>
      </c>
      <c r="B722" s="63">
        <v>103.13293164103698</v>
      </c>
      <c r="C722" s="63">
        <v>100.26169821633307</v>
      </c>
      <c r="D722" s="63">
        <v>100.38974636220323</v>
      </c>
      <c r="E722" s="63">
        <v>2765212.6283737291</v>
      </c>
      <c r="F722" s="63" t="s">
        <v>776</v>
      </c>
      <c r="G722" s="25">
        <f t="shared" si="17"/>
        <v>1.9819466248037765E-2</v>
      </c>
    </row>
    <row r="723" spans="1:7">
      <c r="A723" s="63">
        <v>99.62145748698228</v>
      </c>
      <c r="B723" s="63">
        <v>102.01930676626159</v>
      </c>
      <c r="C723" s="63">
        <v>94.322234219432715</v>
      </c>
      <c r="D723" s="63">
        <v>94.529081224299887</v>
      </c>
      <c r="E723" s="63">
        <v>3564914.5631743749</v>
      </c>
      <c r="F723" s="63" t="s">
        <v>777</v>
      </c>
      <c r="G723" s="25">
        <f t="shared" si="17"/>
        <v>5.3871001354589776E-2</v>
      </c>
    </row>
    <row r="724" spans="1:7">
      <c r="A724" s="63">
        <v>94.11538721456553</v>
      </c>
      <c r="B724" s="63">
        <v>94.583255439860338</v>
      </c>
      <c r="C724" s="63">
        <v>93.012203188607259</v>
      </c>
      <c r="D724" s="63">
        <v>94.548780939049138</v>
      </c>
      <c r="E724" s="63">
        <v>2071441.1614281535</v>
      </c>
      <c r="F724" s="63" t="s">
        <v>778</v>
      </c>
      <c r="G724" s="25">
        <f t="shared" si="17"/>
        <v>-4.5838108136263545E-3</v>
      </c>
    </row>
    <row r="725" spans="1:7">
      <c r="A725" s="63">
        <v>94.854126517662579</v>
      </c>
      <c r="B725" s="63">
        <v>95.632265250258158</v>
      </c>
      <c r="C725" s="63">
        <v>94.627579798046142</v>
      </c>
      <c r="D725" s="63">
        <v>94.795027373414811</v>
      </c>
      <c r="E725" s="63">
        <v>1492189.1191907616</v>
      </c>
      <c r="F725" s="63" t="s">
        <v>779</v>
      </c>
      <c r="G725" s="25">
        <f t="shared" si="17"/>
        <v>6.2344139650871711E-4</v>
      </c>
    </row>
    <row r="726" spans="1:7">
      <c r="A726" s="63">
        <v>95.19887152577455</v>
      </c>
      <c r="B726" s="63">
        <v>95.238270955273052</v>
      </c>
      <c r="C726" s="63">
        <v>93.967639353946126</v>
      </c>
      <c r="D726" s="63">
        <v>94.401033078429734</v>
      </c>
      <c r="E726" s="63">
        <v>1188075.0710304156</v>
      </c>
      <c r="F726" s="63" t="s">
        <v>780</v>
      </c>
      <c r="G726" s="25">
        <f t="shared" si="17"/>
        <v>8.4515859766276513E-3</v>
      </c>
    </row>
    <row r="727" spans="1:7">
      <c r="A727" s="63">
        <v>94.30253450468345</v>
      </c>
      <c r="B727" s="63">
        <v>95.208721383149168</v>
      </c>
      <c r="C727" s="63">
        <v>93.82974135070134</v>
      </c>
      <c r="D727" s="63">
        <v>94.814727088164076</v>
      </c>
      <c r="E727" s="63">
        <v>1153230.9116739477</v>
      </c>
      <c r="F727" s="63" t="s">
        <v>781</v>
      </c>
      <c r="G727" s="25">
        <f t="shared" si="17"/>
        <v>-5.4020361520881188E-3</v>
      </c>
    </row>
    <row r="728" spans="1:7">
      <c r="A728" s="63">
        <v>93.987339068695377</v>
      </c>
      <c r="B728" s="63">
        <v>96.282355836983569</v>
      </c>
      <c r="C728" s="63">
        <v>93.770642206453573</v>
      </c>
      <c r="D728" s="63">
        <v>96.262656122234318</v>
      </c>
      <c r="E728" s="63">
        <v>911604.06272782153</v>
      </c>
      <c r="F728" s="63" t="s">
        <v>782</v>
      </c>
      <c r="G728" s="25">
        <f t="shared" si="17"/>
        <v>-2.3636549677683361E-2</v>
      </c>
    </row>
    <row r="729" spans="1:7">
      <c r="A729" s="63">
        <v>95.878511684623845</v>
      </c>
      <c r="B729" s="63">
        <v>96.764998848340312</v>
      </c>
      <c r="C729" s="63">
        <v>95.218571240523801</v>
      </c>
      <c r="D729" s="63">
        <v>95.218571240523801</v>
      </c>
      <c r="E729" s="63">
        <v>1261923.8560771646</v>
      </c>
      <c r="F729" s="63" t="s">
        <v>783</v>
      </c>
      <c r="G729" s="25">
        <f t="shared" si="17"/>
        <v>6.9307954898107926E-3</v>
      </c>
    </row>
    <row r="730" spans="1:7">
      <c r="A730" s="63">
        <v>96.055809117367133</v>
      </c>
      <c r="B730" s="63">
        <v>96.686199989343294</v>
      </c>
      <c r="C730" s="63">
        <v>94.460132222677501</v>
      </c>
      <c r="D730" s="63">
        <v>94.509381509550636</v>
      </c>
      <c r="E730" s="63">
        <v>867861.29736455192</v>
      </c>
      <c r="F730" s="63" t="s">
        <v>784</v>
      </c>
      <c r="G730" s="25">
        <f t="shared" si="17"/>
        <v>1.636268890046888E-2</v>
      </c>
    </row>
    <row r="731" spans="1:7">
      <c r="A731" s="63">
        <v>95.100372952028266</v>
      </c>
      <c r="B731" s="63">
        <v>95.356469243768586</v>
      </c>
      <c r="C731" s="63">
        <v>94.322234219432715</v>
      </c>
      <c r="D731" s="63">
        <v>95.149622238901401</v>
      </c>
      <c r="E731" s="63">
        <v>1094267.6213530088</v>
      </c>
      <c r="F731" s="63" t="s">
        <v>785</v>
      </c>
      <c r="G731" s="25">
        <f t="shared" si="17"/>
        <v>-5.1759834368525492E-4</v>
      </c>
    </row>
    <row r="732" spans="1:7">
      <c r="A732" s="63">
        <v>95.149622238901401</v>
      </c>
      <c r="B732" s="63">
        <v>96.676350131968675</v>
      </c>
      <c r="C732" s="63">
        <v>94.863976375037211</v>
      </c>
      <c r="D732" s="63">
        <v>96.1149082616149</v>
      </c>
      <c r="E732" s="63">
        <v>5158703.1230410831</v>
      </c>
      <c r="F732" s="63" t="s">
        <v>786</v>
      </c>
      <c r="G732" s="25">
        <f t="shared" si="17"/>
        <v>-1.0043041606886738E-2</v>
      </c>
    </row>
    <row r="733" spans="1:7">
      <c r="A733" s="63">
        <v>95.435268102765605</v>
      </c>
      <c r="B733" s="63">
        <v>95.85881196987458</v>
      </c>
      <c r="C733" s="63">
        <v>93.810041635952075</v>
      </c>
      <c r="D733" s="63">
        <v>94.066137927692395</v>
      </c>
      <c r="E733" s="63">
        <v>1624688.499675381</v>
      </c>
      <c r="F733" s="63" t="s">
        <v>787</v>
      </c>
      <c r="G733" s="25">
        <f t="shared" si="17"/>
        <v>1.4554973821989448E-2</v>
      </c>
    </row>
    <row r="734" spans="1:7">
      <c r="A734" s="63">
        <v>93.307698909846081</v>
      </c>
      <c r="B734" s="63">
        <v>94.105537357190912</v>
      </c>
      <c r="C734" s="63">
        <v>92.519710319875884</v>
      </c>
      <c r="D734" s="63">
        <v>93.406197483592351</v>
      </c>
      <c r="E734" s="63">
        <v>1812503.4019261829</v>
      </c>
      <c r="F734" s="63" t="s">
        <v>788</v>
      </c>
      <c r="G734" s="25">
        <f t="shared" si="17"/>
        <v>-1.0545186122534744E-3</v>
      </c>
    </row>
    <row r="735" spans="1:7">
      <c r="A735" s="63">
        <v>93.938089781822242</v>
      </c>
      <c r="B735" s="63">
        <v>95.19887152577455</v>
      </c>
      <c r="C735" s="63">
        <v>92.480310890377368</v>
      </c>
      <c r="D735" s="63">
        <v>94.558630796423756</v>
      </c>
      <c r="E735" s="63">
        <v>1954697.3390290509</v>
      </c>
      <c r="F735" s="63" t="s">
        <v>789</v>
      </c>
      <c r="G735" s="25">
        <f t="shared" si="17"/>
        <v>-6.5624999999998046E-3</v>
      </c>
    </row>
    <row r="736" spans="1:7">
      <c r="A736" s="63">
        <v>94.735928229167058</v>
      </c>
      <c r="B736" s="63">
        <v>95.464817674889488</v>
      </c>
      <c r="C736" s="63">
        <v>93.051602618105761</v>
      </c>
      <c r="D736" s="63">
        <v>93.051602618105761</v>
      </c>
      <c r="E736" s="63">
        <v>1981195.1846397212</v>
      </c>
      <c r="F736" s="63" t="s">
        <v>790</v>
      </c>
      <c r="G736" s="25">
        <f t="shared" si="17"/>
        <v>1.8100984439504586E-2</v>
      </c>
    </row>
    <row r="737" spans="1:7">
      <c r="A737" s="63">
        <v>93.57364505896102</v>
      </c>
      <c r="B737" s="63">
        <v>94.100612428503581</v>
      </c>
      <c r="C737" s="63">
        <v>93.277459847705956</v>
      </c>
      <c r="D737" s="63">
        <v>93.465296627840118</v>
      </c>
      <c r="E737" s="63">
        <v>1279301.7726793806</v>
      </c>
      <c r="F737" s="63" t="s">
        <v>791</v>
      </c>
      <c r="G737" s="25">
        <f t="shared" si="17"/>
        <v>1.1592370112762929E-3</v>
      </c>
    </row>
    <row r="738" spans="1:7">
      <c r="A738" s="63">
        <v>93.839591208075959</v>
      </c>
      <c r="B738" s="63">
        <v>94.627579798046142</v>
      </c>
      <c r="C738" s="63">
        <v>93.455446770465485</v>
      </c>
      <c r="D738" s="63">
        <v>94.410882935804352</v>
      </c>
      <c r="E738" s="63">
        <v>1484731.1431809538</v>
      </c>
      <c r="F738" s="63" t="s">
        <v>792</v>
      </c>
      <c r="G738" s="25">
        <f t="shared" si="17"/>
        <v>-6.0511215440792743E-3</v>
      </c>
    </row>
    <row r="739" spans="1:7">
      <c r="A739" s="63">
        <v>94.617729940671524</v>
      </c>
      <c r="B739" s="63">
        <v>94.716228514417793</v>
      </c>
      <c r="C739" s="63">
        <v>92.667458180495288</v>
      </c>
      <c r="D739" s="63">
        <v>93.514545914713253</v>
      </c>
      <c r="E739" s="63">
        <v>1556098.6740256923</v>
      </c>
      <c r="F739" s="63" t="s">
        <v>793</v>
      </c>
      <c r="G739" s="25">
        <f t="shared" si="17"/>
        <v>1.1796924373288276E-2</v>
      </c>
    </row>
    <row r="740" spans="1:7">
      <c r="A740" s="63">
        <v>92.943254186984859</v>
      </c>
      <c r="B740" s="63">
        <v>93.012203188607259</v>
      </c>
      <c r="C740" s="63">
        <v>91.465775580790734</v>
      </c>
      <c r="D740" s="63">
        <v>92.431061603504233</v>
      </c>
      <c r="E740" s="63">
        <v>1280164.7293371994</v>
      </c>
      <c r="F740" s="63" t="s">
        <v>794</v>
      </c>
      <c r="G740" s="25">
        <f t="shared" si="17"/>
        <v>5.5413469735721144E-3</v>
      </c>
    </row>
    <row r="741" spans="1:7">
      <c r="A741" s="63">
        <v>92.194665026513164</v>
      </c>
      <c r="B741" s="63">
        <v>92.224214598637047</v>
      </c>
      <c r="C741" s="63">
        <v>90.007996689345859</v>
      </c>
      <c r="D741" s="63">
        <v>90.007996689345859</v>
      </c>
      <c r="E741" s="63">
        <v>1562864.2542229912</v>
      </c>
      <c r="F741" s="63" t="s">
        <v>795</v>
      </c>
      <c r="G741" s="25">
        <f t="shared" si="17"/>
        <v>2.4294156270518785E-2</v>
      </c>
    </row>
    <row r="742" spans="1:7">
      <c r="A742" s="63">
        <v>89.958747402472724</v>
      </c>
      <c r="B742" s="63">
        <v>90.333041982708565</v>
      </c>
      <c r="C742" s="63">
        <v>89.298806958372694</v>
      </c>
      <c r="D742" s="63">
        <v>89.633702109110033</v>
      </c>
      <c r="E742" s="63">
        <v>1354359.7122902027</v>
      </c>
      <c r="F742" s="63" t="s">
        <v>796</v>
      </c>
      <c r="G742" s="25">
        <f t="shared" si="17"/>
        <v>3.6263736263735247E-3</v>
      </c>
    </row>
    <row r="743" spans="1:7">
      <c r="A743" s="63">
        <v>89.633702109110033</v>
      </c>
      <c r="B743" s="63">
        <v>90.09664540571751</v>
      </c>
      <c r="C743" s="63">
        <v>88.500968511027864</v>
      </c>
      <c r="D743" s="63">
        <v>90.09664540571751</v>
      </c>
      <c r="E743" s="63">
        <v>2297825.1500678197</v>
      </c>
      <c r="F743" s="63" t="s">
        <v>797</v>
      </c>
      <c r="G743" s="25">
        <f t="shared" si="17"/>
        <v>-5.138296709303436E-3</v>
      </c>
    </row>
    <row r="744" spans="1:7">
      <c r="A744" s="63">
        <v>90.756585849817554</v>
      </c>
      <c r="B744" s="63">
        <v>91.810520588902691</v>
      </c>
      <c r="C744" s="63">
        <v>89.978447117221975</v>
      </c>
      <c r="D744" s="63">
        <v>90.047396118844375</v>
      </c>
      <c r="E744" s="63">
        <v>2119091.5975866518</v>
      </c>
      <c r="F744" s="63" t="s">
        <v>798</v>
      </c>
      <c r="G744" s="25">
        <f t="shared" si="17"/>
        <v>7.8757383504703959E-3</v>
      </c>
    </row>
    <row r="745" spans="1:7">
      <c r="A745" s="63">
        <v>90.224693551587663</v>
      </c>
      <c r="B745" s="63">
        <v>90.362591554832449</v>
      </c>
      <c r="C745" s="63">
        <v>88.973761665009988</v>
      </c>
      <c r="D745" s="63">
        <v>89.643551966484665</v>
      </c>
      <c r="E745" s="63">
        <v>1105750.0211176325</v>
      </c>
      <c r="F745" s="63" t="s">
        <v>799</v>
      </c>
      <c r="G745" s="25">
        <f t="shared" si="17"/>
        <v>6.4828040874627124E-3</v>
      </c>
    </row>
    <row r="746" spans="1:7">
      <c r="A746" s="63">
        <v>90.175444264714528</v>
      </c>
      <c r="B746" s="63">
        <v>90.904333710436973</v>
      </c>
      <c r="C746" s="63">
        <v>89.673101538608549</v>
      </c>
      <c r="D746" s="63">
        <v>90.667937133445903</v>
      </c>
      <c r="E746" s="63">
        <v>2707704.18145356</v>
      </c>
      <c r="F746" s="63" t="s">
        <v>800</v>
      </c>
      <c r="G746" s="25">
        <f t="shared" si="17"/>
        <v>-5.43183052688756E-3</v>
      </c>
    </row>
    <row r="747" spans="1:7">
      <c r="A747" s="63">
        <v>89.50565396323988</v>
      </c>
      <c r="B747" s="63">
        <v>89.973522188534673</v>
      </c>
      <c r="C747" s="63">
        <v>88.786614374892068</v>
      </c>
      <c r="D747" s="63">
        <v>89.15105909775329</v>
      </c>
      <c r="E747" s="63">
        <v>1765257.0325321693</v>
      </c>
      <c r="F747" s="63" t="s">
        <v>801</v>
      </c>
      <c r="G747" s="25">
        <f t="shared" si="17"/>
        <v>3.9774610540270761E-3</v>
      </c>
    </row>
    <row r="748" spans="1:7">
      <c r="A748" s="63">
        <v>89.190458527251792</v>
      </c>
      <c r="B748" s="63">
        <v>89.535203535363763</v>
      </c>
      <c r="C748" s="63">
        <v>88.363070507783078</v>
      </c>
      <c r="D748" s="63">
        <v>89.535203535363763</v>
      </c>
      <c r="E748" s="63">
        <v>1629920.0475080165</v>
      </c>
      <c r="F748" s="63" t="s">
        <v>802</v>
      </c>
      <c r="G748" s="25">
        <f t="shared" si="17"/>
        <v>-3.8503850385039895E-3</v>
      </c>
    </row>
    <row r="749" spans="1:7">
      <c r="A749" s="63">
        <v>89.485954248490614</v>
      </c>
      <c r="B749" s="63">
        <v>89.648476895171967</v>
      </c>
      <c r="C749" s="63">
        <v>88.629016656898031</v>
      </c>
      <c r="D749" s="63">
        <v>89.604152536986149</v>
      </c>
      <c r="E749" s="63">
        <v>1495363.7844484078</v>
      </c>
      <c r="F749" s="63" t="s">
        <v>803</v>
      </c>
      <c r="G749" s="25">
        <f t="shared" si="17"/>
        <v>-1.3191161921513039E-3</v>
      </c>
    </row>
    <row r="750" spans="1:7">
      <c r="A750" s="63">
        <v>89.26925738624881</v>
      </c>
      <c r="B750" s="63">
        <v>89.830699256602571</v>
      </c>
      <c r="C750" s="63">
        <v>88.343370793033827</v>
      </c>
      <c r="D750" s="63">
        <v>88.89496280601297</v>
      </c>
      <c r="E750" s="63">
        <v>1919297.8416821985</v>
      </c>
      <c r="F750" s="63" t="s">
        <v>804</v>
      </c>
      <c r="G750" s="25">
        <f t="shared" si="17"/>
        <v>4.2105263157894424E-3</v>
      </c>
    </row>
    <row r="751" spans="1:7">
      <c r="A751" s="63">
        <v>89.003311237133872</v>
      </c>
      <c r="B751" s="63">
        <v>89.33820638787121</v>
      </c>
      <c r="C751" s="63">
        <v>87.781928922680066</v>
      </c>
      <c r="D751" s="63">
        <v>88.294121506160693</v>
      </c>
      <c r="E751" s="63">
        <v>2919711.3121739659</v>
      </c>
      <c r="F751" s="63" t="s">
        <v>805</v>
      </c>
      <c r="G751" s="25">
        <f t="shared" si="17"/>
        <v>8.0321285140563248E-3</v>
      </c>
    </row>
    <row r="752" spans="1:7">
      <c r="A752" s="63">
        <v>87.909977068550219</v>
      </c>
      <c r="B752" s="63">
        <v>89.323431601809261</v>
      </c>
      <c r="C752" s="63">
        <v>86.545771822164312</v>
      </c>
      <c r="D752" s="63">
        <v>89.141209240378657</v>
      </c>
      <c r="E752" s="63">
        <v>3254509.0533569665</v>
      </c>
      <c r="F752" s="63" t="s">
        <v>806</v>
      </c>
      <c r="G752" s="25">
        <f t="shared" si="17"/>
        <v>-1.3812154696132617E-2</v>
      </c>
    </row>
    <row r="753" spans="1:7">
      <c r="A753" s="63">
        <v>89.141209240378657</v>
      </c>
      <c r="B753" s="63">
        <v>89.668176609921218</v>
      </c>
      <c r="C753" s="63">
        <v>87.845952995615136</v>
      </c>
      <c r="D753" s="63">
        <v>89.515503820614498</v>
      </c>
      <c r="E753" s="63">
        <v>2725793.7834876948</v>
      </c>
      <c r="F753" s="63" t="s">
        <v>807</v>
      </c>
      <c r="G753" s="25">
        <f t="shared" si="17"/>
        <v>-4.1813380281690016E-3</v>
      </c>
    </row>
    <row r="754" spans="1:7">
      <c r="A754" s="63">
        <v>90.608837989198136</v>
      </c>
      <c r="B754" s="63">
        <v>91.958268449522109</v>
      </c>
      <c r="C754" s="63">
        <v>90.510339415451867</v>
      </c>
      <c r="D754" s="63">
        <v>91.731721729905672</v>
      </c>
      <c r="E754" s="63">
        <v>1876830.221686247</v>
      </c>
      <c r="F754" s="63" t="s">
        <v>808</v>
      </c>
      <c r="G754" s="25">
        <f t="shared" si="17"/>
        <v>-1.2240953505852081E-2</v>
      </c>
    </row>
    <row r="755" spans="1:7">
      <c r="A755" s="63">
        <v>91.495325152914617</v>
      </c>
      <c r="B755" s="63">
        <v>93.100851904978896</v>
      </c>
      <c r="C755" s="63">
        <v>91.347577292295199</v>
      </c>
      <c r="D755" s="63">
        <v>92.184815169138545</v>
      </c>
      <c r="E755" s="63">
        <v>5039019.1565466356</v>
      </c>
      <c r="F755" s="63" t="s">
        <v>809</v>
      </c>
      <c r="G755" s="25">
        <f t="shared" si="17"/>
        <v>-7.4794315632012998E-3</v>
      </c>
    </row>
    <row r="756" spans="1:7">
      <c r="A756" s="63">
        <v>92.056767023268378</v>
      </c>
      <c r="B756" s="63">
        <v>92.342412887132582</v>
      </c>
      <c r="C756" s="63">
        <v>91.564274154537003</v>
      </c>
      <c r="D756" s="63">
        <v>92.312863315008698</v>
      </c>
      <c r="E756" s="63">
        <v>3768878.9378439095</v>
      </c>
      <c r="F756" s="63" t="s">
        <v>810</v>
      </c>
      <c r="G756" s="25">
        <f t="shared" si="17"/>
        <v>-2.7742210840803194E-3</v>
      </c>
    </row>
    <row r="757" spans="1:7">
      <c r="A757" s="63">
        <v>91.800670731528072</v>
      </c>
      <c r="B757" s="63">
        <v>93.57364505896102</v>
      </c>
      <c r="C757" s="63">
        <v>91.377126864419083</v>
      </c>
      <c r="D757" s="63">
        <v>93.110701762353528</v>
      </c>
      <c r="E757" s="63">
        <v>2612437.8274028762</v>
      </c>
      <c r="F757" s="63" t="s">
        <v>811</v>
      </c>
      <c r="G757" s="25">
        <f t="shared" si="17"/>
        <v>-1.4069607532000483E-2</v>
      </c>
    </row>
    <row r="758" spans="1:7">
      <c r="A758" s="63">
        <v>92.834905755863957</v>
      </c>
      <c r="B758" s="63">
        <v>93.898690352323726</v>
      </c>
      <c r="C758" s="63">
        <v>92.184815169138545</v>
      </c>
      <c r="D758" s="63">
        <v>92.549259891999753</v>
      </c>
      <c r="E758" s="63">
        <v>2466938.2586789988</v>
      </c>
      <c r="F758" s="63" t="s">
        <v>812</v>
      </c>
      <c r="G758" s="25">
        <f t="shared" si="17"/>
        <v>3.0864197530864335E-3</v>
      </c>
    </row>
    <row r="759" spans="1:7">
      <c r="A759" s="63">
        <v>92.342412887132582</v>
      </c>
      <c r="B759" s="63">
        <v>92.608359036247521</v>
      </c>
      <c r="C759" s="63">
        <v>91.485475295539985</v>
      </c>
      <c r="D759" s="63">
        <v>91.603673584035519</v>
      </c>
      <c r="E759" s="63">
        <v>1746903.4672850545</v>
      </c>
      <c r="F759" s="63" t="s">
        <v>813</v>
      </c>
      <c r="G759" s="25">
        <f t="shared" si="17"/>
        <v>8.0645161290322509E-3</v>
      </c>
    </row>
    <row r="760" spans="1:7">
      <c r="A760" s="63">
        <v>91.889319447899723</v>
      </c>
      <c r="B760" s="63">
        <v>92.362112601881833</v>
      </c>
      <c r="C760" s="63">
        <v>90.70684407007569</v>
      </c>
      <c r="D760" s="63">
        <v>90.914183567811591</v>
      </c>
      <c r="E760" s="63">
        <v>2568693.0315533532</v>
      </c>
      <c r="F760" s="63" t="s">
        <v>814</v>
      </c>
      <c r="G760" s="25">
        <f t="shared" si="17"/>
        <v>1.0725893824485411E-2</v>
      </c>
    </row>
    <row r="761" spans="1:7">
      <c r="A761" s="63">
        <v>90.914183567811591</v>
      </c>
      <c r="B761" s="63">
        <v>91.079464174557842</v>
      </c>
      <c r="C761" s="63">
        <v>89.6928012533578</v>
      </c>
      <c r="D761" s="63">
        <v>90.116345120466761</v>
      </c>
      <c r="E761" s="63">
        <v>3122580.2395096342</v>
      </c>
      <c r="F761" s="63" t="s">
        <v>815</v>
      </c>
      <c r="G761" s="25">
        <f t="shared" si="17"/>
        <v>8.8534266040005694E-3</v>
      </c>
    </row>
    <row r="762" spans="1:7">
      <c r="A762" s="63">
        <v>89.446554818992112</v>
      </c>
      <c r="B762" s="63">
        <v>89.515503820614498</v>
      </c>
      <c r="C762" s="63">
        <v>87.791778780054685</v>
      </c>
      <c r="D762" s="63">
        <v>88.205472789789042</v>
      </c>
      <c r="E762" s="63">
        <v>2489513.2048475379</v>
      </c>
      <c r="F762" s="63" t="s">
        <v>816</v>
      </c>
      <c r="G762" s="25">
        <f t="shared" si="17"/>
        <v>1.407035175879412E-2</v>
      </c>
    </row>
    <row r="763" spans="1:7">
      <c r="A763" s="63">
        <v>88.205472789789042</v>
      </c>
      <c r="B763" s="63">
        <v>88.54036794052638</v>
      </c>
      <c r="C763" s="63">
        <v>85.831657162503816</v>
      </c>
      <c r="D763" s="63">
        <v>85.831657162503816</v>
      </c>
      <c r="E763" s="63">
        <v>2346772.0516992998</v>
      </c>
      <c r="F763" s="63" t="s">
        <v>817</v>
      </c>
      <c r="G763" s="25">
        <f t="shared" si="17"/>
        <v>2.765664448014693E-2</v>
      </c>
    </row>
    <row r="764" spans="1:7">
      <c r="A764" s="63">
        <v>86.196101885365039</v>
      </c>
      <c r="B764" s="63">
        <v>87.476583344066611</v>
      </c>
      <c r="C764" s="63">
        <v>85.871056592002333</v>
      </c>
      <c r="D764" s="63">
        <v>86.501447463978479</v>
      </c>
      <c r="E764" s="63">
        <v>1846762.7812415878</v>
      </c>
      <c r="F764" s="63" t="s">
        <v>818</v>
      </c>
      <c r="G764" s="25">
        <f t="shared" ref="G764:G827" si="18">A764/D764-1</f>
        <v>-3.5299476201319235E-3</v>
      </c>
    </row>
    <row r="765" spans="1:7">
      <c r="A765" s="63">
        <v>86.225651457488922</v>
      </c>
      <c r="B765" s="63">
        <v>87.712979921057666</v>
      </c>
      <c r="C765" s="63">
        <v>85.95970530837397</v>
      </c>
      <c r="D765" s="63">
        <v>87.328835483447193</v>
      </c>
      <c r="E765" s="63">
        <v>3274739.8031456186</v>
      </c>
      <c r="F765" s="63" t="s">
        <v>819</v>
      </c>
      <c r="G765" s="25">
        <f t="shared" si="18"/>
        <v>-1.2632528761560957E-2</v>
      </c>
    </row>
    <row r="766" spans="1:7">
      <c r="A766" s="63">
        <v>87.545532345688997</v>
      </c>
      <c r="B766" s="63">
        <v>87.823298323653503</v>
      </c>
      <c r="C766" s="63">
        <v>83.516940679466373</v>
      </c>
      <c r="D766" s="63">
        <v>83.600664467150693</v>
      </c>
      <c r="E766" s="63">
        <v>3702510.4641557592</v>
      </c>
      <c r="F766" s="63" t="s">
        <v>820</v>
      </c>
      <c r="G766" s="25">
        <f t="shared" si="18"/>
        <v>4.7187039764359451E-2</v>
      </c>
    </row>
    <row r="767" spans="1:7">
      <c r="A767" s="63">
        <v>82.758501661620045</v>
      </c>
      <c r="B767" s="63">
        <v>83.280544102475304</v>
      </c>
      <c r="C767" s="63">
        <v>81.212074053803534</v>
      </c>
      <c r="D767" s="63">
        <v>82.275858650263302</v>
      </c>
      <c r="E767" s="63">
        <v>5294206.6079380382</v>
      </c>
      <c r="F767" s="63" t="s">
        <v>821</v>
      </c>
      <c r="G767" s="25">
        <f t="shared" si="18"/>
        <v>5.8661558721417872E-3</v>
      </c>
    </row>
    <row r="768" spans="1:7">
      <c r="A768" s="63">
        <v>82.443306225631972</v>
      </c>
      <c r="B768" s="63">
        <v>83.768112042519363</v>
      </c>
      <c r="C768" s="63">
        <v>81.886789283965527</v>
      </c>
      <c r="D768" s="63">
        <v>82.600903943626008</v>
      </c>
      <c r="E768" s="63">
        <v>2231718.6091063954</v>
      </c>
      <c r="F768" s="63" t="s">
        <v>822</v>
      </c>
      <c r="G768" s="25">
        <f t="shared" si="18"/>
        <v>-1.9079418077748711E-3</v>
      </c>
    </row>
    <row r="769" spans="1:7">
      <c r="A769" s="63">
        <v>82.591054086251376</v>
      </c>
      <c r="B769" s="63">
        <v>82.689552659997659</v>
      </c>
      <c r="C769" s="63">
        <v>81.074176050558748</v>
      </c>
      <c r="D769" s="63">
        <v>81.704566922534909</v>
      </c>
      <c r="E769" s="63">
        <v>2301640.4337385055</v>
      </c>
      <c r="F769" s="63" t="s">
        <v>823</v>
      </c>
      <c r="G769" s="25">
        <f t="shared" si="18"/>
        <v>1.0849909584086825E-2</v>
      </c>
    </row>
    <row r="770" spans="1:7">
      <c r="A770" s="63">
        <v>81.507569775042356</v>
      </c>
      <c r="B770" s="63">
        <v>81.950813356900596</v>
      </c>
      <c r="C770" s="63">
        <v>80.670331898199024</v>
      </c>
      <c r="D770" s="63">
        <v>81.950813356900596</v>
      </c>
      <c r="E770" s="63">
        <v>1891522.8202179566</v>
      </c>
      <c r="F770" s="63" t="s">
        <v>824</v>
      </c>
      <c r="G770" s="25">
        <f t="shared" si="18"/>
        <v>-5.4086538461538547E-3</v>
      </c>
    </row>
    <row r="771" spans="1:7">
      <c r="A771" s="63">
        <v>82.059161788021498</v>
      </c>
      <c r="B771" s="63">
        <v>83.103246669732016</v>
      </c>
      <c r="C771" s="63">
        <v>81.310572627549803</v>
      </c>
      <c r="D771" s="63">
        <v>82.77820137636931</v>
      </c>
      <c r="E771" s="63">
        <v>2467388.0113841915</v>
      </c>
      <c r="F771" s="63" t="s">
        <v>825</v>
      </c>
      <c r="G771" s="25">
        <f t="shared" si="18"/>
        <v>-8.6863398381723522E-3</v>
      </c>
    </row>
    <row r="772" spans="1:7">
      <c r="A772" s="63">
        <v>82.77820137636931</v>
      </c>
      <c r="B772" s="63">
        <v>83.290393959849936</v>
      </c>
      <c r="C772" s="63">
        <v>81.916338856089411</v>
      </c>
      <c r="D772" s="63">
        <v>82.108411074894633</v>
      </c>
      <c r="E772" s="63">
        <v>2266203.3723959597</v>
      </c>
      <c r="F772" s="63" t="s">
        <v>826</v>
      </c>
      <c r="G772" s="25">
        <f t="shared" si="18"/>
        <v>8.1573896353168696E-3</v>
      </c>
    </row>
    <row r="773" spans="1:7">
      <c r="A773" s="63">
        <v>82.275858650263302</v>
      </c>
      <c r="B773" s="63">
        <v>82.699402517372278</v>
      </c>
      <c r="C773" s="63">
        <v>81.074176050558748</v>
      </c>
      <c r="D773" s="63">
        <v>81.487870060293105</v>
      </c>
      <c r="E773" s="63">
        <v>1937402.6723632361</v>
      </c>
      <c r="F773" s="63" t="s">
        <v>827</v>
      </c>
      <c r="G773" s="25">
        <f t="shared" si="18"/>
        <v>9.6700108787621808E-3</v>
      </c>
    </row>
    <row r="774" spans="1:7">
      <c r="A774" s="63">
        <v>81.064326193184115</v>
      </c>
      <c r="B774" s="63">
        <v>81.985287857711796</v>
      </c>
      <c r="C774" s="63">
        <v>80.305887175337801</v>
      </c>
      <c r="D774" s="63">
        <v>80.502884322830354</v>
      </c>
      <c r="E774" s="63">
        <v>2482093.8080765503</v>
      </c>
      <c r="F774" s="63" t="s">
        <v>828</v>
      </c>
      <c r="G774" s="25">
        <f t="shared" si="18"/>
        <v>6.9741832864309572E-3</v>
      </c>
    </row>
    <row r="775" spans="1:7">
      <c r="A775" s="63">
        <v>80.177839029467648</v>
      </c>
      <c r="B775" s="63">
        <v>80.246788031090034</v>
      </c>
      <c r="C775" s="63">
        <v>78.366942751142389</v>
      </c>
      <c r="D775" s="63">
        <v>79.064805146134745</v>
      </c>
      <c r="E775" s="63">
        <v>2892771.8358031176</v>
      </c>
      <c r="F775" s="63" t="s">
        <v>829</v>
      </c>
      <c r="G775" s="25">
        <f t="shared" si="18"/>
        <v>1.4077488476392119E-2</v>
      </c>
    </row>
    <row r="776" spans="1:7">
      <c r="A776" s="63">
        <v>79.18300343463028</v>
      </c>
      <c r="B776" s="63">
        <v>79.419400011621335</v>
      </c>
      <c r="C776" s="63">
        <v>77.528227395692852</v>
      </c>
      <c r="D776" s="63">
        <v>77.902521975928707</v>
      </c>
      <c r="E776" s="63">
        <v>2364961.1475598658</v>
      </c>
      <c r="F776" s="63" t="s">
        <v>830</v>
      </c>
      <c r="G776" s="25">
        <f t="shared" si="18"/>
        <v>1.6436970539891238E-2</v>
      </c>
    </row>
    <row r="777" spans="1:7">
      <c r="A777" s="63">
        <v>77.813873259557056</v>
      </c>
      <c r="B777" s="63">
        <v>78.986006287137727</v>
      </c>
      <c r="C777" s="63">
        <v>77.153932815457011</v>
      </c>
      <c r="D777" s="63">
        <v>78.986006287137727</v>
      </c>
      <c r="E777" s="63">
        <v>3765669.7543199509</v>
      </c>
      <c r="F777" s="63" t="s">
        <v>831</v>
      </c>
      <c r="G777" s="25">
        <f t="shared" si="18"/>
        <v>-1.4839755580496328E-2</v>
      </c>
    </row>
    <row r="778" spans="1:7">
      <c r="A778" s="63">
        <v>79.064805146134745</v>
      </c>
      <c r="B778" s="63">
        <v>79.872493450854208</v>
      </c>
      <c r="C778" s="63">
        <v>77.991170692300358</v>
      </c>
      <c r="D778" s="63">
        <v>79.419400011621335</v>
      </c>
      <c r="E778" s="63">
        <v>2079505.237584688</v>
      </c>
      <c r="F778" s="63" t="s">
        <v>832</v>
      </c>
      <c r="G778" s="25">
        <f t="shared" si="18"/>
        <v>-4.4648393898052419E-3</v>
      </c>
    </row>
    <row r="779" spans="1:7">
      <c r="A779" s="63">
        <v>78.651111136400388</v>
      </c>
      <c r="B779" s="63">
        <v>79.18300343463028</v>
      </c>
      <c r="C779" s="63">
        <v>77.67597525631227</v>
      </c>
      <c r="D779" s="63">
        <v>78.257116841415296</v>
      </c>
      <c r="E779" s="63">
        <v>2021395.7667334264</v>
      </c>
      <c r="F779" s="63" t="s">
        <v>833</v>
      </c>
      <c r="G779" s="25">
        <f t="shared" si="18"/>
        <v>5.0346129641283266E-3</v>
      </c>
    </row>
    <row r="780" spans="1:7">
      <c r="A780" s="63">
        <v>77.932071548052591</v>
      </c>
      <c r="B780" s="63">
        <v>78.355615415161566</v>
      </c>
      <c r="C780" s="63">
        <v>77.06528409908536</v>
      </c>
      <c r="D780" s="63">
        <v>77.400179249822699</v>
      </c>
      <c r="E780" s="63">
        <v>2535493.566062375</v>
      </c>
      <c r="F780" s="63" t="s">
        <v>834</v>
      </c>
      <c r="G780" s="25">
        <f t="shared" si="18"/>
        <v>6.8719776024435131E-3</v>
      </c>
    </row>
    <row r="781" spans="1:7">
      <c r="A781" s="63">
        <v>77.984275792138092</v>
      </c>
      <c r="B781" s="63">
        <v>78.636966540382659</v>
      </c>
      <c r="C781" s="63">
        <v>77.28741800077924</v>
      </c>
      <c r="D781" s="63">
        <v>78.37196428169689</v>
      </c>
      <c r="E781" s="63">
        <v>1660151.6612795417</v>
      </c>
      <c r="F781" s="63" t="s">
        <v>835</v>
      </c>
      <c r="G781" s="25">
        <f t="shared" si="18"/>
        <v>-4.9467752035065038E-3</v>
      </c>
    </row>
    <row r="782" spans="1:7">
      <c r="A782" s="63">
        <v>77.488623419411027</v>
      </c>
      <c r="B782" s="63">
        <v>77.635846896458659</v>
      </c>
      <c r="C782" s="63">
        <v>76.369724993848905</v>
      </c>
      <c r="D782" s="63">
        <v>76.536578267836248</v>
      </c>
      <c r="E782" s="63">
        <v>3217918.1574870632</v>
      </c>
      <c r="F782" s="63" t="s">
        <v>836</v>
      </c>
      <c r="G782" s="25">
        <f t="shared" si="18"/>
        <v>1.2439086945370548E-2</v>
      </c>
    </row>
    <row r="783" spans="1:7">
      <c r="A783" s="63">
        <v>77.253065856134782</v>
      </c>
      <c r="B783" s="63">
        <v>78.37196428169689</v>
      </c>
      <c r="C783" s="63">
        <v>76.634727252534674</v>
      </c>
      <c r="D783" s="63">
        <v>78.264000398528609</v>
      </c>
      <c r="E783" s="63">
        <v>2404622.9385373727</v>
      </c>
      <c r="F783" s="63" t="s">
        <v>837</v>
      </c>
      <c r="G783" s="25">
        <f t="shared" si="18"/>
        <v>-1.2916980185603055E-2</v>
      </c>
    </row>
    <row r="784" spans="1:7">
      <c r="A784" s="63">
        <v>78.018627936782536</v>
      </c>
      <c r="B784" s="63">
        <v>78.960858189887475</v>
      </c>
      <c r="C784" s="63">
        <v>76.83102522193154</v>
      </c>
      <c r="D784" s="63">
        <v>77.655476693398356</v>
      </c>
      <c r="E784" s="63">
        <v>2403794.6059748936</v>
      </c>
      <c r="F784" s="63" t="s">
        <v>838</v>
      </c>
      <c r="G784" s="25">
        <f t="shared" si="18"/>
        <v>4.6764408493427112E-3</v>
      </c>
    </row>
    <row r="785" spans="1:7">
      <c r="A785" s="63">
        <v>77.135287074496674</v>
      </c>
      <c r="B785" s="63">
        <v>78.882339002128731</v>
      </c>
      <c r="C785" s="63">
        <v>73.523404437594408</v>
      </c>
      <c r="D785" s="63">
        <v>75.555088420851931</v>
      </c>
      <c r="E785" s="63">
        <v>3902692.4341289145</v>
      </c>
      <c r="F785" s="63" t="s">
        <v>839</v>
      </c>
      <c r="G785" s="25">
        <f t="shared" si="18"/>
        <v>2.0914523252792971E-2</v>
      </c>
    </row>
    <row r="786" spans="1:7">
      <c r="A786" s="63">
        <v>75.09378819276931</v>
      </c>
      <c r="B786" s="63">
        <v>76.163612125982198</v>
      </c>
      <c r="C786" s="63">
        <v>74.74045184785497</v>
      </c>
      <c r="D786" s="63">
        <v>75.771016187188479</v>
      </c>
      <c r="E786" s="63">
        <v>1637341.4406045254</v>
      </c>
      <c r="F786" s="63" t="s">
        <v>840</v>
      </c>
      <c r="G786" s="25">
        <f t="shared" si="18"/>
        <v>-8.9378238341968341E-3</v>
      </c>
    </row>
    <row r="787" spans="1:7">
      <c r="A787" s="63">
        <v>75.36860534992492</v>
      </c>
      <c r="B787" s="63">
        <v>75.967314156585346</v>
      </c>
      <c r="C787" s="63">
        <v>74.544153878458104</v>
      </c>
      <c r="D787" s="63">
        <v>75.309715959105858</v>
      </c>
      <c r="E787" s="63">
        <v>2602363.1399223628</v>
      </c>
      <c r="F787" s="63" t="s">
        <v>841</v>
      </c>
      <c r="G787" s="25">
        <f t="shared" si="18"/>
        <v>7.8196272644337483E-4</v>
      </c>
    </row>
    <row r="788" spans="1:7">
      <c r="A788" s="63">
        <v>75.623792710140833</v>
      </c>
      <c r="B788" s="63">
        <v>76.212686618331418</v>
      </c>
      <c r="C788" s="63">
        <v>75.339160654515396</v>
      </c>
      <c r="D788" s="63">
        <v>76.085092938223454</v>
      </c>
      <c r="E788" s="63">
        <v>1822075.903785273</v>
      </c>
      <c r="F788" s="63" t="s">
        <v>842</v>
      </c>
      <c r="G788" s="25">
        <f t="shared" si="18"/>
        <v>-6.0629514963880249E-3</v>
      </c>
    </row>
    <row r="789" spans="1:7">
      <c r="A789" s="63">
        <v>75.967314156585346</v>
      </c>
      <c r="B789" s="63">
        <v>76.036018445874248</v>
      </c>
      <c r="C789" s="63">
        <v>74.887675324902602</v>
      </c>
      <c r="D789" s="63">
        <v>75.476569233093201</v>
      </c>
      <c r="E789" s="63">
        <v>2275745.3954953789</v>
      </c>
      <c r="F789" s="63" t="s">
        <v>843</v>
      </c>
      <c r="G789" s="25">
        <f t="shared" si="18"/>
        <v>6.5019505851753312E-3</v>
      </c>
    </row>
    <row r="790" spans="1:7">
      <c r="A790" s="63">
        <v>75.329345756045541</v>
      </c>
      <c r="B790" s="63">
        <v>75.810275781067844</v>
      </c>
      <c r="C790" s="63">
        <v>74.573598573867628</v>
      </c>
      <c r="D790" s="63">
        <v>74.858230629493065</v>
      </c>
      <c r="E790" s="63">
        <v>1900916.250669918</v>
      </c>
      <c r="F790" s="63" t="s">
        <v>844</v>
      </c>
      <c r="G790" s="25">
        <f t="shared" si="18"/>
        <v>6.2934312311526686E-3</v>
      </c>
    </row>
    <row r="791" spans="1:7">
      <c r="A791" s="63">
        <v>74.455819792229505</v>
      </c>
      <c r="B791" s="63">
        <v>75.545273522382089</v>
      </c>
      <c r="C791" s="63">
        <v>74.063223853435787</v>
      </c>
      <c r="D791" s="63">
        <v>75.09378819276931</v>
      </c>
      <c r="E791" s="63">
        <v>3159115.7152841915</v>
      </c>
      <c r="F791" s="63" t="s">
        <v>845</v>
      </c>
      <c r="G791" s="25">
        <f t="shared" si="18"/>
        <v>-8.4956214873873614E-3</v>
      </c>
    </row>
    <row r="792" spans="1:7">
      <c r="A792" s="63">
        <v>75.506013928502725</v>
      </c>
      <c r="B792" s="63">
        <v>75.712126796369418</v>
      </c>
      <c r="C792" s="63">
        <v>74.436189995289823</v>
      </c>
      <c r="D792" s="63">
        <v>75.221381872877274</v>
      </c>
      <c r="E792" s="63">
        <v>1755081.8332892475</v>
      </c>
      <c r="F792" s="63" t="s">
        <v>846</v>
      </c>
      <c r="G792" s="25">
        <f t="shared" si="18"/>
        <v>3.7839248434239359E-3</v>
      </c>
    </row>
    <row r="793" spans="1:7">
      <c r="A793" s="63">
        <v>75.859350273417078</v>
      </c>
      <c r="B793" s="63">
        <v>75.903517316531349</v>
      </c>
      <c r="C793" s="63">
        <v>74.200632432013577</v>
      </c>
      <c r="D793" s="63">
        <v>75.015269005010566</v>
      </c>
      <c r="E793" s="63">
        <v>1115154.6838339332</v>
      </c>
      <c r="F793" s="63" t="s">
        <v>847</v>
      </c>
      <c r="G793" s="25">
        <f t="shared" si="18"/>
        <v>1.1252126128483697E-2</v>
      </c>
    </row>
    <row r="794" spans="1:7">
      <c r="A794" s="63">
        <v>75.133047786648675</v>
      </c>
      <c r="B794" s="63">
        <v>75.540366073147169</v>
      </c>
      <c r="C794" s="63">
        <v>74.553968776927931</v>
      </c>
      <c r="D794" s="63">
        <v>75.398050045334443</v>
      </c>
      <c r="E794" s="63">
        <v>1201182.0638006565</v>
      </c>
      <c r="F794" s="63" t="s">
        <v>848</v>
      </c>
      <c r="G794" s="25">
        <f t="shared" si="18"/>
        <v>-3.5147097110128644E-3</v>
      </c>
    </row>
    <row r="795" spans="1:7">
      <c r="A795" s="63">
        <v>75.054528598889931</v>
      </c>
      <c r="B795" s="63">
        <v>75.152579434603666</v>
      </c>
      <c r="C795" s="63">
        <v>73.307476671257874</v>
      </c>
      <c r="D795" s="63">
        <v>73.35655116360708</v>
      </c>
      <c r="E795" s="63">
        <v>1963224.5875191507</v>
      </c>
      <c r="F795" s="63" t="s">
        <v>849</v>
      </c>
      <c r="G795" s="25">
        <f t="shared" si="18"/>
        <v>2.3146909285523209E-2</v>
      </c>
    </row>
    <row r="796" spans="1:7">
      <c r="A796" s="63">
        <v>73.366366062076935</v>
      </c>
      <c r="B796" s="63">
        <v>74.00433446261674</v>
      </c>
      <c r="C796" s="63">
        <v>73.123938069871812</v>
      </c>
      <c r="D796" s="63">
        <v>73.582293828413469</v>
      </c>
      <c r="E796" s="63">
        <v>1058891.238858243</v>
      </c>
      <c r="F796" s="63" t="s">
        <v>850</v>
      </c>
      <c r="G796" s="25">
        <f t="shared" si="18"/>
        <v>-2.9345071361875918E-3</v>
      </c>
    </row>
    <row r="797" spans="1:7">
      <c r="A797" s="63">
        <v>73.101363803391166</v>
      </c>
      <c r="B797" s="63">
        <v>74.544153878458104</v>
      </c>
      <c r="C797" s="63">
        <v>72.797101950826033</v>
      </c>
      <c r="D797" s="63">
        <v>73.945445071797678</v>
      </c>
      <c r="E797" s="63">
        <v>1258543.8390375429</v>
      </c>
      <c r="F797" s="63" t="s">
        <v>851</v>
      </c>
      <c r="G797" s="25">
        <f t="shared" si="18"/>
        <v>-1.1414919033713944E-2</v>
      </c>
    </row>
    <row r="798" spans="1:7">
      <c r="A798" s="63">
        <v>73.650998117702386</v>
      </c>
      <c r="B798" s="63">
        <v>75.402957494569364</v>
      </c>
      <c r="C798" s="63">
        <v>73.278031975848336</v>
      </c>
      <c r="D798" s="63">
        <v>75.162492482058212</v>
      </c>
      <c r="E798" s="63">
        <v>1113881.1097833805</v>
      </c>
      <c r="F798" s="63" t="s">
        <v>852</v>
      </c>
      <c r="G798" s="25">
        <f t="shared" si="18"/>
        <v>-2.0109689213893889E-2</v>
      </c>
    </row>
    <row r="799" spans="1:7">
      <c r="A799" s="63">
        <v>75.015269005010566</v>
      </c>
      <c r="B799" s="63">
        <v>75.216474423642353</v>
      </c>
      <c r="C799" s="63">
        <v>74.102483447315166</v>
      </c>
      <c r="D799" s="63">
        <v>74.907305121842285</v>
      </c>
      <c r="E799" s="63">
        <v>1353502.5391059811</v>
      </c>
      <c r="F799" s="63" t="s">
        <v>853</v>
      </c>
      <c r="G799" s="25">
        <f t="shared" si="18"/>
        <v>1.441299790356565E-3</v>
      </c>
    </row>
    <row r="800" spans="1:7">
      <c r="A800" s="63">
        <v>75.712126796369418</v>
      </c>
      <c r="B800" s="63">
        <v>76.153797227512371</v>
      </c>
      <c r="C800" s="63">
        <v>74.760081644794653</v>
      </c>
      <c r="D800" s="63">
        <v>75.27045636522648</v>
      </c>
      <c r="E800" s="63">
        <v>1349681.8169543233</v>
      </c>
      <c r="F800" s="63" t="s">
        <v>854</v>
      </c>
      <c r="G800" s="25">
        <f t="shared" si="18"/>
        <v>5.8677793714956294E-3</v>
      </c>
    </row>
    <row r="801" spans="1:7">
      <c r="A801" s="63">
        <v>75.388235146864602</v>
      </c>
      <c r="B801" s="63">
        <v>76.50713357242671</v>
      </c>
      <c r="C801" s="63">
        <v>75.241011669816956</v>
      </c>
      <c r="D801" s="63">
        <v>76.487503775487028</v>
      </c>
      <c r="E801" s="63">
        <v>1193223.7542735636</v>
      </c>
      <c r="F801" s="63" t="s">
        <v>855</v>
      </c>
      <c r="G801" s="25">
        <f t="shared" si="18"/>
        <v>-1.437187219299374E-2</v>
      </c>
    </row>
    <row r="802" spans="1:7">
      <c r="A802" s="63">
        <v>75.986943953525028</v>
      </c>
      <c r="B802" s="63">
        <v>76.369724993848905</v>
      </c>
      <c r="C802" s="63">
        <v>75.746478941013876</v>
      </c>
      <c r="D802" s="63">
        <v>76.320650501499699</v>
      </c>
      <c r="E802" s="63">
        <v>1397394.9951842239</v>
      </c>
      <c r="F802" s="63" t="s">
        <v>856</v>
      </c>
      <c r="G802" s="25">
        <f t="shared" si="18"/>
        <v>-4.3724279835392066E-3</v>
      </c>
    </row>
    <row r="803" spans="1:7">
      <c r="A803" s="63">
        <v>75.898609867296443</v>
      </c>
      <c r="B803" s="63">
        <v>75.937869461175822</v>
      </c>
      <c r="C803" s="63">
        <v>74.45591794121421</v>
      </c>
      <c r="D803" s="63">
        <v>75.113417989708992</v>
      </c>
      <c r="E803" s="63">
        <v>1513469.5530108232</v>
      </c>
      <c r="F803" s="63" t="s">
        <v>857</v>
      </c>
      <c r="G803" s="25">
        <f t="shared" si="18"/>
        <v>1.0453416960669148E-2</v>
      </c>
    </row>
    <row r="804" spans="1:7">
      <c r="A804" s="63">
        <v>75.535458623912234</v>
      </c>
      <c r="B804" s="63">
        <v>75.555088420851931</v>
      </c>
      <c r="C804" s="63">
        <v>74.750266746324797</v>
      </c>
      <c r="D804" s="63">
        <v>75.191937177467736</v>
      </c>
      <c r="E804" s="63">
        <v>1246059.7567644066</v>
      </c>
      <c r="F804" s="63" t="s">
        <v>858</v>
      </c>
      <c r="G804" s="25">
        <f t="shared" si="18"/>
        <v>4.5685941783055739E-3</v>
      </c>
    </row>
    <row r="805" spans="1:7">
      <c r="A805" s="63">
        <v>75.083973294299469</v>
      </c>
      <c r="B805" s="63">
        <v>75.692496999429736</v>
      </c>
      <c r="C805" s="63">
        <v>74.279151619772335</v>
      </c>
      <c r="D805" s="63">
        <v>74.475449589169187</v>
      </c>
      <c r="E805" s="63">
        <v>1227537.914632411</v>
      </c>
      <c r="F805" s="63" t="s">
        <v>859</v>
      </c>
      <c r="G805" s="25">
        <f t="shared" si="18"/>
        <v>8.170795993674318E-3</v>
      </c>
    </row>
    <row r="806" spans="1:7">
      <c r="A806" s="63">
        <v>74.612858167746992</v>
      </c>
      <c r="B806" s="63">
        <v>75.545273522382089</v>
      </c>
      <c r="C806" s="63">
        <v>73.72951730546113</v>
      </c>
      <c r="D806" s="63">
        <v>75.250826568286797</v>
      </c>
      <c r="E806" s="63">
        <v>1340992.9853518337</v>
      </c>
      <c r="F806" s="63" t="s">
        <v>860</v>
      </c>
      <c r="G806" s="25">
        <f t="shared" si="18"/>
        <v>-8.4778922655537325E-3</v>
      </c>
    </row>
    <row r="807" spans="1:7">
      <c r="A807" s="63">
        <v>75.201752075937591</v>
      </c>
      <c r="B807" s="63">
        <v>77.096027480617295</v>
      </c>
      <c r="C807" s="63">
        <v>75.064343497359786</v>
      </c>
      <c r="D807" s="63">
        <v>76.55620806477593</v>
      </c>
      <c r="E807" s="63">
        <v>1930663.8839131042</v>
      </c>
      <c r="F807" s="63" t="s">
        <v>861</v>
      </c>
      <c r="G807" s="25">
        <f t="shared" si="18"/>
        <v>-1.7692307692307674E-2</v>
      </c>
    </row>
    <row r="808" spans="1:7">
      <c r="A808" s="63">
        <v>77.046952988268075</v>
      </c>
      <c r="B808" s="63">
        <v>77.145101972966501</v>
      </c>
      <c r="C808" s="63">
        <v>75.309715959105858</v>
      </c>
      <c r="D808" s="63">
        <v>75.398050045334443</v>
      </c>
      <c r="E808" s="63">
        <v>3040696.7623453354</v>
      </c>
      <c r="F808" s="63" t="s">
        <v>862</v>
      </c>
      <c r="G808" s="25">
        <f t="shared" si="18"/>
        <v>2.1869304868523676E-2</v>
      </c>
    </row>
    <row r="809" spans="1:7">
      <c r="A809" s="63">
        <v>75.398050045334443</v>
      </c>
      <c r="B809" s="63">
        <v>76.00657375046471</v>
      </c>
      <c r="C809" s="63">
        <v>74.59322837080731</v>
      </c>
      <c r="D809" s="63">
        <v>75.27045636522648</v>
      </c>
      <c r="E809" s="63">
        <v>1770588.8709287753</v>
      </c>
      <c r="F809" s="63" t="s">
        <v>863</v>
      </c>
      <c r="G809" s="25">
        <f t="shared" si="18"/>
        <v>1.6951362628765398E-3</v>
      </c>
    </row>
    <row r="810" spans="1:7">
      <c r="A810" s="63">
        <v>74.475449589169187</v>
      </c>
      <c r="B810" s="63">
        <v>75.14286268511853</v>
      </c>
      <c r="C810" s="63">
        <v>74.028871708791328</v>
      </c>
      <c r="D810" s="63">
        <v>74.877860426432761</v>
      </c>
      <c r="E810" s="63">
        <v>2342905.5400475967</v>
      </c>
      <c r="F810" s="63" t="s">
        <v>864</v>
      </c>
      <c r="G810" s="25">
        <f t="shared" si="18"/>
        <v>-5.3742299121772863E-3</v>
      </c>
    </row>
    <row r="811" spans="1:7">
      <c r="A811" s="63">
        <v>74.112298345785007</v>
      </c>
      <c r="B811" s="63">
        <v>75.388235146864602</v>
      </c>
      <c r="C811" s="63">
        <v>73.467950261239807</v>
      </c>
      <c r="D811" s="63">
        <v>73.680442813111895</v>
      </c>
      <c r="E811" s="63">
        <v>1785434.668921256</v>
      </c>
      <c r="F811" s="63" t="s">
        <v>865</v>
      </c>
      <c r="G811" s="25">
        <f t="shared" si="18"/>
        <v>5.8611962168644283E-3</v>
      </c>
    </row>
    <row r="812" spans="1:7">
      <c r="A812" s="63">
        <v>73.876740782508762</v>
      </c>
      <c r="B812" s="63">
        <v>74.028871708791328</v>
      </c>
      <c r="C812" s="63">
        <v>72.080614362527484</v>
      </c>
      <c r="D812" s="63">
        <v>72.080614362527484</v>
      </c>
      <c r="E812" s="63">
        <v>3286303.9897055328</v>
      </c>
      <c r="F812" s="63" t="s">
        <v>866</v>
      </c>
      <c r="G812" s="25">
        <f t="shared" si="18"/>
        <v>2.4918300653594683E-2</v>
      </c>
    </row>
    <row r="813" spans="1:7">
      <c r="A813" s="63">
        <v>72.080614362527484</v>
      </c>
      <c r="B813" s="63">
        <v>72.159133550286228</v>
      </c>
      <c r="C813" s="63">
        <v>69.842817511403268</v>
      </c>
      <c r="D813" s="63">
        <v>71.216903297181304</v>
      </c>
      <c r="E813" s="63">
        <v>2829550.4110746086</v>
      </c>
      <c r="F813" s="63" t="s">
        <v>867</v>
      </c>
      <c r="G813" s="25">
        <f t="shared" si="18"/>
        <v>1.2127894156559904E-2</v>
      </c>
    </row>
    <row r="814" spans="1:7">
      <c r="A814" s="63">
        <v>72.041354768648119</v>
      </c>
      <c r="B814" s="63">
        <v>73.739332203930957</v>
      </c>
      <c r="C814" s="63">
        <v>71.423016165047997</v>
      </c>
      <c r="D814" s="63">
        <v>73.287846874318191</v>
      </c>
      <c r="E814" s="63">
        <v>1686600.2283021766</v>
      </c>
      <c r="F814" s="63" t="s">
        <v>868</v>
      </c>
      <c r="G814" s="25">
        <f t="shared" si="18"/>
        <v>-1.7008169278157292E-2</v>
      </c>
    </row>
    <row r="815" spans="1:7">
      <c r="A815" s="63">
        <v>73.042474412572105</v>
      </c>
      <c r="B815" s="63">
        <v>74.917120020312126</v>
      </c>
      <c r="C815" s="63">
        <v>73.022844615632422</v>
      </c>
      <c r="D815" s="63">
        <v>74.858230629493065</v>
      </c>
      <c r="E815" s="63">
        <v>1898514.7994401962</v>
      </c>
      <c r="F815" s="63" t="s">
        <v>869</v>
      </c>
      <c r="G815" s="25">
        <f t="shared" si="18"/>
        <v>-2.4255932870066776E-2</v>
      </c>
    </row>
    <row r="816" spans="1:7">
      <c r="A816" s="63">
        <v>75.103603091239151</v>
      </c>
      <c r="B816" s="63">
        <v>76.664171947944197</v>
      </c>
      <c r="C816" s="63">
        <v>74.563783675397787</v>
      </c>
      <c r="D816" s="63">
        <v>76.143982329042515</v>
      </c>
      <c r="E816" s="63">
        <v>2084231.44292873</v>
      </c>
      <c r="F816" s="63" t="s">
        <v>870</v>
      </c>
      <c r="G816" s="25">
        <f t="shared" si="18"/>
        <v>-1.3663315287445243E-2</v>
      </c>
    </row>
    <row r="817" spans="1:7">
      <c r="A817" s="63">
        <v>75.574718217791613</v>
      </c>
      <c r="B817" s="63">
        <v>76.978248698979186</v>
      </c>
      <c r="C817" s="63">
        <v>75.486384131563028</v>
      </c>
      <c r="D817" s="63">
        <v>75.633607608610674</v>
      </c>
      <c r="E817" s="63">
        <v>1660243.3586111814</v>
      </c>
      <c r="F817" s="63" t="s">
        <v>871</v>
      </c>
      <c r="G817" s="25">
        <f t="shared" si="18"/>
        <v>-7.7861406696089208E-4</v>
      </c>
    </row>
    <row r="818" spans="1:7">
      <c r="A818" s="63">
        <v>75.348975552985223</v>
      </c>
      <c r="B818" s="63">
        <v>77.007693394388696</v>
      </c>
      <c r="C818" s="63">
        <v>74.578506023102548</v>
      </c>
      <c r="D818" s="63">
        <v>76.28139090762032</v>
      </c>
      <c r="E818" s="63">
        <v>3970096.0860395976</v>
      </c>
      <c r="F818" s="63" t="s">
        <v>872</v>
      </c>
      <c r="G818" s="25">
        <f t="shared" si="18"/>
        <v>-1.2223365928975882E-2</v>
      </c>
    </row>
    <row r="819" spans="1:7">
      <c r="A819" s="63">
        <v>76.978248698979186</v>
      </c>
      <c r="B819" s="63">
        <v>77.576957505639612</v>
      </c>
      <c r="C819" s="63">
        <v>74.622673066216848</v>
      </c>
      <c r="D819" s="63">
        <v>75.201752075937591</v>
      </c>
      <c r="E819" s="63">
        <v>2003539.8288042017</v>
      </c>
      <c r="F819" s="63" t="s">
        <v>873</v>
      </c>
      <c r="G819" s="25">
        <f t="shared" si="18"/>
        <v>2.3623074915165798E-2</v>
      </c>
    </row>
    <row r="820" spans="1:7">
      <c r="A820" s="63">
        <v>75.898609867296443</v>
      </c>
      <c r="B820" s="63">
        <v>76.438429283137808</v>
      </c>
      <c r="C820" s="63">
        <v>74.936749817251808</v>
      </c>
      <c r="D820" s="63">
        <v>75.859350273417078</v>
      </c>
      <c r="E820" s="63">
        <v>1993897.3449526583</v>
      </c>
      <c r="F820" s="63" t="s">
        <v>874</v>
      </c>
      <c r="G820" s="25">
        <f t="shared" si="18"/>
        <v>5.1753137533960825E-4</v>
      </c>
    </row>
    <row r="821" spans="1:7">
      <c r="A821" s="63">
        <v>76.487503775487028</v>
      </c>
      <c r="B821" s="63">
        <v>77.635846896458659</v>
      </c>
      <c r="C821" s="63">
        <v>75.741571491778956</v>
      </c>
      <c r="D821" s="63">
        <v>76.065463141283772</v>
      </c>
      <c r="E821" s="63">
        <v>2183215.6558561544</v>
      </c>
      <c r="F821" s="63" t="s">
        <v>875</v>
      </c>
      <c r="G821" s="25">
        <f t="shared" si="18"/>
        <v>5.5483870967742988E-3</v>
      </c>
    </row>
    <row r="822" spans="1:7">
      <c r="A822" s="63">
        <v>75.672867202490039</v>
      </c>
      <c r="B822" s="63">
        <v>77.150009422201435</v>
      </c>
      <c r="C822" s="63">
        <v>75.074158395829613</v>
      </c>
      <c r="D822" s="63">
        <v>75.506013928502725</v>
      </c>
      <c r="E822" s="63">
        <v>2284722.5642629135</v>
      </c>
      <c r="F822" s="63" t="s">
        <v>876</v>
      </c>
      <c r="G822" s="25">
        <f t="shared" si="18"/>
        <v>2.2098011178992572E-3</v>
      </c>
    </row>
    <row r="823" spans="1:7">
      <c r="A823" s="63">
        <v>76.114537633632992</v>
      </c>
      <c r="B823" s="63">
        <v>78.303259992407988</v>
      </c>
      <c r="C823" s="63">
        <v>75.810275781067844</v>
      </c>
      <c r="D823" s="63">
        <v>77.724180982687244</v>
      </c>
      <c r="E823" s="63">
        <v>2950307.6459702798</v>
      </c>
      <c r="F823" s="63" t="s">
        <v>877</v>
      </c>
      <c r="G823" s="25">
        <f t="shared" si="18"/>
        <v>-2.0709685566359215E-2</v>
      </c>
    </row>
    <row r="824" spans="1:7">
      <c r="A824" s="63">
        <v>77.18436156684588</v>
      </c>
      <c r="B824" s="63">
        <v>78.705670829671561</v>
      </c>
      <c r="C824" s="63">
        <v>75.967314156585346</v>
      </c>
      <c r="D824" s="63">
        <v>76.595467658655309</v>
      </c>
      <c r="E824" s="63">
        <v>3169564.1167949247</v>
      </c>
      <c r="F824" s="63" t="s">
        <v>878</v>
      </c>
      <c r="G824" s="25">
        <f t="shared" si="18"/>
        <v>7.6883649410557364E-3</v>
      </c>
    </row>
    <row r="825" spans="1:7">
      <c r="A825" s="63">
        <v>76.624912354064818</v>
      </c>
      <c r="B825" s="63">
        <v>76.997878495918869</v>
      </c>
      <c r="C825" s="63">
        <v>75.672867202490039</v>
      </c>
      <c r="D825" s="63">
        <v>76.310835603029844</v>
      </c>
      <c r="E825" s="63">
        <v>1285355.119949775</v>
      </c>
      <c r="F825" s="63" t="s">
        <v>879</v>
      </c>
      <c r="G825" s="25">
        <f t="shared" si="18"/>
        <v>4.1157556270094986E-3</v>
      </c>
    </row>
    <row r="826" spans="1:7">
      <c r="A826" s="63">
        <v>76.458059080077504</v>
      </c>
      <c r="B826" s="63">
        <v>77.606402201049121</v>
      </c>
      <c r="C826" s="63">
        <v>75.888794968826588</v>
      </c>
      <c r="D826" s="63">
        <v>77.606402201049121</v>
      </c>
      <c r="E826" s="63">
        <v>2245466.9365879223</v>
      </c>
      <c r="F826" s="63" t="s">
        <v>880</v>
      </c>
      <c r="G826" s="25">
        <f t="shared" si="18"/>
        <v>-1.47970153028959E-2</v>
      </c>
    </row>
    <row r="827" spans="1:7">
      <c r="A827" s="63">
        <v>77.341399942363367</v>
      </c>
      <c r="B827" s="63">
        <v>77.419919130122111</v>
      </c>
      <c r="C827" s="63">
        <v>75.918239664236125</v>
      </c>
      <c r="D827" s="63">
        <v>76.90954440969027</v>
      </c>
      <c r="E827" s="63">
        <v>2338280.93795523</v>
      </c>
      <c r="F827" s="63" t="s">
        <v>881</v>
      </c>
      <c r="G827" s="25">
        <f t="shared" si="18"/>
        <v>5.6151097498724489E-3</v>
      </c>
    </row>
    <row r="828" spans="1:7">
      <c r="A828" s="63">
        <v>77.518068114820551</v>
      </c>
      <c r="B828" s="63">
        <v>77.733995881157099</v>
      </c>
      <c r="C828" s="63">
        <v>74.59322837080731</v>
      </c>
      <c r="D828" s="63">
        <v>74.818971035613714</v>
      </c>
      <c r="E828" s="63">
        <v>2348221.9475642228</v>
      </c>
      <c r="F828" s="63" t="s">
        <v>882</v>
      </c>
      <c r="G828" s="25">
        <f t="shared" ref="G828:G891" si="19">A828/D828-1</f>
        <v>3.6075036075035927E-2</v>
      </c>
    </row>
    <row r="829" spans="1:7">
      <c r="A829" s="63">
        <v>74.769896543264494</v>
      </c>
      <c r="B829" s="63">
        <v>75.309715959105858</v>
      </c>
      <c r="C829" s="63">
        <v>72.630248676838704</v>
      </c>
      <c r="D829" s="63">
        <v>72.757842356946654</v>
      </c>
      <c r="E829" s="63">
        <v>1986659.368908558</v>
      </c>
      <c r="F829" s="63" t="s">
        <v>883</v>
      </c>
      <c r="G829" s="25">
        <f t="shared" si="19"/>
        <v>2.7654121138540599E-2</v>
      </c>
    </row>
    <row r="830" spans="1:7">
      <c r="A830" s="63">
        <v>72.973770123283202</v>
      </c>
      <c r="B830" s="63">
        <v>73.994519564146884</v>
      </c>
      <c r="C830" s="63">
        <v>71.481905555867058</v>
      </c>
      <c r="D830" s="63">
        <v>72.757842356946654</v>
      </c>
      <c r="E830" s="63">
        <v>2643295.8099071216</v>
      </c>
      <c r="F830" s="63" t="s">
        <v>884</v>
      </c>
      <c r="G830" s="25">
        <f t="shared" si="19"/>
        <v>2.9677593416970183E-3</v>
      </c>
    </row>
    <row r="831" spans="1:7">
      <c r="A831" s="63">
        <v>73.50377464065474</v>
      </c>
      <c r="B831" s="63">
        <v>76.546393166306075</v>
      </c>
      <c r="C831" s="63">
        <v>73.022844615632422</v>
      </c>
      <c r="D831" s="63">
        <v>76.369724993848905</v>
      </c>
      <c r="E831" s="63">
        <v>3652381.1336555961</v>
      </c>
      <c r="F831" s="63" t="s">
        <v>885</v>
      </c>
      <c r="G831" s="25">
        <f t="shared" si="19"/>
        <v>-3.7527310114381041E-2</v>
      </c>
    </row>
    <row r="832" spans="1:7">
      <c r="A832" s="63">
        <v>76.919359308160125</v>
      </c>
      <c r="B832" s="63">
        <v>78.617336743442962</v>
      </c>
      <c r="C832" s="63">
        <v>76.55130061554101</v>
      </c>
      <c r="D832" s="63">
        <v>77.949923647493648</v>
      </c>
      <c r="E832" s="63">
        <v>1351230.4829997953</v>
      </c>
      <c r="F832" s="63" t="s">
        <v>886</v>
      </c>
      <c r="G832" s="25">
        <f t="shared" si="19"/>
        <v>-1.32208511709897E-2</v>
      </c>
    </row>
    <row r="833" spans="1:7">
      <c r="A833" s="63">
        <v>77.802700170445988</v>
      </c>
      <c r="B833" s="63">
        <v>77.940108749023793</v>
      </c>
      <c r="C833" s="63">
        <v>76.045833344344089</v>
      </c>
      <c r="D833" s="63">
        <v>76.291205806090161</v>
      </c>
      <c r="E833" s="63">
        <v>1557939.7022783968</v>
      </c>
      <c r="F833" s="63" t="s">
        <v>887</v>
      </c>
      <c r="G833" s="25">
        <f t="shared" si="19"/>
        <v>1.9812170333204593E-2</v>
      </c>
    </row>
    <row r="834" spans="1:7">
      <c r="A834" s="63">
        <v>77.476845541247229</v>
      </c>
      <c r="B834" s="63">
        <v>77.696894648124044</v>
      </c>
      <c r="C834" s="63">
        <v>76.283690383959666</v>
      </c>
      <c r="D834" s="63">
        <v>76.283690383959666</v>
      </c>
      <c r="E834" s="63">
        <v>1620565.8821403116</v>
      </c>
      <c r="F834" s="63" t="s">
        <v>888</v>
      </c>
      <c r="G834" s="25">
        <f t="shared" si="19"/>
        <v>1.5641025641025541E-2</v>
      </c>
    </row>
    <row r="835" spans="1:7">
      <c r="A835" s="63">
        <v>76.088091177846948</v>
      </c>
      <c r="B835" s="63">
        <v>77.564865183997966</v>
      </c>
      <c r="C835" s="63">
        <v>74.718896735057925</v>
      </c>
      <c r="D835" s="63">
        <v>77.564865183997966</v>
      </c>
      <c r="E835" s="63">
        <v>3416290.9619118068</v>
      </c>
      <c r="F835" s="63" t="s">
        <v>889</v>
      </c>
      <c r="G835" s="25">
        <f t="shared" si="19"/>
        <v>-1.9039213213970507E-2</v>
      </c>
    </row>
    <row r="836" spans="1:7">
      <c r="A836" s="63">
        <v>78.60154097639537</v>
      </c>
      <c r="B836" s="63">
        <v>81.183450497083228</v>
      </c>
      <c r="C836" s="63">
        <v>78.141882842030483</v>
      </c>
      <c r="D836" s="63">
        <v>79.814256054294205</v>
      </c>
      <c r="E836" s="63">
        <v>5169778.6514392989</v>
      </c>
      <c r="F836" s="63" t="s">
        <v>890</v>
      </c>
      <c r="G836" s="25">
        <f t="shared" si="19"/>
        <v>-1.5194216395049476E-2</v>
      </c>
    </row>
    <row r="837" spans="1:7">
      <c r="A837" s="63">
        <v>82.68956438415114</v>
      </c>
      <c r="B837" s="63">
        <v>84.146778469690901</v>
      </c>
      <c r="C837" s="63">
        <v>80.097874903157646</v>
      </c>
      <c r="D837" s="63">
        <v>83.325261804017487</v>
      </c>
      <c r="E837" s="63">
        <v>3650989.2560017402</v>
      </c>
      <c r="F837" s="63" t="s">
        <v>891</v>
      </c>
      <c r="G837" s="25">
        <f t="shared" si="19"/>
        <v>-7.6291079812208507E-3</v>
      </c>
    </row>
    <row r="838" spans="1:7">
      <c r="A838" s="63">
        <v>83.745800097159815</v>
      </c>
      <c r="B838" s="63">
        <v>85.985411007150432</v>
      </c>
      <c r="C838" s="63">
        <v>83.056312895612493</v>
      </c>
      <c r="D838" s="63">
        <v>83.129662597904755</v>
      </c>
      <c r="E838" s="63">
        <v>3106038.1689376412</v>
      </c>
      <c r="F838" s="63" t="s">
        <v>892</v>
      </c>
      <c r="G838" s="25">
        <f t="shared" si="19"/>
        <v>7.411764705882451E-3</v>
      </c>
    </row>
    <row r="839" spans="1:7">
      <c r="A839" s="63">
        <v>84.117438588773993</v>
      </c>
      <c r="B839" s="63">
        <v>84.58198670329169</v>
      </c>
      <c r="C839" s="63">
        <v>82.503745138344058</v>
      </c>
      <c r="D839" s="63">
        <v>82.640664582622961</v>
      </c>
      <c r="E839" s="63">
        <v>2076340.7381416515</v>
      </c>
      <c r="F839" s="63" t="s">
        <v>893</v>
      </c>
      <c r="G839" s="25">
        <f t="shared" si="19"/>
        <v>1.7869822485207409E-2</v>
      </c>
    </row>
    <row r="840" spans="1:7">
      <c r="A840" s="63">
        <v>84.166338390302158</v>
      </c>
      <c r="B840" s="63">
        <v>85.674506069034265</v>
      </c>
      <c r="C840" s="63">
        <v>83.276362002489307</v>
      </c>
      <c r="D840" s="63">
        <v>84.029418946023256</v>
      </c>
      <c r="E840" s="63">
        <v>2436719.5014346843</v>
      </c>
      <c r="F840" s="63" t="s">
        <v>894</v>
      </c>
      <c r="G840" s="25">
        <f t="shared" si="19"/>
        <v>1.6294227188082822E-3</v>
      </c>
    </row>
    <row r="841" spans="1:7">
      <c r="A841" s="63">
        <v>84.489077080388142</v>
      </c>
      <c r="B841" s="63">
        <v>85.379053468201008</v>
      </c>
      <c r="C841" s="63">
        <v>84.048978866634528</v>
      </c>
      <c r="D841" s="63">
        <v>84.978075095669936</v>
      </c>
      <c r="E841" s="63">
        <v>1199964.993031431</v>
      </c>
      <c r="F841" s="63" t="s">
        <v>895</v>
      </c>
      <c r="G841" s="25">
        <f t="shared" si="19"/>
        <v>-5.7544021176200166E-3</v>
      </c>
    </row>
    <row r="842" spans="1:7">
      <c r="A842" s="63">
        <v>84.899835413224849</v>
      </c>
      <c r="B842" s="63">
        <v>85.085556859428877</v>
      </c>
      <c r="C842" s="63">
        <v>82.317925892536991</v>
      </c>
      <c r="D842" s="63">
        <v>82.35704573375952</v>
      </c>
      <c r="E842" s="63">
        <v>1380809.285311512</v>
      </c>
      <c r="F842" s="63" t="s">
        <v>896</v>
      </c>
      <c r="G842" s="25">
        <f t="shared" si="19"/>
        <v>3.0875192969956222E-2</v>
      </c>
    </row>
    <row r="843" spans="1:7">
      <c r="A843" s="63">
        <v>82.562424900177888</v>
      </c>
      <c r="B843" s="63">
        <v>83.579540771964005</v>
      </c>
      <c r="C843" s="63">
        <v>82.08320684520173</v>
      </c>
      <c r="D843" s="63">
        <v>83.061202875765318</v>
      </c>
      <c r="E843" s="63">
        <v>2019469.3416719253</v>
      </c>
      <c r="F843" s="63" t="s">
        <v>897</v>
      </c>
      <c r="G843" s="25">
        <f t="shared" si="19"/>
        <v>-6.0049452490286148E-3</v>
      </c>
    </row>
    <row r="844" spans="1:7">
      <c r="A844" s="63">
        <v>82.484185217732801</v>
      </c>
      <c r="B844" s="63">
        <v>83.129662597904755</v>
      </c>
      <c r="C844" s="63">
        <v>82.288586011620083</v>
      </c>
      <c r="D844" s="63">
        <v>82.885163590263858</v>
      </c>
      <c r="E844" s="63">
        <v>2051080.9219174853</v>
      </c>
      <c r="F844" s="63" t="s">
        <v>898</v>
      </c>
      <c r="G844" s="25">
        <f t="shared" si="19"/>
        <v>-4.8377581120941926E-3</v>
      </c>
    </row>
    <row r="845" spans="1:7">
      <c r="A845" s="63">
        <v>84.039198906328906</v>
      </c>
      <c r="B845" s="63">
        <v>84.371717556720512</v>
      </c>
      <c r="C845" s="63">
        <v>80.518413196299988</v>
      </c>
      <c r="D845" s="63">
        <v>81.496409226863577</v>
      </c>
      <c r="E845" s="63">
        <v>2078688.3959319156</v>
      </c>
      <c r="F845" s="63" t="s">
        <v>899</v>
      </c>
      <c r="G845" s="25">
        <f t="shared" si="19"/>
        <v>3.1201248049922192E-2</v>
      </c>
    </row>
    <row r="846" spans="1:7">
      <c r="A846" s="63">
        <v>81.427949504724126</v>
      </c>
      <c r="B846" s="63">
        <v>82.004967162756628</v>
      </c>
      <c r="C846" s="63">
        <v>80.694452481801434</v>
      </c>
      <c r="D846" s="63">
        <v>81.183450497083228</v>
      </c>
      <c r="E846" s="63">
        <v>1535799.6894265979</v>
      </c>
      <c r="F846" s="63" t="s">
        <v>900</v>
      </c>
      <c r="G846" s="25">
        <f t="shared" si="19"/>
        <v>3.0116853391157772E-3</v>
      </c>
    </row>
    <row r="847" spans="1:7">
      <c r="A847" s="63">
        <v>81.36926974289031</v>
      </c>
      <c r="B847" s="63">
        <v>83.286141962794929</v>
      </c>
      <c r="C847" s="63">
        <v>81.222570338305772</v>
      </c>
      <c r="D847" s="63">
        <v>82.52330505895533</v>
      </c>
      <c r="E847" s="63">
        <v>1847889.9131712797</v>
      </c>
      <c r="F847" s="63" t="s">
        <v>901</v>
      </c>
      <c r="G847" s="25">
        <f t="shared" si="19"/>
        <v>-1.3984356482578675E-2</v>
      </c>
    </row>
    <row r="848" spans="1:7">
      <c r="A848" s="63">
        <v>83.452401287990739</v>
      </c>
      <c r="B848" s="63">
        <v>84.772695929251597</v>
      </c>
      <c r="C848" s="63">
        <v>81.912057539853095</v>
      </c>
      <c r="D848" s="63">
        <v>83.599100692575291</v>
      </c>
      <c r="E848" s="63">
        <v>2443330.9802116216</v>
      </c>
      <c r="F848" s="63" t="s">
        <v>902</v>
      </c>
      <c r="G848" s="25">
        <f t="shared" si="19"/>
        <v>-1.7547964436127605E-3</v>
      </c>
    </row>
    <row r="849" spans="1:7">
      <c r="A849" s="63">
        <v>83.530640970435826</v>
      </c>
      <c r="B849" s="63">
        <v>83.980519144495091</v>
      </c>
      <c r="C849" s="63">
        <v>81.051421032957137</v>
      </c>
      <c r="D849" s="63">
        <v>83.574650791811194</v>
      </c>
      <c r="E849" s="63">
        <v>2682439.3126506009</v>
      </c>
      <c r="F849" s="63" t="s">
        <v>903</v>
      </c>
      <c r="G849" s="25">
        <f t="shared" si="19"/>
        <v>-5.2659294365464682E-4</v>
      </c>
    </row>
    <row r="850" spans="1:7">
      <c r="A850" s="63">
        <v>83.481741168907647</v>
      </c>
      <c r="B850" s="63">
        <v>83.618660613186549</v>
      </c>
      <c r="C850" s="63">
        <v>80.567312997828168</v>
      </c>
      <c r="D850" s="63">
        <v>81.056311013109948</v>
      </c>
      <c r="E850" s="63">
        <v>2565490.985228362</v>
      </c>
      <c r="F850" s="63" t="s">
        <v>904</v>
      </c>
      <c r="G850" s="25">
        <f t="shared" si="19"/>
        <v>2.9922779922779918E-2</v>
      </c>
    </row>
    <row r="851" spans="1:7">
      <c r="A851" s="63">
        <v>80.58687291843944</v>
      </c>
      <c r="B851" s="63">
        <v>84.938955254447393</v>
      </c>
      <c r="C851" s="63">
        <v>80.440173513854901</v>
      </c>
      <c r="D851" s="63">
        <v>84.029418946023256</v>
      </c>
      <c r="E851" s="63">
        <v>3114346.9961169469</v>
      </c>
      <c r="F851" s="63" t="s">
        <v>905</v>
      </c>
      <c r="G851" s="25">
        <f t="shared" si="19"/>
        <v>-4.0968342644320255E-2</v>
      </c>
    </row>
    <row r="852" spans="1:7">
      <c r="A852" s="63">
        <v>84.674896326195224</v>
      </c>
      <c r="B852" s="63">
        <v>84.753136008640311</v>
      </c>
      <c r="C852" s="63">
        <v>82.973183233014595</v>
      </c>
      <c r="D852" s="63">
        <v>83.990299104800712</v>
      </c>
      <c r="E852" s="63">
        <v>1488066.3668556481</v>
      </c>
      <c r="F852" s="63" t="s">
        <v>906</v>
      </c>
      <c r="G852" s="25">
        <f t="shared" si="19"/>
        <v>8.1509082440613945E-3</v>
      </c>
    </row>
    <row r="853" spans="1:7">
      <c r="A853" s="63">
        <v>83.990299104800712</v>
      </c>
      <c r="B853" s="63">
        <v>84.176118350607794</v>
      </c>
      <c r="C853" s="63">
        <v>81.447509425335397</v>
      </c>
      <c r="D853" s="63">
        <v>81.789808036032639</v>
      </c>
      <c r="E853" s="63">
        <v>2209946.5973849674</v>
      </c>
      <c r="F853" s="63" t="s">
        <v>907</v>
      </c>
      <c r="G853" s="25">
        <f t="shared" si="19"/>
        <v>2.6904220973335002E-2</v>
      </c>
    </row>
    <row r="854" spans="1:7">
      <c r="A854" s="63">
        <v>81.564868949003028</v>
      </c>
      <c r="B854" s="63">
        <v>81.721348313893202</v>
      </c>
      <c r="C854" s="63">
        <v>80.674892561190163</v>
      </c>
      <c r="D854" s="63">
        <v>81.5844288696143</v>
      </c>
      <c r="E854" s="63">
        <v>1569767.1074547227</v>
      </c>
      <c r="F854" s="63" t="s">
        <v>908</v>
      </c>
      <c r="G854" s="25">
        <f t="shared" si="19"/>
        <v>-2.397506593143639E-4</v>
      </c>
    </row>
    <row r="855" spans="1:7">
      <c r="A855" s="63">
        <v>82.063646924590444</v>
      </c>
      <c r="B855" s="63">
        <v>82.376605654370806</v>
      </c>
      <c r="C855" s="63">
        <v>81.154110616166321</v>
      </c>
      <c r="D855" s="63">
        <v>82.151666567341181</v>
      </c>
      <c r="E855" s="63">
        <v>1202454.7781879175</v>
      </c>
      <c r="F855" s="63" t="s">
        <v>909</v>
      </c>
      <c r="G855" s="25">
        <f t="shared" si="19"/>
        <v>-1.0714285714287231E-3</v>
      </c>
    </row>
    <row r="856" spans="1:7">
      <c r="A856" s="63">
        <v>82.288586011620083</v>
      </c>
      <c r="B856" s="63">
        <v>82.435285416204621</v>
      </c>
      <c r="C856" s="63">
        <v>80.741396291268487</v>
      </c>
      <c r="D856" s="63">
        <v>81.105210814638141</v>
      </c>
      <c r="E856" s="63">
        <v>1632149.7737369591</v>
      </c>
      <c r="F856" s="63" t="s">
        <v>910</v>
      </c>
      <c r="G856" s="25">
        <f t="shared" si="19"/>
        <v>1.4590618593995019E-2</v>
      </c>
    </row>
    <row r="857" spans="1:7">
      <c r="A857" s="63">
        <v>81.173670536777593</v>
      </c>
      <c r="B857" s="63">
        <v>81.271470139833937</v>
      </c>
      <c r="C857" s="63">
        <v>78.679780658840443</v>
      </c>
      <c r="D857" s="63">
        <v>79.335037999318047</v>
      </c>
      <c r="E857" s="63">
        <v>1835455.3023753727</v>
      </c>
      <c r="F857" s="63" t="s">
        <v>911</v>
      </c>
      <c r="G857" s="25">
        <f t="shared" si="19"/>
        <v>2.3175542406311811E-2</v>
      </c>
    </row>
    <row r="858" spans="1:7">
      <c r="A858" s="63">
        <v>79.061199110760242</v>
      </c>
      <c r="B858" s="63">
        <v>79.990295339795651</v>
      </c>
      <c r="C858" s="63">
        <v>78.97806944816233</v>
      </c>
      <c r="D858" s="63">
        <v>79.804476093988569</v>
      </c>
      <c r="E858" s="63">
        <v>1672421.9208307497</v>
      </c>
      <c r="F858" s="63" t="s">
        <v>912</v>
      </c>
      <c r="G858" s="25">
        <f t="shared" si="19"/>
        <v>-9.3137254901961564E-3</v>
      </c>
    </row>
    <row r="859" spans="1:7">
      <c r="A859" s="63">
        <v>80.048975101629466</v>
      </c>
      <c r="B859" s="63">
        <v>82.650444542928611</v>
      </c>
      <c r="C859" s="63">
        <v>79.970735419184379</v>
      </c>
      <c r="D859" s="63">
        <v>81.486629266557927</v>
      </c>
      <c r="E859" s="63">
        <v>2131757.1184809133</v>
      </c>
      <c r="F859" s="63" t="s">
        <v>913</v>
      </c>
      <c r="G859" s="25">
        <f t="shared" si="19"/>
        <v>-1.7642822851656192E-2</v>
      </c>
    </row>
    <row r="860" spans="1:7">
      <c r="A860" s="63">
        <v>81.53552906808612</v>
      </c>
      <c r="B860" s="63">
        <v>83.149222518516027</v>
      </c>
      <c r="C860" s="63">
        <v>81.173670536777593</v>
      </c>
      <c r="D860" s="63">
        <v>82.08320684520173</v>
      </c>
      <c r="E860" s="63">
        <v>2825783.4527277476</v>
      </c>
      <c r="F860" s="63" t="s">
        <v>914</v>
      </c>
      <c r="G860" s="25">
        <f t="shared" si="19"/>
        <v>-6.6722268557131148E-3</v>
      </c>
    </row>
    <row r="861" spans="1:7">
      <c r="A861" s="63">
        <v>83.286141962794929</v>
      </c>
      <c r="B861" s="63">
        <v>83.819149799452092</v>
      </c>
      <c r="C861" s="63">
        <v>81.613768750531207</v>
      </c>
      <c r="D861" s="63">
        <v>81.965847321534099</v>
      </c>
      <c r="E861" s="63">
        <v>1396971.9275984045</v>
      </c>
      <c r="F861" s="63" t="s">
        <v>915</v>
      </c>
      <c r="G861" s="25">
        <f t="shared" si="19"/>
        <v>1.610786302350542E-2</v>
      </c>
    </row>
    <row r="862" spans="1:7">
      <c r="A862" s="63">
        <v>82.484185217732801</v>
      </c>
      <c r="B862" s="63">
        <v>82.934063391792037</v>
      </c>
      <c r="C862" s="63">
        <v>80.948731449747967</v>
      </c>
      <c r="D862" s="63">
        <v>82.034307043673536</v>
      </c>
      <c r="E862" s="63">
        <v>1530375.3320322812</v>
      </c>
      <c r="F862" s="63" t="s">
        <v>916</v>
      </c>
      <c r="G862" s="25">
        <f t="shared" si="19"/>
        <v>5.4840247973297895E-3</v>
      </c>
    </row>
    <row r="863" spans="1:7">
      <c r="A863" s="63">
        <v>82.259246130703175</v>
      </c>
      <c r="B863" s="63">
        <v>82.518415078802519</v>
      </c>
      <c r="C863" s="63">
        <v>80.625992759661983</v>
      </c>
      <c r="D863" s="63">
        <v>81.173670536777593</v>
      </c>
      <c r="E863" s="63">
        <v>1734421.1499738966</v>
      </c>
      <c r="F863" s="63" t="s">
        <v>917</v>
      </c>
      <c r="G863" s="25">
        <f t="shared" si="19"/>
        <v>1.3373493975903594E-2</v>
      </c>
    </row>
    <row r="864" spans="1:7">
      <c r="A864" s="63">
        <v>81.25191021922268</v>
      </c>
      <c r="B864" s="63">
        <v>81.652888591753737</v>
      </c>
      <c r="C864" s="63">
        <v>79.784916173377297</v>
      </c>
      <c r="D864" s="63">
        <v>81.564868949003028</v>
      </c>
      <c r="E864" s="63">
        <v>1407678.5150208154</v>
      </c>
      <c r="F864" s="63" t="s">
        <v>918</v>
      </c>
      <c r="G864" s="25">
        <f t="shared" si="19"/>
        <v>-3.83693045563549E-3</v>
      </c>
    </row>
    <row r="865" spans="1:7">
      <c r="A865" s="63">
        <v>82.151666567341181</v>
      </c>
      <c r="B865" s="63">
        <v>83.335041764323108</v>
      </c>
      <c r="C865" s="63">
        <v>81.740908234504474</v>
      </c>
      <c r="D865" s="63">
        <v>82.004967162756628</v>
      </c>
      <c r="E865" s="63">
        <v>1330865.3198213328</v>
      </c>
      <c r="F865" s="63" t="s">
        <v>919</v>
      </c>
      <c r="G865" s="25">
        <f t="shared" si="19"/>
        <v>1.7889087656530744E-3</v>
      </c>
    </row>
    <row r="866" spans="1:7">
      <c r="A866" s="63">
        <v>81.662668552059387</v>
      </c>
      <c r="B866" s="63">
        <v>83.286141962794929</v>
      </c>
      <c r="C866" s="63">
        <v>81.25191021922268</v>
      </c>
      <c r="D866" s="63">
        <v>81.780028075727017</v>
      </c>
      <c r="E866" s="63">
        <v>1957194.037788634</v>
      </c>
      <c r="F866" s="63" t="s">
        <v>920</v>
      </c>
      <c r="G866" s="25">
        <f t="shared" si="19"/>
        <v>-1.4350633819660841E-3</v>
      </c>
    </row>
    <row r="867" spans="1:7">
      <c r="A867" s="63">
        <v>80.596652878745076</v>
      </c>
      <c r="B867" s="63">
        <v>82.073426884896094</v>
      </c>
      <c r="C867" s="63">
        <v>80.083204962699199</v>
      </c>
      <c r="D867" s="63">
        <v>81.095430854332506</v>
      </c>
      <c r="E867" s="63">
        <v>1949269.6702474549</v>
      </c>
      <c r="F867" s="63" t="s">
        <v>921</v>
      </c>
      <c r="G867" s="25">
        <f t="shared" si="19"/>
        <v>-6.1505065123009794E-3</v>
      </c>
    </row>
    <row r="868" spans="1:7">
      <c r="A868" s="63">
        <v>81.57464890930865</v>
      </c>
      <c r="B868" s="63">
        <v>81.897387599394634</v>
      </c>
      <c r="C868" s="63">
        <v>79.501297324513871</v>
      </c>
      <c r="D868" s="63">
        <v>80.146774704685825</v>
      </c>
      <c r="E868" s="63">
        <v>2670962.7834528983</v>
      </c>
      <c r="F868" s="63" t="s">
        <v>922</v>
      </c>
      <c r="G868" s="25">
        <f t="shared" si="19"/>
        <v>1.7815741305674093E-2</v>
      </c>
    </row>
    <row r="869" spans="1:7">
      <c r="A869" s="63">
        <v>80.107654863463281</v>
      </c>
      <c r="B869" s="63">
        <v>84.225018152135974</v>
      </c>
      <c r="C869" s="63">
        <v>79.012299309232077</v>
      </c>
      <c r="D869" s="63">
        <v>84.107658628468343</v>
      </c>
      <c r="E869" s="63">
        <v>4121245.7658722051</v>
      </c>
      <c r="F869" s="63" t="s">
        <v>923</v>
      </c>
      <c r="G869" s="25">
        <f t="shared" si="19"/>
        <v>-4.7558139534883637E-2</v>
      </c>
    </row>
    <row r="870" spans="1:7">
      <c r="A870" s="63">
        <v>84.313037794886696</v>
      </c>
      <c r="B870" s="63">
        <v>84.694456246806496</v>
      </c>
      <c r="C870" s="63">
        <v>83.2470221215724</v>
      </c>
      <c r="D870" s="63">
        <v>84.694456246806496</v>
      </c>
      <c r="E870" s="63">
        <v>1373571.0146245435</v>
      </c>
      <c r="F870" s="63" t="s">
        <v>924</v>
      </c>
      <c r="G870" s="25">
        <f t="shared" si="19"/>
        <v>-4.5034642032332206E-3</v>
      </c>
    </row>
    <row r="871" spans="1:7">
      <c r="A871" s="63">
        <v>84.860715572002306</v>
      </c>
      <c r="B871" s="63">
        <v>85.760374120517739</v>
      </c>
      <c r="C871" s="63">
        <v>84.381497517026148</v>
      </c>
      <c r="D871" s="63">
        <v>85.242134023922105</v>
      </c>
      <c r="E871" s="63">
        <v>890370.68943746132</v>
      </c>
      <c r="F871" s="63" t="s">
        <v>925</v>
      </c>
      <c r="G871" s="25">
        <f t="shared" si="19"/>
        <v>-4.474529600734245E-3</v>
      </c>
    </row>
    <row r="872" spans="1:7">
      <c r="A872" s="63">
        <v>84.704236207112132</v>
      </c>
      <c r="B872" s="63">
        <v>86.396169339987139</v>
      </c>
      <c r="C872" s="63">
        <v>84.51841696130505</v>
      </c>
      <c r="D872" s="63">
        <v>86.01475088806734</v>
      </c>
      <c r="E872" s="63">
        <v>768918.25375472009</v>
      </c>
      <c r="F872" s="63" t="s">
        <v>926</v>
      </c>
      <c r="G872" s="25">
        <f t="shared" si="19"/>
        <v>-1.5235929505400869E-2</v>
      </c>
    </row>
    <row r="873" spans="1:7">
      <c r="A873" s="63">
        <v>85.711572118592628</v>
      </c>
      <c r="B873" s="63">
        <v>86.95362707740837</v>
      </c>
      <c r="C873" s="63">
        <v>85.3497135872841</v>
      </c>
      <c r="D873" s="63">
        <v>86.493968943043498</v>
      </c>
      <c r="E873" s="63">
        <v>648663.16444497521</v>
      </c>
      <c r="F873" s="63" t="s">
        <v>927</v>
      </c>
      <c r="G873" s="25">
        <f t="shared" si="19"/>
        <v>-9.0456806874718021E-3</v>
      </c>
    </row>
    <row r="874" spans="1:7">
      <c r="A874" s="63">
        <v>86.102770530818063</v>
      </c>
      <c r="B874" s="63">
        <v>86.288589776625145</v>
      </c>
      <c r="C874" s="63">
        <v>85.212794143005198</v>
      </c>
      <c r="D874" s="63">
        <v>85.594212594924997</v>
      </c>
      <c r="E874" s="63">
        <v>614189.60939325253</v>
      </c>
      <c r="F874" s="63" t="s">
        <v>928</v>
      </c>
      <c r="G874" s="25">
        <f t="shared" si="19"/>
        <v>5.9414990859232297E-3</v>
      </c>
    </row>
    <row r="875" spans="1:7">
      <c r="A875" s="63">
        <v>85.408393349117915</v>
      </c>
      <c r="B875" s="63">
        <v>87.408395231620446</v>
      </c>
      <c r="C875" s="63">
        <v>84.625996524667045</v>
      </c>
      <c r="D875" s="63">
        <v>87.16878620413236</v>
      </c>
      <c r="E875" s="63">
        <v>1583158.7773497964</v>
      </c>
      <c r="F875" s="63" t="s">
        <v>929</v>
      </c>
      <c r="G875" s="25">
        <f t="shared" si="19"/>
        <v>-2.019522046448996E-2</v>
      </c>
    </row>
    <row r="876" spans="1:7">
      <c r="A876" s="63">
        <v>87.67734414002544</v>
      </c>
      <c r="B876" s="63">
        <v>88.185902075918506</v>
      </c>
      <c r="C876" s="63">
        <v>84.802035810168491</v>
      </c>
      <c r="D876" s="63">
        <v>86.053870729289869</v>
      </c>
      <c r="E876" s="63">
        <v>1441223.6409464232</v>
      </c>
      <c r="F876" s="63" t="s">
        <v>930</v>
      </c>
      <c r="G876" s="25">
        <f t="shared" si="19"/>
        <v>1.8865780202296012E-2</v>
      </c>
    </row>
    <row r="877" spans="1:7">
      <c r="A877" s="63">
        <v>85.633332436147541</v>
      </c>
      <c r="B877" s="63">
        <v>86.18101021326315</v>
      </c>
      <c r="C877" s="63">
        <v>85.207904162852373</v>
      </c>
      <c r="D877" s="63">
        <v>86.063650689595519</v>
      </c>
      <c r="E877" s="63">
        <v>1336041.2099495195</v>
      </c>
      <c r="F877" s="63" t="s">
        <v>931</v>
      </c>
      <c r="G877" s="25">
        <f t="shared" si="19"/>
        <v>-5.0000000000000044E-3</v>
      </c>
    </row>
    <row r="878" spans="1:7">
      <c r="A878" s="63">
        <v>85.799591761343351</v>
      </c>
      <c r="B878" s="63">
        <v>86.718908030073123</v>
      </c>
      <c r="C878" s="63">
        <v>85.085654659031931</v>
      </c>
      <c r="D878" s="63">
        <v>86.435289181209669</v>
      </c>
      <c r="E878" s="63">
        <v>1265997.9808777976</v>
      </c>
      <c r="F878" s="63" t="s">
        <v>932</v>
      </c>
      <c r="G878" s="25">
        <f t="shared" si="19"/>
        <v>-7.3546051142791002E-3</v>
      </c>
    </row>
    <row r="879" spans="1:7">
      <c r="A879" s="63">
        <v>86.259249895708237</v>
      </c>
      <c r="B879" s="63">
        <v>86.650448307933658</v>
      </c>
      <c r="C879" s="63">
        <v>84.039198906328906</v>
      </c>
      <c r="D879" s="63">
        <v>86.210350094180058</v>
      </c>
      <c r="E879" s="63">
        <v>3999701.3052760824</v>
      </c>
      <c r="F879" s="63" t="s">
        <v>933</v>
      </c>
      <c r="G879" s="25">
        <f t="shared" si="19"/>
        <v>5.6721497447531632E-4</v>
      </c>
    </row>
    <row r="880" spans="1:7">
      <c r="A880" s="63">
        <v>87.726243941553619</v>
      </c>
      <c r="B880" s="63">
        <v>88.850939376701731</v>
      </c>
      <c r="C880" s="63">
        <v>87.46218501330145</v>
      </c>
      <c r="D880" s="63">
        <v>88.811819535479188</v>
      </c>
      <c r="E880" s="63">
        <v>2295604.4092594432</v>
      </c>
      <c r="F880" s="63" t="s">
        <v>934</v>
      </c>
      <c r="G880" s="25">
        <f t="shared" si="19"/>
        <v>-1.2223323422530408E-2</v>
      </c>
    </row>
    <row r="881" spans="1:7">
      <c r="A881" s="63">
        <v>88.850939376701731</v>
      </c>
      <c r="B881" s="63">
        <v>90.259253660713298</v>
      </c>
      <c r="C881" s="63">
        <v>87.902283227055051</v>
      </c>
      <c r="D881" s="63">
        <v>89.525756637790622</v>
      </c>
      <c r="E881" s="63">
        <v>2619211.0396642927</v>
      </c>
      <c r="F881" s="63" t="s">
        <v>935</v>
      </c>
      <c r="G881" s="25">
        <f t="shared" si="19"/>
        <v>-7.5376884422112544E-3</v>
      </c>
    </row>
    <row r="882" spans="1:7">
      <c r="A882" s="63">
        <v>88.841159416396096</v>
      </c>
      <c r="B882" s="63">
        <v>90.670011993549991</v>
      </c>
      <c r="C882" s="63">
        <v>88.401061202642481</v>
      </c>
      <c r="D882" s="63">
        <v>89.956074891238586</v>
      </c>
      <c r="E882" s="63">
        <v>1666528.2363781875</v>
      </c>
      <c r="F882" s="63" t="s">
        <v>936</v>
      </c>
      <c r="G882" s="25">
        <f t="shared" si="19"/>
        <v>-1.2393998695368613E-2</v>
      </c>
    </row>
    <row r="883" spans="1:7">
      <c r="A883" s="63">
        <v>88.880279257618639</v>
      </c>
      <c r="B883" s="63">
        <v>88.919399098841183</v>
      </c>
      <c r="C883" s="63">
        <v>87.110106442298544</v>
      </c>
      <c r="D883" s="63">
        <v>88.000082830111424</v>
      </c>
      <c r="E883" s="63">
        <v>1589025.8768273816</v>
      </c>
      <c r="F883" s="63" t="s">
        <v>937</v>
      </c>
      <c r="G883" s="25">
        <f t="shared" si="19"/>
        <v>1.0002222716158915E-2</v>
      </c>
    </row>
    <row r="884" spans="1:7">
      <c r="A884" s="63">
        <v>87.745803862164877</v>
      </c>
      <c r="B884" s="63">
        <v>89.838715367570956</v>
      </c>
      <c r="C884" s="63">
        <v>87.716463981247969</v>
      </c>
      <c r="D884" s="63">
        <v>89.349717352289161</v>
      </c>
      <c r="E884" s="63">
        <v>1415793.0673829827</v>
      </c>
      <c r="F884" s="63" t="s">
        <v>938</v>
      </c>
      <c r="G884" s="25">
        <f t="shared" si="19"/>
        <v>-1.7950963222416849E-2</v>
      </c>
    </row>
    <row r="885" spans="1:7">
      <c r="A885" s="63">
        <v>89.398617153817341</v>
      </c>
      <c r="B885" s="63">
        <v>90.938960901954985</v>
      </c>
      <c r="C885" s="63">
        <v>88.929179059146833</v>
      </c>
      <c r="D885" s="63">
        <v>90.298373501935842</v>
      </c>
      <c r="E885" s="63">
        <v>1025003.1377144989</v>
      </c>
      <c r="F885" s="63" t="s">
        <v>939</v>
      </c>
      <c r="G885" s="25">
        <f t="shared" si="19"/>
        <v>-9.9642586374959485E-3</v>
      </c>
    </row>
    <row r="886" spans="1:7">
      <c r="A886" s="63">
        <v>89.94629493093295</v>
      </c>
      <c r="B886" s="63">
        <v>91.149230048526164</v>
      </c>
      <c r="C886" s="63">
        <v>88.596660408755213</v>
      </c>
      <c r="D886" s="63">
        <v>88.880279257618639</v>
      </c>
      <c r="E886" s="63">
        <v>1265033.7642853677</v>
      </c>
      <c r="F886" s="63" t="s">
        <v>940</v>
      </c>
      <c r="G886" s="25">
        <f t="shared" si="19"/>
        <v>1.1993838028169002E-2</v>
      </c>
    </row>
    <row r="887" spans="1:7">
      <c r="A887" s="63">
        <v>88.78247965456228</v>
      </c>
      <c r="B887" s="63">
        <v>88.880279257618639</v>
      </c>
      <c r="C887" s="63">
        <v>87.824043544609964</v>
      </c>
      <c r="D887" s="63">
        <v>87.882723306443779</v>
      </c>
      <c r="E887" s="63">
        <v>1265379.3689600669</v>
      </c>
      <c r="F887" s="63" t="s">
        <v>941</v>
      </c>
      <c r="G887" s="25">
        <f t="shared" si="19"/>
        <v>1.023814823058089E-2</v>
      </c>
    </row>
    <row r="888" spans="1:7">
      <c r="A888" s="63">
        <v>88.078322512556511</v>
      </c>
      <c r="B888" s="63">
        <v>89.594216359930059</v>
      </c>
      <c r="C888" s="63">
        <v>87.824043544609964</v>
      </c>
      <c r="D888" s="63">
        <v>89.00741874159192</v>
      </c>
      <c r="E888" s="63">
        <v>2451001.7679914827</v>
      </c>
      <c r="F888" s="63" t="s">
        <v>942</v>
      </c>
      <c r="G888" s="25">
        <f t="shared" si="19"/>
        <v>-1.043841336116913E-2</v>
      </c>
    </row>
    <row r="889" spans="1:7">
      <c r="A889" s="63">
        <v>90.014754653072401</v>
      </c>
      <c r="B889" s="63">
        <v>91.43284889738959</v>
      </c>
      <c r="C889" s="63">
        <v>89.036758622508827</v>
      </c>
      <c r="D889" s="63">
        <v>90.943850882107796</v>
      </c>
      <c r="E889" s="63">
        <v>1890351.2307045108</v>
      </c>
      <c r="F889" s="63" t="s">
        <v>943</v>
      </c>
      <c r="G889" s="25">
        <f t="shared" si="19"/>
        <v>-1.0216152274437951E-2</v>
      </c>
    </row>
    <row r="890" spans="1:7">
      <c r="A890" s="63">
        <v>92.391285007341907</v>
      </c>
      <c r="B890" s="63">
        <v>95.628451868507383</v>
      </c>
      <c r="C890" s="63">
        <v>91.814267349309389</v>
      </c>
      <c r="D890" s="63">
        <v>94.865614964667785</v>
      </c>
      <c r="E890" s="63">
        <v>1787916.2546215616</v>
      </c>
      <c r="F890" s="63" t="s">
        <v>944</v>
      </c>
      <c r="G890" s="25">
        <f t="shared" si="19"/>
        <v>-2.6082474226804209E-2</v>
      </c>
    </row>
    <row r="891" spans="1:7">
      <c r="A891" s="63">
        <v>94.004978457771841</v>
      </c>
      <c r="B891" s="63">
        <v>94.806935202833969</v>
      </c>
      <c r="C891" s="63">
        <v>91.696907825641773</v>
      </c>
      <c r="D891" s="63">
        <v>92.068546317255937</v>
      </c>
      <c r="E891" s="63">
        <v>3437462.826983762</v>
      </c>
      <c r="F891" s="63" t="s">
        <v>945</v>
      </c>
      <c r="G891" s="25">
        <f t="shared" si="19"/>
        <v>2.1032504780114758E-2</v>
      </c>
    </row>
    <row r="892" spans="1:7">
      <c r="A892" s="63">
        <v>92.352165166119377</v>
      </c>
      <c r="B892" s="63">
        <v>93.017202466902603</v>
      </c>
      <c r="C892" s="63">
        <v>91.26658957219378</v>
      </c>
      <c r="D892" s="63">
        <v>92.606444134065896</v>
      </c>
      <c r="E892" s="63">
        <v>1468520.2752534316</v>
      </c>
      <c r="F892" s="63" t="s">
        <v>946</v>
      </c>
      <c r="G892" s="25">
        <f t="shared" ref="G892:G955" si="20">A892/D892-1</f>
        <v>-2.7458020910337E-3</v>
      </c>
    </row>
    <row r="893" spans="1:7">
      <c r="A893" s="63">
        <v>92.723803657733541</v>
      </c>
      <c r="B893" s="63">
        <v>94.464636592136713</v>
      </c>
      <c r="C893" s="63">
        <v>92.303265364591184</v>
      </c>
      <c r="D893" s="63">
        <v>93.956078656243648</v>
      </c>
      <c r="E893" s="63">
        <v>1625875.7196424203</v>
      </c>
      <c r="F893" s="63" t="s">
        <v>947</v>
      </c>
      <c r="G893" s="25">
        <f t="shared" si="20"/>
        <v>-1.3115436660768087E-2</v>
      </c>
    </row>
    <row r="894" spans="1:7">
      <c r="A894" s="63">
        <v>95.022094329557959</v>
      </c>
      <c r="B894" s="63">
        <v>95.305713178421399</v>
      </c>
      <c r="C894" s="63">
        <v>93.887618934104196</v>
      </c>
      <c r="D894" s="63">
        <v>94.474416552442349</v>
      </c>
      <c r="E894" s="63">
        <v>645898.3270473819</v>
      </c>
      <c r="F894" s="63" t="s">
        <v>948</v>
      </c>
      <c r="G894" s="25">
        <f t="shared" si="20"/>
        <v>5.7971014492754769E-3</v>
      </c>
    </row>
    <row r="895" spans="1:7">
      <c r="A895" s="63">
        <v>94.493976473053621</v>
      </c>
      <c r="B895" s="63">
        <v>95.736031431869378</v>
      </c>
      <c r="C895" s="63">
        <v>92.337495225660916</v>
      </c>
      <c r="D895" s="63">
        <v>93.916958815021104</v>
      </c>
      <c r="E895" s="63">
        <v>1161423.936808249</v>
      </c>
      <c r="F895" s="63" t="s">
        <v>949</v>
      </c>
      <c r="G895" s="25">
        <f t="shared" si="20"/>
        <v>6.1439133604082041E-3</v>
      </c>
    </row>
    <row r="896" spans="1:7">
      <c r="A896" s="63">
        <v>94.151677862356365</v>
      </c>
      <c r="B896" s="63">
        <v>94.239697505107088</v>
      </c>
      <c r="C896" s="63">
        <v>92.019646515727757</v>
      </c>
      <c r="D896" s="63">
        <v>92.479304650092644</v>
      </c>
      <c r="E896" s="63">
        <v>1602970.7187017815</v>
      </c>
      <c r="F896" s="63" t="s">
        <v>950</v>
      </c>
      <c r="G896" s="25">
        <f t="shared" si="20"/>
        <v>1.8083756345177671E-2</v>
      </c>
    </row>
    <row r="897" spans="1:7">
      <c r="A897" s="63">
        <v>91.335049294333245</v>
      </c>
      <c r="B897" s="63">
        <v>92.146785999701024</v>
      </c>
      <c r="C897" s="63">
        <v>90.718911795078185</v>
      </c>
      <c r="D897" s="63">
        <v>92.000086595116471</v>
      </c>
      <c r="E897" s="63">
        <v>1784026.6682826397</v>
      </c>
      <c r="F897" s="63" t="s">
        <v>951</v>
      </c>
      <c r="G897" s="25">
        <f t="shared" si="20"/>
        <v>-7.2286595088761896E-3</v>
      </c>
    </row>
    <row r="898" spans="1:7">
      <c r="A898" s="63">
        <v>91.247029651582523</v>
      </c>
      <c r="B898" s="63">
        <v>91.383949095861425</v>
      </c>
      <c r="C898" s="63">
        <v>88.045364046326512</v>
      </c>
      <c r="D898" s="63">
        <v>88.137002274390326</v>
      </c>
      <c r="E898" s="63">
        <v>2572274.2438436113</v>
      </c>
      <c r="F898" s="63" t="s">
        <v>952</v>
      </c>
      <c r="G898" s="25">
        <f t="shared" si="20"/>
        <v>3.5286284953395475E-2</v>
      </c>
    </row>
    <row r="899" spans="1:7">
      <c r="A899" s="63">
        <v>88.068542552250861</v>
      </c>
      <c r="B899" s="63">
        <v>89.44751695534552</v>
      </c>
      <c r="C899" s="63">
        <v>86.914507236185841</v>
      </c>
      <c r="D899" s="63">
        <v>88.440181043865039</v>
      </c>
      <c r="E899" s="63">
        <v>1832855.0873228286</v>
      </c>
      <c r="F899" s="63" t="s">
        <v>953</v>
      </c>
      <c r="G899" s="25">
        <f t="shared" si="20"/>
        <v>-4.2021453057615732E-3</v>
      </c>
    </row>
    <row r="900" spans="1:7">
      <c r="A900" s="63">
        <v>89.662676082069524</v>
      </c>
      <c r="B900" s="63">
        <v>92.440184808870086</v>
      </c>
      <c r="C900" s="63">
        <v>89.271477669844074</v>
      </c>
      <c r="D900" s="63">
        <v>92.234805642451747</v>
      </c>
      <c r="E900" s="63">
        <v>1415715.3574561274</v>
      </c>
      <c r="F900" s="63" t="s">
        <v>954</v>
      </c>
      <c r="G900" s="25">
        <f t="shared" si="20"/>
        <v>-2.7886756441522609E-2</v>
      </c>
    </row>
    <row r="901" spans="1:7">
      <c r="A901" s="63">
        <v>91.44262885769524</v>
      </c>
      <c r="B901" s="63">
        <v>92.665123895899711</v>
      </c>
      <c r="C901" s="63">
        <v>90.61133223171619</v>
      </c>
      <c r="D901" s="63">
        <v>92.430404848564464</v>
      </c>
      <c r="E901" s="63">
        <v>2594329.5480840281</v>
      </c>
      <c r="F901" s="63" t="s">
        <v>955</v>
      </c>
      <c r="G901" s="25">
        <f t="shared" si="20"/>
        <v>-1.0686699820124934E-2</v>
      </c>
    </row>
    <row r="902" spans="1:7">
      <c r="A902" s="63">
        <v>91.853387190531947</v>
      </c>
      <c r="B902" s="63">
        <v>92.635784014982804</v>
      </c>
      <c r="C902" s="63">
        <v>89.975634811849858</v>
      </c>
      <c r="D902" s="63">
        <v>89.975634811849858</v>
      </c>
      <c r="E902" s="63">
        <v>2041974.5454888737</v>
      </c>
      <c r="F902" s="63" t="s">
        <v>956</v>
      </c>
      <c r="G902" s="25">
        <f t="shared" si="20"/>
        <v>2.0869565217391362E-2</v>
      </c>
    </row>
    <row r="903" spans="1:7">
      <c r="A903" s="63">
        <v>90.140916141015083</v>
      </c>
      <c r="B903" s="63">
        <v>93.617263898159635</v>
      </c>
      <c r="C903" s="63">
        <v>89.452482104838978</v>
      </c>
      <c r="D903" s="63">
        <v>93.050892634355193</v>
      </c>
      <c r="E903" s="63">
        <v>3208622.6405502227</v>
      </c>
      <c r="F903" s="63" t="s">
        <v>957</v>
      </c>
      <c r="G903" s="25">
        <f t="shared" si="20"/>
        <v>-3.1272956238849847E-2</v>
      </c>
    </row>
    <row r="904" spans="1:7">
      <c r="A904" s="63">
        <v>92.904417307509206</v>
      </c>
      <c r="B904" s="63">
        <v>93.587968832790438</v>
      </c>
      <c r="C904" s="63">
        <v>86.127492185435273</v>
      </c>
      <c r="D904" s="63">
        <v>88.373447197073602</v>
      </c>
      <c r="E904" s="63">
        <v>5003226.9309807057</v>
      </c>
      <c r="F904" s="63" t="s">
        <v>958</v>
      </c>
      <c r="G904" s="25">
        <f t="shared" si="20"/>
        <v>5.127071823204421E-2</v>
      </c>
    </row>
    <row r="905" spans="1:7">
      <c r="A905" s="63">
        <v>85.297465333308054</v>
      </c>
      <c r="B905" s="63">
        <v>87.807075933269161</v>
      </c>
      <c r="C905" s="63">
        <v>84.301433110755411</v>
      </c>
      <c r="D905" s="63">
        <v>84.955689570667445</v>
      </c>
      <c r="E905" s="63">
        <v>2295467.4841145887</v>
      </c>
      <c r="F905" s="63" t="s">
        <v>959</v>
      </c>
      <c r="G905" s="25">
        <f t="shared" si="20"/>
        <v>4.022988505747005E-3</v>
      </c>
    </row>
    <row r="906" spans="1:7">
      <c r="A906" s="63">
        <v>85.483000747312971</v>
      </c>
      <c r="B906" s="63">
        <v>90.917235373298766</v>
      </c>
      <c r="C906" s="63">
        <v>84.057307566012113</v>
      </c>
      <c r="D906" s="63">
        <v>87.455535148838806</v>
      </c>
      <c r="E906" s="63">
        <v>4450087.356250857</v>
      </c>
      <c r="F906" s="63" t="s">
        <v>960</v>
      </c>
      <c r="G906" s="25">
        <f t="shared" si="20"/>
        <v>-2.2554711924966386E-2</v>
      </c>
    </row>
    <row r="907" spans="1:7">
      <c r="A907" s="63">
        <v>91.302953733993178</v>
      </c>
      <c r="B907" s="63">
        <v>92.826297133191346</v>
      </c>
      <c r="C907" s="63">
        <v>90.775642557347652</v>
      </c>
      <c r="D907" s="63">
        <v>92.826297133191346</v>
      </c>
      <c r="E907" s="63">
        <v>2171408.3651401843</v>
      </c>
      <c r="F907" s="63" t="s">
        <v>961</v>
      </c>
      <c r="G907" s="25">
        <f t="shared" si="20"/>
        <v>-1.6410687986534778E-2</v>
      </c>
    </row>
    <row r="908" spans="1:7">
      <c r="A908" s="63">
        <v>92.103685520751185</v>
      </c>
      <c r="B908" s="63">
        <v>93.949274639010511</v>
      </c>
      <c r="C908" s="63">
        <v>90.565694588868425</v>
      </c>
      <c r="D908" s="63">
        <v>92.855592198560544</v>
      </c>
      <c r="E908" s="63">
        <v>2021872.6005056957</v>
      </c>
      <c r="F908" s="63" t="s">
        <v>962</v>
      </c>
      <c r="G908" s="25">
        <f t="shared" si="20"/>
        <v>-8.0975917551793231E-3</v>
      </c>
    </row>
    <row r="909" spans="1:7">
      <c r="A909" s="63">
        <v>92.191570716858777</v>
      </c>
      <c r="B909" s="63">
        <v>93.207132982990899</v>
      </c>
      <c r="C909" s="63">
        <v>89.994440814169096</v>
      </c>
      <c r="D909" s="63">
        <v>89.994440814169096</v>
      </c>
      <c r="E909" s="63">
        <v>1520286.4181634975</v>
      </c>
      <c r="F909" s="63" t="s">
        <v>963</v>
      </c>
      <c r="G909" s="25">
        <f t="shared" si="20"/>
        <v>2.44140625E-2</v>
      </c>
    </row>
    <row r="910" spans="1:7">
      <c r="A910" s="63">
        <v>90.902587840614174</v>
      </c>
      <c r="B910" s="63">
        <v>94.027394813328371</v>
      </c>
      <c r="C910" s="63">
        <v>90.795172600927117</v>
      </c>
      <c r="D910" s="63">
        <v>92.45522630518154</v>
      </c>
      <c r="E910" s="63">
        <v>2013483.4743200133</v>
      </c>
      <c r="F910" s="63" t="s">
        <v>964</v>
      </c>
      <c r="G910" s="25">
        <f t="shared" si="20"/>
        <v>-1.6793409378960678E-2</v>
      </c>
    </row>
    <row r="911" spans="1:7">
      <c r="A911" s="63">
        <v>93.275488135519012</v>
      </c>
      <c r="B911" s="63">
        <v>93.978569704379709</v>
      </c>
      <c r="C911" s="63">
        <v>91.796087334374633</v>
      </c>
      <c r="D911" s="63">
        <v>93.002067525406517</v>
      </c>
      <c r="E911" s="63">
        <v>1502958.2438241499</v>
      </c>
      <c r="F911" s="63" t="s">
        <v>965</v>
      </c>
      <c r="G911" s="25">
        <f t="shared" si="20"/>
        <v>2.9399412011759107E-3</v>
      </c>
    </row>
    <row r="912" spans="1:7">
      <c r="A912" s="63">
        <v>92.3185160001253</v>
      </c>
      <c r="B912" s="63">
        <v>93.177837917621702</v>
      </c>
      <c r="C912" s="63">
        <v>91.180890961621529</v>
      </c>
      <c r="D912" s="63">
        <v>91.927915128536014</v>
      </c>
      <c r="E912" s="63">
        <v>2331347.588383114</v>
      </c>
      <c r="F912" s="63" t="s">
        <v>966</v>
      </c>
      <c r="G912" s="25">
        <f t="shared" si="20"/>
        <v>4.2489908646696772E-3</v>
      </c>
    </row>
    <row r="913" spans="1:7">
      <c r="A913" s="63">
        <v>91.547079278736476</v>
      </c>
      <c r="B913" s="63">
        <v>93.01417615242579</v>
      </c>
      <c r="C913" s="63">
        <v>89.662430073318205</v>
      </c>
      <c r="D913" s="63">
        <v>90.707287404819525</v>
      </c>
      <c r="E913" s="63">
        <v>2005147.5994235952</v>
      </c>
      <c r="F913" s="63" t="s">
        <v>967</v>
      </c>
      <c r="G913" s="25">
        <f t="shared" si="20"/>
        <v>9.2582624609753861E-3</v>
      </c>
    </row>
    <row r="914" spans="1:7">
      <c r="A914" s="63">
        <v>90.853762731665512</v>
      </c>
      <c r="B914" s="63">
        <v>90.951412949562823</v>
      </c>
      <c r="C914" s="63">
        <v>87.694778182687244</v>
      </c>
      <c r="D914" s="63">
        <v>87.694778182687244</v>
      </c>
      <c r="E914" s="63">
        <v>3426287.2854192187</v>
      </c>
      <c r="F914" s="63" t="s">
        <v>968</v>
      </c>
      <c r="G914" s="25">
        <f t="shared" si="20"/>
        <v>3.6022493179667103E-2</v>
      </c>
    </row>
    <row r="915" spans="1:7">
      <c r="A915" s="63">
        <v>86.693863449239728</v>
      </c>
      <c r="B915" s="63">
        <v>87.572715410315595</v>
      </c>
      <c r="C915" s="63">
        <v>85.277935289728603</v>
      </c>
      <c r="D915" s="63">
        <v>87.572715410315595</v>
      </c>
      <c r="E915" s="63">
        <v>1403624.108080595</v>
      </c>
      <c r="F915" s="63" t="s">
        <v>969</v>
      </c>
      <c r="G915" s="25">
        <f t="shared" si="20"/>
        <v>-1.0035682426404957E-2</v>
      </c>
    </row>
    <row r="916" spans="1:7">
      <c r="A916" s="63">
        <v>86.078667076486624</v>
      </c>
      <c r="B916" s="63">
        <v>86.479032969865628</v>
      </c>
      <c r="C916" s="63">
        <v>84.711564025924147</v>
      </c>
      <c r="D916" s="63">
        <v>85.443940660154041</v>
      </c>
      <c r="E916" s="63">
        <v>1686786.814681777</v>
      </c>
      <c r="F916" s="63" t="s">
        <v>970</v>
      </c>
      <c r="G916" s="25">
        <f t="shared" si="20"/>
        <v>7.4285714285715621E-3</v>
      </c>
    </row>
    <row r="917" spans="1:7">
      <c r="A917" s="63">
        <v>85.522060834471887</v>
      </c>
      <c r="B917" s="63">
        <v>85.649006117738409</v>
      </c>
      <c r="C917" s="63">
        <v>83.559291454735785</v>
      </c>
      <c r="D917" s="63">
        <v>85.510342808324211</v>
      </c>
      <c r="E917" s="63">
        <v>1357118.3234772747</v>
      </c>
      <c r="F917" s="63" t="s">
        <v>971</v>
      </c>
      <c r="G917" s="25">
        <f t="shared" si="20"/>
        <v>1.3703636031414668E-4</v>
      </c>
    </row>
    <row r="918" spans="1:7">
      <c r="A918" s="63">
        <v>85.229110180779941</v>
      </c>
      <c r="B918" s="63">
        <v>85.404880572995111</v>
      </c>
      <c r="C918" s="63">
        <v>81.694172292896994</v>
      </c>
      <c r="D918" s="63">
        <v>82.709734559029116</v>
      </c>
      <c r="E918" s="63">
        <v>1791366.2024178938</v>
      </c>
      <c r="F918" s="63" t="s">
        <v>972</v>
      </c>
      <c r="G918" s="25">
        <f t="shared" si="20"/>
        <v>3.0460448642266824E-2</v>
      </c>
    </row>
    <row r="919" spans="1:7">
      <c r="A919" s="63">
        <v>82.573024253972861</v>
      </c>
      <c r="B919" s="63">
        <v>84.692033982344682</v>
      </c>
      <c r="C919" s="63">
        <v>82.201953425963055</v>
      </c>
      <c r="D919" s="63">
        <v>84.340395547696446</v>
      </c>
      <c r="E919" s="63">
        <v>2126501.1432780568</v>
      </c>
      <c r="F919" s="63" t="s">
        <v>973</v>
      </c>
      <c r="G919" s="25">
        <f t="shared" si="20"/>
        <v>-2.0955217037417095E-2</v>
      </c>
    </row>
    <row r="920" spans="1:7">
      <c r="A920" s="63">
        <v>83.676471716212561</v>
      </c>
      <c r="B920" s="63">
        <v>84.203782892858101</v>
      </c>
      <c r="C920" s="63">
        <v>82.573024253972861</v>
      </c>
      <c r="D920" s="63">
        <v>83.090570408828654</v>
      </c>
      <c r="E920" s="63">
        <v>1357676.4379512977</v>
      </c>
      <c r="F920" s="63" t="s">
        <v>974</v>
      </c>
      <c r="G920" s="25">
        <f t="shared" si="20"/>
        <v>7.0513573862966972E-3</v>
      </c>
    </row>
    <row r="921" spans="1:7">
      <c r="A921" s="63">
        <v>84.477203502970582</v>
      </c>
      <c r="B921" s="63">
        <v>85.346290442256731</v>
      </c>
      <c r="C921" s="63">
        <v>82.524199145024212</v>
      </c>
      <c r="D921" s="63">
        <v>84.467438481180849</v>
      </c>
      <c r="E921" s="63">
        <v>1637353.2332321596</v>
      </c>
      <c r="F921" s="63" t="s">
        <v>975</v>
      </c>
      <c r="G921" s="25">
        <f t="shared" si="20"/>
        <v>1.1560693641610165E-4</v>
      </c>
    </row>
    <row r="922" spans="1:7">
      <c r="A922" s="63">
        <v>83.188220626725965</v>
      </c>
      <c r="B922" s="63">
        <v>84.262373023596481</v>
      </c>
      <c r="C922" s="63">
        <v>81.186391159830933</v>
      </c>
      <c r="D922" s="63">
        <v>81.264511334148793</v>
      </c>
      <c r="E922" s="63">
        <v>1719313.1117898882</v>
      </c>
      <c r="F922" s="63" t="s">
        <v>976</v>
      </c>
      <c r="G922" s="25">
        <f t="shared" si="20"/>
        <v>2.3672194184090278E-2</v>
      </c>
    </row>
    <row r="923" spans="1:7">
      <c r="A923" s="63">
        <v>79.350567063361339</v>
      </c>
      <c r="B923" s="63">
        <v>82.76832468976751</v>
      </c>
      <c r="C923" s="63">
        <v>78.813490864926081</v>
      </c>
      <c r="D923" s="63">
        <v>82.231248491332238</v>
      </c>
      <c r="E923" s="63">
        <v>1734352.5047541135</v>
      </c>
      <c r="F923" s="63" t="s">
        <v>977</v>
      </c>
      <c r="G923" s="25">
        <f t="shared" si="20"/>
        <v>-3.5031468946680855E-2</v>
      </c>
    </row>
    <row r="924" spans="1:7">
      <c r="A924" s="63">
        <v>81.850412641532699</v>
      </c>
      <c r="B924" s="63">
        <v>82.338663731019295</v>
      </c>
      <c r="C924" s="63">
        <v>77.436622792573885</v>
      </c>
      <c r="D924" s="63">
        <v>78.667015538080108</v>
      </c>
      <c r="E924" s="63">
        <v>2812588.706036475</v>
      </c>
      <c r="F924" s="63" t="s">
        <v>978</v>
      </c>
      <c r="G924" s="25">
        <f t="shared" si="20"/>
        <v>4.0466732869910649E-2</v>
      </c>
    </row>
    <row r="925" spans="1:7">
      <c r="A925" s="63">
        <v>80.229419024437206</v>
      </c>
      <c r="B925" s="63">
        <v>81.625817140368881</v>
      </c>
      <c r="C925" s="63">
        <v>79.760697978530089</v>
      </c>
      <c r="D925" s="63">
        <v>81.157096094461735</v>
      </c>
      <c r="E925" s="63">
        <v>1923908.6613974487</v>
      </c>
      <c r="F925" s="63" t="s">
        <v>979</v>
      </c>
      <c r="G925" s="25">
        <f t="shared" si="20"/>
        <v>-1.1430634099386383E-2</v>
      </c>
    </row>
    <row r="926" spans="1:7">
      <c r="A926" s="63">
        <v>80.932500593297902</v>
      </c>
      <c r="B926" s="63">
        <v>83.315165909992487</v>
      </c>
      <c r="C926" s="63">
        <v>80.610254874236745</v>
      </c>
      <c r="D926" s="63">
        <v>82.426548927126888</v>
      </c>
      <c r="E926" s="63">
        <v>1571335.9714296439</v>
      </c>
      <c r="F926" s="63" t="s">
        <v>980</v>
      </c>
      <c r="G926" s="25">
        <f t="shared" si="20"/>
        <v>-1.8125814476957824E-2</v>
      </c>
    </row>
    <row r="927" spans="1:7">
      <c r="A927" s="63">
        <v>82.729264602608566</v>
      </c>
      <c r="B927" s="63">
        <v>83.617881585474166</v>
      </c>
      <c r="C927" s="63">
        <v>81.957827881219757</v>
      </c>
      <c r="D927" s="63">
        <v>82.953860103772413</v>
      </c>
      <c r="E927" s="63">
        <v>1006589.663766626</v>
      </c>
      <c r="F927" s="63" t="s">
        <v>981</v>
      </c>
      <c r="G927" s="25">
        <f t="shared" si="20"/>
        <v>-2.7074749852856739E-3</v>
      </c>
    </row>
    <row r="928" spans="1:7">
      <c r="A928" s="63">
        <v>82.407018883547423</v>
      </c>
      <c r="B928" s="63">
        <v>83.735061846950956</v>
      </c>
      <c r="C928" s="63">
        <v>81.41098666099478</v>
      </c>
      <c r="D928" s="63">
        <v>83.696001759792026</v>
      </c>
      <c r="E928" s="63">
        <v>2065712.7484560213</v>
      </c>
      <c r="F928" s="63" t="s">
        <v>982</v>
      </c>
      <c r="G928" s="25">
        <f t="shared" si="20"/>
        <v>-1.5400770038501821E-2</v>
      </c>
    </row>
    <row r="929" spans="1:7">
      <c r="A929" s="63">
        <v>84.252608001806749</v>
      </c>
      <c r="B929" s="63">
        <v>87.79672501017204</v>
      </c>
      <c r="C929" s="63">
        <v>83.930362282745605</v>
      </c>
      <c r="D929" s="63">
        <v>86.15678725080447</v>
      </c>
      <c r="E929" s="63">
        <v>1717743.222819838</v>
      </c>
      <c r="F929" s="63" t="s">
        <v>983</v>
      </c>
      <c r="G929" s="25">
        <f t="shared" si="20"/>
        <v>-2.2101326079564831E-2</v>
      </c>
    </row>
    <row r="930" spans="1:7">
      <c r="A930" s="63">
        <v>86.098197120066075</v>
      </c>
      <c r="B930" s="63">
        <v>87.367649952731227</v>
      </c>
      <c r="C930" s="63">
        <v>83.57882149831525</v>
      </c>
      <c r="D930" s="63">
        <v>85.619711052369226</v>
      </c>
      <c r="E930" s="63">
        <v>1809306.7665837838</v>
      </c>
      <c r="F930" s="63" t="s">
        <v>984</v>
      </c>
      <c r="G930" s="25">
        <f t="shared" si="20"/>
        <v>5.5885036496348128E-3</v>
      </c>
    </row>
    <row r="931" spans="1:7">
      <c r="A931" s="63">
        <v>87.240704669464705</v>
      </c>
      <c r="B931" s="63">
        <v>87.362767441836354</v>
      </c>
      <c r="C931" s="63">
        <v>85.111929919303151</v>
      </c>
      <c r="D931" s="63">
        <v>86.225142403332583</v>
      </c>
      <c r="E931" s="63">
        <v>1719496.4191125489</v>
      </c>
      <c r="F931" s="63" t="s">
        <v>985</v>
      </c>
      <c r="G931" s="25">
        <f t="shared" si="20"/>
        <v>1.1778029445073779E-2</v>
      </c>
    </row>
    <row r="932" spans="1:7">
      <c r="A932" s="63">
        <v>84.555323677288442</v>
      </c>
      <c r="B932" s="63">
        <v>84.867804374559853</v>
      </c>
      <c r="C932" s="63">
        <v>81.899237750481362</v>
      </c>
      <c r="D932" s="63">
        <v>83.031980278090259</v>
      </c>
      <c r="E932" s="63">
        <v>2075442.3734426142</v>
      </c>
      <c r="F932" s="63" t="s">
        <v>986</v>
      </c>
      <c r="G932" s="25">
        <f t="shared" si="20"/>
        <v>1.8346465953193114E-2</v>
      </c>
    </row>
    <row r="933" spans="1:7">
      <c r="A933" s="63">
        <v>81.235216268779595</v>
      </c>
      <c r="B933" s="63">
        <v>82.465609014285818</v>
      </c>
      <c r="C933" s="63">
        <v>80.288009155175601</v>
      </c>
      <c r="D933" s="63">
        <v>81.323101464887188</v>
      </c>
      <c r="E933" s="63">
        <v>3346454.3862423082</v>
      </c>
      <c r="F933" s="63" t="s">
        <v>987</v>
      </c>
      <c r="G933" s="25">
        <f t="shared" si="20"/>
        <v>-1.0806916426513435E-3</v>
      </c>
    </row>
    <row r="934" spans="1:7">
      <c r="A934" s="63">
        <v>81.088740941933622</v>
      </c>
      <c r="B934" s="63">
        <v>84.184252849278622</v>
      </c>
      <c r="C934" s="63">
        <v>80.141533828329614</v>
      </c>
      <c r="D934" s="63">
        <v>83.051510321669724</v>
      </c>
      <c r="E934" s="63">
        <v>1867575.9657983021</v>
      </c>
      <c r="F934" s="63" t="s">
        <v>988</v>
      </c>
      <c r="G934" s="25">
        <f t="shared" si="20"/>
        <v>-2.3633156966490154E-2</v>
      </c>
    </row>
    <row r="935" spans="1:7">
      <c r="A935" s="63">
        <v>83.022215256300527</v>
      </c>
      <c r="B935" s="63">
        <v>83.520231367576855</v>
      </c>
      <c r="C935" s="63">
        <v>81.225451246989877</v>
      </c>
      <c r="D935" s="63">
        <v>82.133598273434927</v>
      </c>
      <c r="E935" s="63">
        <v>1601954.438693526</v>
      </c>
      <c r="F935" s="63" t="s">
        <v>989</v>
      </c>
      <c r="G935" s="25">
        <f t="shared" si="20"/>
        <v>1.081916537867067E-2</v>
      </c>
    </row>
    <row r="936" spans="1:7">
      <c r="A936" s="63">
        <v>81.996887968378687</v>
      </c>
      <c r="B936" s="63">
        <v>83.407933616994953</v>
      </c>
      <c r="C936" s="63">
        <v>81.127801029092538</v>
      </c>
      <c r="D936" s="63">
        <v>81.723467358266191</v>
      </c>
      <c r="E936" s="63">
        <v>1820716.8793719765</v>
      </c>
      <c r="F936" s="63" t="s">
        <v>990</v>
      </c>
      <c r="G936" s="25">
        <f t="shared" si="20"/>
        <v>3.3456804875133805E-3</v>
      </c>
    </row>
    <row r="937" spans="1:7">
      <c r="A937" s="63">
        <v>80.971560680456832</v>
      </c>
      <c r="B937" s="63">
        <v>82.953860103772413</v>
      </c>
      <c r="C937" s="63">
        <v>79.731402913160892</v>
      </c>
      <c r="D937" s="63">
        <v>81.703937314686726</v>
      </c>
      <c r="E937" s="63">
        <v>2020762.51593718</v>
      </c>
      <c r="F937" s="63" t="s">
        <v>991</v>
      </c>
      <c r="G937" s="25">
        <f t="shared" si="20"/>
        <v>-8.9637863033346088E-3</v>
      </c>
    </row>
    <row r="938" spans="1:7">
      <c r="A938" s="63">
        <v>81.879707706901897</v>
      </c>
      <c r="B938" s="63">
        <v>82.35819377459876</v>
      </c>
      <c r="C938" s="63">
        <v>80.224536513542347</v>
      </c>
      <c r="D938" s="63">
        <v>81.816235065268643</v>
      </c>
      <c r="E938" s="63">
        <v>2743444.9791161749</v>
      </c>
      <c r="F938" s="63" t="s">
        <v>992</v>
      </c>
      <c r="G938" s="25">
        <f t="shared" si="20"/>
        <v>7.7579519006976128E-4</v>
      </c>
    </row>
    <row r="939" spans="1:7">
      <c r="A939" s="63">
        <v>83.373756040730868</v>
      </c>
      <c r="B939" s="63">
        <v>85.932191749640637</v>
      </c>
      <c r="C939" s="63">
        <v>82.641379406500988</v>
      </c>
      <c r="D939" s="63">
        <v>85.932191749640637</v>
      </c>
      <c r="E939" s="63">
        <v>1908369.5255647404</v>
      </c>
      <c r="F939" s="63" t="s">
        <v>993</v>
      </c>
      <c r="G939" s="25">
        <f t="shared" si="20"/>
        <v>-2.9772727272727395E-2</v>
      </c>
    </row>
    <row r="940" spans="1:7">
      <c r="A940" s="63">
        <v>85.229110180779941</v>
      </c>
      <c r="B940" s="63">
        <v>87.973081303694599</v>
      </c>
      <c r="C940" s="63">
        <v>85.180285071831278</v>
      </c>
      <c r="D940" s="63">
        <v>86.703628471029461</v>
      </c>
      <c r="E940" s="63">
        <v>2207003.779823795</v>
      </c>
      <c r="F940" s="63" t="s">
        <v>994</v>
      </c>
      <c r="G940" s="25">
        <f t="shared" si="20"/>
        <v>-1.7006419641851567E-2</v>
      </c>
    </row>
    <row r="941" spans="1:7">
      <c r="A941" s="63">
        <v>85.688066204897339</v>
      </c>
      <c r="B941" s="63">
        <v>88.060966499802191</v>
      </c>
      <c r="C941" s="63">
        <v>85.502530790892436</v>
      </c>
      <c r="D941" s="63">
        <v>86.332557643019641</v>
      </c>
      <c r="E941" s="63">
        <v>4737340.1714928616</v>
      </c>
      <c r="F941" s="63" t="s">
        <v>995</v>
      </c>
      <c r="G941" s="25">
        <f t="shared" si="20"/>
        <v>-7.4652188666439745E-3</v>
      </c>
    </row>
    <row r="942" spans="1:7">
      <c r="A942" s="63">
        <v>87.26023471304417</v>
      </c>
      <c r="B942" s="63">
        <v>87.59224545389506</v>
      </c>
      <c r="C942" s="63">
        <v>83.24681075746436</v>
      </c>
      <c r="D942" s="63">
        <v>83.393286084310347</v>
      </c>
      <c r="E942" s="63">
        <v>4513597.7112049172</v>
      </c>
      <c r="F942" s="63" t="s">
        <v>996</v>
      </c>
      <c r="G942" s="25">
        <f t="shared" si="20"/>
        <v>4.637002341920371E-2</v>
      </c>
    </row>
    <row r="943" spans="1:7">
      <c r="A943" s="63">
        <v>83.559291454735785</v>
      </c>
      <c r="B943" s="63">
        <v>84.818979265611205</v>
      </c>
      <c r="C943" s="63">
        <v>82.898297129788844</v>
      </c>
      <c r="D943" s="63">
        <v>84.574853720867907</v>
      </c>
      <c r="E943" s="63">
        <v>6395972.4151024986</v>
      </c>
      <c r="F943" s="63" t="s">
        <v>997</v>
      </c>
      <c r="G943" s="25">
        <f t="shared" si="20"/>
        <v>-1.2007851287380245E-2</v>
      </c>
    </row>
    <row r="944" spans="1:7">
      <c r="A944" s="63">
        <v>84.76038913487281</v>
      </c>
      <c r="B944" s="63">
        <v>86.186082316173668</v>
      </c>
      <c r="C944" s="63">
        <v>84.281903067175946</v>
      </c>
      <c r="D944" s="63">
        <v>85.815011488163847</v>
      </c>
      <c r="E944" s="63">
        <v>3719284.0714590126</v>
      </c>
      <c r="F944" s="63" t="s">
        <v>998</v>
      </c>
      <c r="G944" s="25">
        <f t="shared" si="20"/>
        <v>-1.2289485662266619E-2</v>
      </c>
    </row>
    <row r="945" spans="1:7">
      <c r="A945" s="63">
        <v>85.981016858589285</v>
      </c>
      <c r="B945" s="63">
        <v>86.44973790449643</v>
      </c>
      <c r="C945" s="63">
        <v>84.233077958227284</v>
      </c>
      <c r="D945" s="63">
        <v>84.35025821970406</v>
      </c>
      <c r="E945" s="63">
        <v>3686984.092330276</v>
      </c>
      <c r="F945" s="63" t="s">
        <v>999</v>
      </c>
      <c r="G945" s="25">
        <f t="shared" si="20"/>
        <v>1.9333178976614906E-2</v>
      </c>
    </row>
    <row r="946" spans="1:7">
      <c r="A946" s="63">
        <v>84.35025821970406</v>
      </c>
      <c r="B946" s="63">
        <v>85.961486815009835</v>
      </c>
      <c r="C946" s="63">
        <v>83.754591890530421</v>
      </c>
      <c r="D946" s="63">
        <v>84.858039352770135</v>
      </c>
      <c r="E946" s="63">
        <v>2021790.6754452887</v>
      </c>
      <c r="F946" s="63" t="s">
        <v>1000</v>
      </c>
      <c r="G946" s="25">
        <f t="shared" si="20"/>
        <v>-5.9838895281935089E-3</v>
      </c>
    </row>
    <row r="947" spans="1:7">
      <c r="A947" s="63">
        <v>86.059137032907145</v>
      </c>
      <c r="B947" s="63">
        <v>86.576683187762939</v>
      </c>
      <c r="C947" s="63">
        <v>85.404880572995111</v>
      </c>
      <c r="D947" s="63">
        <v>86.479032969865628</v>
      </c>
      <c r="E947" s="63">
        <v>1775473.7647621799</v>
      </c>
      <c r="F947" s="63" t="s">
        <v>1001</v>
      </c>
      <c r="G947" s="25">
        <f t="shared" si="20"/>
        <v>-4.8554652213189664E-3</v>
      </c>
    </row>
    <row r="948" spans="1:7">
      <c r="A948" s="63">
        <v>85.453705681943774</v>
      </c>
      <c r="B948" s="63">
        <v>85.746656335635734</v>
      </c>
      <c r="C948" s="63">
        <v>83.427463660574404</v>
      </c>
      <c r="D948" s="63">
        <v>84.467438481180849</v>
      </c>
      <c r="E948" s="63">
        <v>1952293.6467019834</v>
      </c>
      <c r="F948" s="63" t="s">
        <v>1002</v>
      </c>
      <c r="G948" s="25">
        <f t="shared" si="20"/>
        <v>1.1676300578034704E-2</v>
      </c>
    </row>
    <row r="949" spans="1:7">
      <c r="A949" s="63">
        <v>83.7741219341099</v>
      </c>
      <c r="B949" s="63">
        <v>83.930362282745605</v>
      </c>
      <c r="C949" s="63">
        <v>80.922735571508184</v>
      </c>
      <c r="D949" s="63">
        <v>80.922735571508184</v>
      </c>
      <c r="E949" s="63">
        <v>2237042.627285297</v>
      </c>
      <c r="F949" s="63" t="s">
        <v>1003</v>
      </c>
      <c r="G949" s="25">
        <f t="shared" si="20"/>
        <v>3.5235911668878961E-2</v>
      </c>
    </row>
    <row r="950" spans="1:7">
      <c r="A950" s="63">
        <v>80.952030636877382</v>
      </c>
      <c r="B950" s="63">
        <v>82.475276385857654</v>
      </c>
      <c r="C950" s="63">
        <v>79.764701637463872</v>
      </c>
      <c r="D950" s="63">
        <v>80.659079983185407</v>
      </c>
      <c r="E950" s="63">
        <v>1801427.6238991353</v>
      </c>
      <c r="F950" s="63" t="s">
        <v>1004</v>
      </c>
      <c r="G950" s="25">
        <f t="shared" si="20"/>
        <v>3.6319612590800521E-3</v>
      </c>
    </row>
    <row r="951" spans="1:7">
      <c r="A951" s="63">
        <v>80.327069242334531</v>
      </c>
      <c r="B951" s="63">
        <v>80.756730201082732</v>
      </c>
      <c r="C951" s="63">
        <v>79.174796671146169</v>
      </c>
      <c r="D951" s="63">
        <v>79.78022802210954</v>
      </c>
      <c r="E951" s="63">
        <v>2061719.9258244324</v>
      </c>
      <c r="F951" s="63" t="s">
        <v>1005</v>
      </c>
      <c r="G951" s="25">
        <f t="shared" si="20"/>
        <v>6.854345165238751E-3</v>
      </c>
    </row>
    <row r="952" spans="1:7">
      <c r="A952" s="63">
        <v>79.165031649356422</v>
      </c>
      <c r="B952" s="63">
        <v>81.723467358266191</v>
      </c>
      <c r="C952" s="63">
        <v>79.057616409669379</v>
      </c>
      <c r="D952" s="63">
        <v>80.639549939605942</v>
      </c>
      <c r="E952" s="63">
        <v>2286089.1128244908</v>
      </c>
      <c r="F952" s="63" t="s">
        <v>1006</v>
      </c>
      <c r="G952" s="25">
        <f t="shared" si="20"/>
        <v>-1.8285299103899311E-2</v>
      </c>
    </row>
    <row r="953" spans="1:7">
      <c r="A953" s="63">
        <v>80.580959808867561</v>
      </c>
      <c r="B953" s="63">
        <v>80.990993073818402</v>
      </c>
      <c r="C953" s="63">
        <v>79.252916845464014</v>
      </c>
      <c r="D953" s="63">
        <v>79.672812782422497</v>
      </c>
      <c r="E953" s="63">
        <v>2479342.1378186946</v>
      </c>
      <c r="F953" s="63" t="s">
        <v>1007</v>
      </c>
      <c r="G953" s="25">
        <f t="shared" si="20"/>
        <v>1.1398455693099718E-2</v>
      </c>
    </row>
    <row r="954" spans="1:7">
      <c r="A954" s="63">
        <v>79.672812782422497</v>
      </c>
      <c r="B954" s="63">
        <v>80.454014525601039</v>
      </c>
      <c r="C954" s="63">
        <v>77.700278380896648</v>
      </c>
      <c r="D954" s="63">
        <v>78.374064884388162</v>
      </c>
      <c r="E954" s="63">
        <v>3089063.2555186758</v>
      </c>
      <c r="F954" s="63" t="s">
        <v>1008</v>
      </c>
      <c r="G954" s="25">
        <f t="shared" si="20"/>
        <v>1.6571143782706077E-2</v>
      </c>
    </row>
    <row r="955" spans="1:7">
      <c r="A955" s="63">
        <v>77.817458642373438</v>
      </c>
      <c r="B955" s="63">
        <v>79.663047760632764</v>
      </c>
      <c r="C955" s="63">
        <v>77.124142095302474</v>
      </c>
      <c r="D955" s="63">
        <v>79.663047760632764</v>
      </c>
      <c r="E955" s="63">
        <v>1846162.8031344081</v>
      </c>
      <c r="F955" s="63" t="s">
        <v>1009</v>
      </c>
      <c r="G955" s="25">
        <f t="shared" si="20"/>
        <v>-2.3167443000735477E-2</v>
      </c>
    </row>
    <row r="956" spans="1:7">
      <c r="A956" s="63">
        <v>79.096676496828309</v>
      </c>
      <c r="B956" s="63">
        <v>80.063413654011768</v>
      </c>
      <c r="C956" s="63">
        <v>77.290147465727912</v>
      </c>
      <c r="D956" s="63">
        <v>77.778398555214508</v>
      </c>
      <c r="E956" s="63">
        <v>1219835.4756899164</v>
      </c>
      <c r="F956" s="63" t="s">
        <v>1010</v>
      </c>
      <c r="G956" s="25">
        <f t="shared" ref="G956:G1019" si="21">A956/D956-1</f>
        <v>1.6949152542372836E-2</v>
      </c>
    </row>
    <row r="957" spans="1:7">
      <c r="A957" s="63">
        <v>78.930671126402871</v>
      </c>
      <c r="B957" s="63">
        <v>81.274276355938525</v>
      </c>
      <c r="C957" s="63">
        <v>78.706075625239023</v>
      </c>
      <c r="D957" s="63">
        <v>80.795790288241662</v>
      </c>
      <c r="E957" s="63">
        <v>1680602.4966842993</v>
      </c>
      <c r="F957" s="63" t="s">
        <v>1011</v>
      </c>
      <c r="G957" s="25">
        <f t="shared" si="21"/>
        <v>-2.3084360647812385E-2</v>
      </c>
    </row>
    <row r="958" spans="1:7">
      <c r="A958" s="63">
        <v>80.795790288241662</v>
      </c>
      <c r="B958" s="63">
        <v>80.88367548434924</v>
      </c>
      <c r="C958" s="63">
        <v>77.890696305796425</v>
      </c>
      <c r="D958" s="63">
        <v>78.129939339644864</v>
      </c>
      <c r="E958" s="63">
        <v>1589064.5545017307</v>
      </c>
      <c r="F958" s="63" t="s">
        <v>1012</v>
      </c>
      <c r="G958" s="25">
        <f t="shared" si="21"/>
        <v>3.4120734908136274E-2</v>
      </c>
    </row>
    <row r="959" spans="1:7">
      <c r="A959" s="63">
        <v>78.481480124075205</v>
      </c>
      <c r="B959" s="63">
        <v>78.916316544371952</v>
      </c>
      <c r="C959" s="63">
        <v>77.446387814363618</v>
      </c>
      <c r="D959" s="63">
        <v>77.788163577004241</v>
      </c>
      <c r="E959" s="63">
        <v>1464622.4358699233</v>
      </c>
      <c r="F959" s="63" t="s">
        <v>1013</v>
      </c>
      <c r="G959" s="25">
        <f t="shared" si="21"/>
        <v>8.9128797388902115E-3</v>
      </c>
    </row>
    <row r="960" spans="1:7">
      <c r="A960" s="63">
        <v>77.876048773111819</v>
      </c>
      <c r="B960" s="63">
        <v>78.989261257141266</v>
      </c>
      <c r="C960" s="63">
        <v>77.729573446265846</v>
      </c>
      <c r="D960" s="63">
        <v>78.38382990617788</v>
      </c>
      <c r="E960" s="63">
        <v>1091469.1466646111</v>
      </c>
      <c r="F960" s="63" t="s">
        <v>1014</v>
      </c>
      <c r="G960" s="25">
        <f t="shared" si="21"/>
        <v>-6.4781362900212525E-3</v>
      </c>
    </row>
    <row r="961" spans="1:7">
      <c r="A961" s="63">
        <v>77.778398555214508</v>
      </c>
      <c r="B961" s="63">
        <v>78.852550952085011</v>
      </c>
      <c r="C961" s="63">
        <v>77.651453271947986</v>
      </c>
      <c r="D961" s="63">
        <v>78.852550952085011</v>
      </c>
      <c r="E961" s="63">
        <v>1766060.5753214094</v>
      </c>
      <c r="F961" s="63" t="s">
        <v>1015</v>
      </c>
      <c r="G961" s="25">
        <f t="shared" si="21"/>
        <v>-1.3622291021671784E-2</v>
      </c>
    </row>
    <row r="962" spans="1:7">
      <c r="A962" s="63">
        <v>78.940436148192603</v>
      </c>
      <c r="B962" s="63">
        <v>79.370097106940804</v>
      </c>
      <c r="C962" s="63">
        <v>77.973698991009144</v>
      </c>
      <c r="D962" s="63">
        <v>78.42288999333681</v>
      </c>
      <c r="E962" s="63">
        <v>1744997.6422907552</v>
      </c>
      <c r="F962" s="63" t="s">
        <v>1016</v>
      </c>
      <c r="G962" s="25">
        <f t="shared" si="21"/>
        <v>6.5994272195244452E-3</v>
      </c>
    </row>
    <row r="963" spans="1:7">
      <c r="A963" s="63">
        <v>79.682577804212215</v>
      </c>
      <c r="B963" s="63">
        <v>80.214771491752614</v>
      </c>
      <c r="C963" s="63">
        <v>77.553803054050675</v>
      </c>
      <c r="D963" s="63">
        <v>77.553803054050675</v>
      </c>
      <c r="E963" s="63">
        <v>1986356.038692727</v>
      </c>
      <c r="F963" s="63" t="s">
        <v>1017</v>
      </c>
      <c r="G963" s="25">
        <f t="shared" si="21"/>
        <v>2.7449005288340267E-2</v>
      </c>
    </row>
    <row r="964" spans="1:7">
      <c r="A964" s="63">
        <v>77.827223664163171</v>
      </c>
      <c r="B964" s="63">
        <v>79.536102477366242</v>
      </c>
      <c r="C964" s="63">
        <v>77.24132235677925</v>
      </c>
      <c r="D964" s="63">
        <v>78.530305233023867</v>
      </c>
      <c r="E964" s="63">
        <v>2562433.6062732958</v>
      </c>
      <c r="F964" s="63" t="s">
        <v>1018</v>
      </c>
      <c r="G964" s="25">
        <f t="shared" si="21"/>
        <v>-8.9529967669733646E-3</v>
      </c>
    </row>
    <row r="965" spans="1:7">
      <c r="A965" s="63">
        <v>79.487277368417594</v>
      </c>
      <c r="B965" s="63">
        <v>80.180593915488544</v>
      </c>
      <c r="C965" s="63">
        <v>78.999026278930998</v>
      </c>
      <c r="D965" s="63">
        <v>79.194326714725619</v>
      </c>
      <c r="E965" s="63">
        <v>1924013.1158494677</v>
      </c>
      <c r="F965" s="63" t="s">
        <v>1019</v>
      </c>
      <c r="G965" s="25">
        <f t="shared" si="21"/>
        <v>3.6991368680643344E-3</v>
      </c>
    </row>
    <row r="966" spans="1:7">
      <c r="A966" s="63">
        <v>79.291976932622958</v>
      </c>
      <c r="B966" s="63">
        <v>80.493074612759983</v>
      </c>
      <c r="C966" s="63">
        <v>78.364299862598415</v>
      </c>
      <c r="D966" s="63">
        <v>78.364299862598415</v>
      </c>
      <c r="E966" s="63">
        <v>2027736.3867043308</v>
      </c>
      <c r="F966" s="63" t="s">
        <v>1020</v>
      </c>
      <c r="G966" s="25">
        <f t="shared" si="21"/>
        <v>1.1838006230529885E-2</v>
      </c>
    </row>
    <row r="967" spans="1:7">
      <c r="A967" s="63">
        <v>79.584927586314905</v>
      </c>
      <c r="B967" s="63">
        <v>79.760697978530089</v>
      </c>
      <c r="C967" s="63">
        <v>77.182732226040869</v>
      </c>
      <c r="D967" s="63">
        <v>77.778398555214508</v>
      </c>
      <c r="E967" s="63">
        <v>2223135.8482811991</v>
      </c>
      <c r="F967" s="63" t="s">
        <v>1021</v>
      </c>
      <c r="G967" s="25">
        <f t="shared" si="21"/>
        <v>2.322661644695545E-2</v>
      </c>
    </row>
    <row r="968" spans="1:7">
      <c r="A968" s="63">
        <v>76.839979961221289</v>
      </c>
      <c r="B968" s="63">
        <v>78.03892928701481</v>
      </c>
      <c r="C968" s="63">
        <v>74.744255529956234</v>
      </c>
      <c r="D968" s="63">
        <v>75.1731479717035</v>
      </c>
      <c r="E968" s="63">
        <v>2606175.4677846623</v>
      </c>
      <c r="F968" s="63" t="s">
        <v>1022</v>
      </c>
      <c r="G968" s="25">
        <f t="shared" si="21"/>
        <v>2.2173236514522632E-2</v>
      </c>
    </row>
    <row r="969" spans="1:7">
      <c r="A969" s="63">
        <v>75.1731479717035</v>
      </c>
      <c r="B969" s="63">
        <v>75.251128415657547</v>
      </c>
      <c r="C969" s="63">
        <v>73.594043981633988</v>
      </c>
      <c r="D969" s="63">
        <v>74.130159533818073</v>
      </c>
      <c r="E969" s="63">
        <v>2189857.7558833286</v>
      </c>
      <c r="F969" s="63" t="s">
        <v>1023</v>
      </c>
      <c r="G969" s="25">
        <f t="shared" si="21"/>
        <v>1.4069690992768225E-2</v>
      </c>
    </row>
    <row r="970" spans="1:7">
      <c r="A970" s="63">
        <v>73.808490202507627</v>
      </c>
      <c r="B970" s="63">
        <v>74.831983529404525</v>
      </c>
      <c r="C970" s="63">
        <v>73.126161317909691</v>
      </c>
      <c r="D970" s="63">
        <v>73.8377328689904</v>
      </c>
      <c r="E970" s="63">
        <v>3021958.6867043385</v>
      </c>
      <c r="F970" s="63" t="s">
        <v>1024</v>
      </c>
      <c r="G970" s="25">
        <f t="shared" si="21"/>
        <v>-3.9603960396050741E-4</v>
      </c>
    </row>
    <row r="971" spans="1:7">
      <c r="A971" s="63">
        <v>73.974198645909979</v>
      </c>
      <c r="B971" s="63">
        <v>75.670273301910555</v>
      </c>
      <c r="C971" s="63">
        <v>73.077423540438417</v>
      </c>
      <c r="D971" s="63">
        <v>75.06592486126668</v>
      </c>
      <c r="E971" s="63">
        <v>3266056.8097057478</v>
      </c>
      <c r="F971" s="63" t="s">
        <v>1025</v>
      </c>
      <c r="G971" s="25">
        <f t="shared" si="21"/>
        <v>-1.4543565770679279E-2</v>
      </c>
    </row>
    <row r="972" spans="1:7">
      <c r="A972" s="63">
        <v>72.424337322323254</v>
      </c>
      <c r="B972" s="63">
        <v>74.061926645358298</v>
      </c>
      <c r="C972" s="63">
        <v>67.989199572436704</v>
      </c>
      <c r="D972" s="63">
        <v>67.998947127930961</v>
      </c>
      <c r="E972" s="63">
        <v>4326038.4641921846</v>
      </c>
      <c r="F972" s="63" t="s">
        <v>1026</v>
      </c>
      <c r="G972" s="25">
        <f t="shared" si="21"/>
        <v>6.5080275229357776E-2</v>
      </c>
    </row>
    <row r="973" spans="1:7">
      <c r="A973" s="63">
        <v>65.757009364252042</v>
      </c>
      <c r="B973" s="63">
        <v>66.64403691422936</v>
      </c>
      <c r="C973" s="63">
        <v>63.856236042872098</v>
      </c>
      <c r="D973" s="63">
        <v>63.856236042872098</v>
      </c>
      <c r="E973" s="63">
        <v>2488737.8188608331</v>
      </c>
      <c r="F973" s="63" t="s">
        <v>1027</v>
      </c>
      <c r="G973" s="25">
        <f t="shared" si="21"/>
        <v>2.9766447870553936E-2</v>
      </c>
    </row>
    <row r="974" spans="1:7">
      <c r="A974" s="63">
        <v>65.474330254918613</v>
      </c>
      <c r="B974" s="63">
        <v>65.679028920297995</v>
      </c>
      <c r="C974" s="63">
        <v>63.885478709354864</v>
      </c>
      <c r="D974" s="63">
        <v>64.947962258228785</v>
      </c>
      <c r="E974" s="63">
        <v>2345878.4116155435</v>
      </c>
      <c r="F974" s="63" t="s">
        <v>1028</v>
      </c>
      <c r="G974" s="25">
        <f t="shared" si="21"/>
        <v>8.1044574515982681E-3</v>
      </c>
    </row>
    <row r="975" spans="1:7">
      <c r="A975" s="63">
        <v>64.177905374182544</v>
      </c>
      <c r="B975" s="63">
        <v>65.103923146136893</v>
      </c>
      <c r="C975" s="63">
        <v>63.349363157170764</v>
      </c>
      <c r="D975" s="63">
        <v>63.651537377492708</v>
      </c>
      <c r="E975" s="63">
        <v>1767537.5133952771</v>
      </c>
      <c r="F975" s="63" t="s">
        <v>1029</v>
      </c>
      <c r="G975" s="25">
        <f t="shared" si="21"/>
        <v>8.2695252679938491E-3</v>
      </c>
    </row>
    <row r="976" spans="1:7">
      <c r="A976" s="63">
        <v>63.651537377492708</v>
      </c>
      <c r="B976" s="63">
        <v>64.918719591746012</v>
      </c>
      <c r="C976" s="63">
        <v>62.511073384664741</v>
      </c>
      <c r="D976" s="63">
        <v>64.382604039561926</v>
      </c>
      <c r="E976" s="63">
        <v>2806060.4544511256</v>
      </c>
      <c r="F976" s="63" t="s">
        <v>1030</v>
      </c>
      <c r="G976" s="25">
        <f t="shared" si="21"/>
        <v>-1.1355034065102299E-2</v>
      </c>
    </row>
    <row r="977" spans="1:7">
      <c r="A977" s="63">
        <v>64.4313418170332</v>
      </c>
      <c r="B977" s="63">
        <v>64.918719591746012</v>
      </c>
      <c r="C977" s="63">
        <v>62.033443165446194</v>
      </c>
      <c r="D977" s="63">
        <v>62.238141830825569</v>
      </c>
      <c r="E977" s="63">
        <v>3996173.1967520867</v>
      </c>
      <c r="F977" s="63" t="s">
        <v>1031</v>
      </c>
      <c r="G977" s="25">
        <f t="shared" si="21"/>
        <v>3.5238841033672585E-2</v>
      </c>
    </row>
    <row r="978" spans="1:7">
      <c r="A978" s="63">
        <v>62.959460937400529</v>
      </c>
      <c r="B978" s="63">
        <v>64.275380929125106</v>
      </c>
      <c r="C978" s="63">
        <v>60.620047618779047</v>
      </c>
      <c r="D978" s="63">
        <v>61.000202283055039</v>
      </c>
      <c r="E978" s="63">
        <v>8679741.3002526704</v>
      </c>
      <c r="F978" s="63" t="s">
        <v>1032</v>
      </c>
      <c r="G978" s="25">
        <f t="shared" si="21"/>
        <v>3.2118887823585851E-2</v>
      </c>
    </row>
    <row r="979" spans="1:7">
      <c r="A979" s="63">
        <v>54.128175659604445</v>
      </c>
      <c r="B979" s="63">
        <v>54.352369435972335</v>
      </c>
      <c r="C979" s="63">
        <v>52.812255667879867</v>
      </c>
      <c r="D979" s="63">
        <v>53.64079788489164</v>
      </c>
      <c r="E979" s="63">
        <v>1597481.5438779171</v>
      </c>
      <c r="F979" s="63" t="s">
        <v>1033</v>
      </c>
      <c r="G979" s="25">
        <f t="shared" si="21"/>
        <v>9.0859531164817486E-3</v>
      </c>
    </row>
    <row r="980" spans="1:7">
      <c r="A980" s="63">
        <v>54.098932993121679</v>
      </c>
      <c r="B980" s="63">
        <v>55.239396985949654</v>
      </c>
      <c r="C980" s="63">
        <v>53.504332107972054</v>
      </c>
      <c r="D980" s="63">
        <v>54.001457438179116</v>
      </c>
      <c r="E980" s="63">
        <v>2045189.6900455961</v>
      </c>
      <c r="F980" s="63" t="s">
        <v>1034</v>
      </c>
      <c r="G980" s="25">
        <f t="shared" si="21"/>
        <v>1.8050541516245744E-3</v>
      </c>
    </row>
    <row r="981" spans="1:7">
      <c r="A981" s="63">
        <v>53.572564996431844</v>
      </c>
      <c r="B981" s="63">
        <v>53.670040551374406</v>
      </c>
      <c r="C981" s="63">
        <v>52.022703672845111</v>
      </c>
      <c r="D981" s="63">
        <v>52.617304557994736</v>
      </c>
      <c r="E981" s="63">
        <v>1895588.0795844619</v>
      </c>
      <c r="F981" s="63" t="s">
        <v>1035</v>
      </c>
      <c r="G981" s="25">
        <f t="shared" si="21"/>
        <v>1.8154872174879655E-2</v>
      </c>
    </row>
    <row r="982" spans="1:7">
      <c r="A982" s="63">
        <v>52.636799668983251</v>
      </c>
      <c r="B982" s="63">
        <v>54.196408548064241</v>
      </c>
      <c r="C982" s="63">
        <v>52.071441450316399</v>
      </c>
      <c r="D982" s="63">
        <v>53.406856553029492</v>
      </c>
      <c r="E982" s="63">
        <v>1542020.4592686978</v>
      </c>
      <c r="F982" s="63" t="s">
        <v>1036</v>
      </c>
      <c r="G982" s="25">
        <f t="shared" si="21"/>
        <v>-1.4418689541887297E-2</v>
      </c>
    </row>
    <row r="983" spans="1:7">
      <c r="A983" s="63">
        <v>52.792760556891352</v>
      </c>
      <c r="B983" s="63">
        <v>53.470215663742152</v>
      </c>
      <c r="C983" s="63">
        <v>51.964218339879579</v>
      </c>
      <c r="D983" s="63">
        <v>52.500333892063665</v>
      </c>
      <c r="E983" s="63">
        <v>1863810.8816826367</v>
      </c>
      <c r="F983" s="63" t="s">
        <v>1037</v>
      </c>
      <c r="G983" s="25">
        <f t="shared" si="21"/>
        <v>5.5699962866690989E-3</v>
      </c>
    </row>
    <row r="984" spans="1:7">
      <c r="A984" s="63">
        <v>52.705032557443047</v>
      </c>
      <c r="B984" s="63">
        <v>53.947845882960706</v>
      </c>
      <c r="C984" s="63">
        <v>52.022703672845111</v>
      </c>
      <c r="D984" s="63">
        <v>53.767516106316968</v>
      </c>
      <c r="E984" s="63">
        <v>2876230.8679874269</v>
      </c>
      <c r="F984" s="63" t="s">
        <v>1038</v>
      </c>
      <c r="G984" s="25">
        <f t="shared" si="21"/>
        <v>-1.9760696156635227E-2</v>
      </c>
    </row>
    <row r="985" spans="1:7">
      <c r="A985" s="63">
        <v>53.611555218408867</v>
      </c>
      <c r="B985" s="63">
        <v>54.098932993121679</v>
      </c>
      <c r="C985" s="63">
        <v>52.80250811238561</v>
      </c>
      <c r="D985" s="63">
        <v>54.04044766015614</v>
      </c>
      <c r="E985" s="63">
        <v>2386412.6768713631</v>
      </c>
      <c r="F985" s="63" t="s">
        <v>1039</v>
      </c>
      <c r="G985" s="25">
        <f t="shared" si="21"/>
        <v>-7.9365079365080193E-3</v>
      </c>
    </row>
    <row r="986" spans="1:7">
      <c r="A986" s="63">
        <v>53.426351664018007</v>
      </c>
      <c r="B986" s="63">
        <v>55.239396985949654</v>
      </c>
      <c r="C986" s="63">
        <v>53.211905443144374</v>
      </c>
      <c r="D986" s="63">
        <v>54.907980099144936</v>
      </c>
      <c r="E986" s="63">
        <v>2650085.964139591</v>
      </c>
      <c r="F986" s="63" t="s">
        <v>1040</v>
      </c>
      <c r="G986" s="25">
        <f t="shared" si="21"/>
        <v>-2.6983845197940615E-2</v>
      </c>
    </row>
    <row r="987" spans="1:7">
      <c r="A987" s="63">
        <v>54.254893881029773</v>
      </c>
      <c r="B987" s="63">
        <v>55.216002852763431</v>
      </c>
      <c r="C987" s="63">
        <v>51.311132121764416</v>
      </c>
      <c r="D987" s="63">
        <v>53.572564996431844</v>
      </c>
      <c r="E987" s="63">
        <v>5320498.0500557395</v>
      </c>
      <c r="F987" s="63" t="s">
        <v>1041</v>
      </c>
      <c r="G987" s="25">
        <f t="shared" si="21"/>
        <v>1.273653566229993E-2</v>
      </c>
    </row>
    <row r="988" spans="1:7">
      <c r="A988" s="63">
        <v>56.457841422731669</v>
      </c>
      <c r="B988" s="63">
        <v>57.481334749628566</v>
      </c>
      <c r="C988" s="63">
        <v>55.648794316708411</v>
      </c>
      <c r="D988" s="63">
        <v>56.818500976019145</v>
      </c>
      <c r="E988" s="63">
        <v>2676312.0266791312</v>
      </c>
      <c r="F988" s="63" t="s">
        <v>1042</v>
      </c>
      <c r="G988" s="25">
        <f t="shared" si="21"/>
        <v>-6.3475724824154645E-3</v>
      </c>
    </row>
    <row r="989" spans="1:7">
      <c r="A989" s="63">
        <v>58.309876966640338</v>
      </c>
      <c r="B989" s="63">
        <v>58.758264519376119</v>
      </c>
      <c r="C989" s="63">
        <v>56.682035199099559</v>
      </c>
      <c r="D989" s="63">
        <v>56.682035199099559</v>
      </c>
      <c r="E989" s="63">
        <v>1618063.1143155736</v>
      </c>
      <c r="F989" s="63" t="s">
        <v>1043</v>
      </c>
      <c r="G989" s="25">
        <f t="shared" si="21"/>
        <v>2.8718830610490187E-2</v>
      </c>
    </row>
    <row r="990" spans="1:7">
      <c r="A990" s="63">
        <v>57.734771192479222</v>
      </c>
      <c r="B990" s="63">
        <v>59.567311625399384</v>
      </c>
      <c r="C990" s="63">
        <v>57.432596972157285</v>
      </c>
      <c r="D990" s="63">
        <v>57.910227191375832</v>
      </c>
      <c r="E990" s="63">
        <v>1855210.7767589563</v>
      </c>
      <c r="F990" s="63" t="s">
        <v>1044</v>
      </c>
      <c r="G990" s="25">
        <f t="shared" si="21"/>
        <v>-3.0297929641474042E-3</v>
      </c>
    </row>
    <row r="991" spans="1:7">
      <c r="A991" s="63">
        <v>58.329372077628854</v>
      </c>
      <c r="B991" s="63">
        <v>58.621798742456534</v>
      </c>
      <c r="C991" s="63">
        <v>56.935471641950215</v>
      </c>
      <c r="D991" s="63">
        <v>58.14416852323798</v>
      </c>
      <c r="E991" s="63">
        <v>1820791.8908959627</v>
      </c>
      <c r="F991" s="63" t="s">
        <v>1045</v>
      </c>
      <c r="G991" s="25">
        <f t="shared" si="21"/>
        <v>3.1852472757754047E-3</v>
      </c>
    </row>
    <row r="992" spans="1:7">
      <c r="A992" s="63">
        <v>58.14416852323798</v>
      </c>
      <c r="B992" s="63">
        <v>58.300129411146081</v>
      </c>
      <c r="C992" s="63">
        <v>55.970463648018864</v>
      </c>
      <c r="D992" s="63">
        <v>57.452092083145793</v>
      </c>
      <c r="E992" s="63">
        <v>2150459.1599762524</v>
      </c>
      <c r="F992" s="63" t="s">
        <v>1046</v>
      </c>
      <c r="G992" s="25">
        <f t="shared" si="21"/>
        <v>1.2046148625721065E-2</v>
      </c>
    </row>
    <row r="993" spans="1:7">
      <c r="A993" s="63">
        <v>57.617800526548152</v>
      </c>
      <c r="B993" s="63">
        <v>58.387857410594385</v>
      </c>
      <c r="C993" s="63">
        <v>56.1166769804327</v>
      </c>
      <c r="D993" s="63">
        <v>56.1166769804327</v>
      </c>
      <c r="E993" s="63">
        <v>1920577.9347479986</v>
      </c>
      <c r="F993" s="63" t="s">
        <v>1047</v>
      </c>
      <c r="G993" s="25">
        <f t="shared" si="21"/>
        <v>2.6750043425395331E-2</v>
      </c>
    </row>
    <row r="994" spans="1:7">
      <c r="A994" s="63">
        <v>55.327124985397951</v>
      </c>
      <c r="B994" s="63">
        <v>55.775512538133739</v>
      </c>
      <c r="C994" s="63">
        <v>53.182662776661601</v>
      </c>
      <c r="D994" s="63">
        <v>53.738273439834202</v>
      </c>
      <c r="E994" s="63">
        <v>1761008.6970128003</v>
      </c>
      <c r="F994" s="63" t="s">
        <v>1048</v>
      </c>
      <c r="G994" s="25">
        <f t="shared" si="21"/>
        <v>2.9566479230908715E-2</v>
      </c>
    </row>
    <row r="995" spans="1:7">
      <c r="A995" s="63">
        <v>53.553069885443328</v>
      </c>
      <c r="B995" s="63">
        <v>55.921725870547576</v>
      </c>
      <c r="C995" s="63">
        <v>51.554821009120822</v>
      </c>
      <c r="D995" s="63">
        <v>55.707279649673943</v>
      </c>
      <c r="E995" s="63">
        <v>2766518.2327908208</v>
      </c>
      <c r="F995" s="63" t="s">
        <v>1049</v>
      </c>
      <c r="G995" s="25">
        <f t="shared" si="21"/>
        <v>-3.867016622922137E-2</v>
      </c>
    </row>
    <row r="996" spans="1:7">
      <c r="A996" s="63">
        <v>56.145919646915473</v>
      </c>
      <c r="B996" s="63">
        <v>56.623549866134027</v>
      </c>
      <c r="C996" s="63">
        <v>55.190659208478365</v>
      </c>
      <c r="D996" s="63">
        <v>55.288134763420928</v>
      </c>
      <c r="E996" s="63">
        <v>1571566.328504293</v>
      </c>
      <c r="F996" s="63" t="s">
        <v>1050</v>
      </c>
      <c r="G996" s="25">
        <f t="shared" si="21"/>
        <v>1.5514809590973178E-2</v>
      </c>
    </row>
    <row r="997" spans="1:7">
      <c r="A997" s="63">
        <v>55.814502760110763</v>
      </c>
      <c r="B997" s="63">
        <v>57.348767994906687</v>
      </c>
      <c r="C997" s="63">
        <v>55.122426320018569</v>
      </c>
      <c r="D997" s="63">
        <v>55.463590762317537</v>
      </c>
      <c r="E997" s="63">
        <v>2487209.230487186</v>
      </c>
      <c r="F997" s="63" t="s">
        <v>1051</v>
      </c>
      <c r="G997" s="25">
        <f t="shared" si="21"/>
        <v>6.3268892794376974E-3</v>
      </c>
    </row>
    <row r="998" spans="1:7">
      <c r="A998" s="63">
        <v>55.863240537582044</v>
      </c>
      <c r="B998" s="63">
        <v>56.686908976846688</v>
      </c>
      <c r="C998" s="63">
        <v>54.898232543650685</v>
      </c>
      <c r="D998" s="63">
        <v>56.496831644708692</v>
      </c>
      <c r="E998" s="63">
        <v>1448807.3454233443</v>
      </c>
      <c r="F998" s="63" t="s">
        <v>1052</v>
      </c>
      <c r="G998" s="25">
        <f t="shared" si="21"/>
        <v>-1.1214630779848078E-2</v>
      </c>
    </row>
    <row r="999" spans="1:7">
      <c r="A999" s="63">
        <v>56.613802310639763</v>
      </c>
      <c r="B999" s="63">
        <v>59.372360515514259</v>
      </c>
      <c r="C999" s="63">
        <v>56.370113423283364</v>
      </c>
      <c r="D999" s="63">
        <v>58.329372077628854</v>
      </c>
      <c r="E999" s="63">
        <v>1438045.6729135737</v>
      </c>
      <c r="F999" s="63" t="s">
        <v>1053</v>
      </c>
      <c r="G999" s="25">
        <f t="shared" si="21"/>
        <v>-2.941176470588247E-2</v>
      </c>
    </row>
    <row r="1000" spans="1:7">
      <c r="A1000" s="63">
        <v>57.919974746870096</v>
      </c>
      <c r="B1000" s="63">
        <v>58.359589499661048</v>
      </c>
      <c r="C1000" s="63">
        <v>56.94521919744448</v>
      </c>
      <c r="D1000" s="63">
        <v>57.627548082042402</v>
      </c>
      <c r="E1000" s="63">
        <v>1763385.7032287335</v>
      </c>
      <c r="F1000" s="63" t="s">
        <v>1054</v>
      </c>
      <c r="G1000" s="25">
        <f t="shared" si="21"/>
        <v>5.0744248985117313E-3</v>
      </c>
    </row>
    <row r="1001" spans="1:7">
      <c r="A1001" s="63">
        <v>57.783508969950503</v>
      </c>
      <c r="B1001" s="63">
        <v>58.816749852341658</v>
      </c>
      <c r="C1001" s="63">
        <v>56.5163267556972</v>
      </c>
      <c r="D1001" s="63">
        <v>57.354616528203238</v>
      </c>
      <c r="E1001" s="63">
        <v>6641457.9571408937</v>
      </c>
      <c r="F1001" s="63" t="s">
        <v>1055</v>
      </c>
      <c r="G1001" s="25">
        <f t="shared" si="21"/>
        <v>7.4779061862677576E-3</v>
      </c>
    </row>
    <row r="1002" spans="1:7">
      <c r="A1002" s="63">
        <v>57.169412973812364</v>
      </c>
      <c r="B1002" s="63">
        <v>59.684282291330454</v>
      </c>
      <c r="C1002" s="63">
        <v>56.33112320130634</v>
      </c>
      <c r="D1002" s="63">
        <v>58.368362299605877</v>
      </c>
      <c r="E1002" s="63">
        <v>2736658.4386945972</v>
      </c>
      <c r="F1002" s="63" t="s">
        <v>1056</v>
      </c>
      <c r="G1002" s="25">
        <f t="shared" si="21"/>
        <v>-2.0541082164328817E-2</v>
      </c>
    </row>
    <row r="1003" spans="1:7">
      <c r="A1003" s="63">
        <v>57.715276081490714</v>
      </c>
      <c r="B1003" s="63">
        <v>58.904477851789963</v>
      </c>
      <c r="C1003" s="63">
        <v>57.378985416938875</v>
      </c>
      <c r="D1003" s="63">
        <v>57.783508969950503</v>
      </c>
      <c r="E1003" s="63">
        <v>3317123.9721644092</v>
      </c>
      <c r="F1003" s="63" t="s">
        <v>1057</v>
      </c>
      <c r="G1003" s="25">
        <f t="shared" si="21"/>
        <v>-1.1808367071524106E-3</v>
      </c>
    </row>
    <row r="1004" spans="1:7">
      <c r="A1004" s="63">
        <v>58.855740074318689</v>
      </c>
      <c r="B1004" s="63">
        <v>59.401603181997025</v>
      </c>
      <c r="C1004" s="63">
        <v>56.633297421628278</v>
      </c>
      <c r="D1004" s="63">
        <v>56.633297421628278</v>
      </c>
      <c r="E1004" s="63">
        <v>4476652.6362135801</v>
      </c>
      <c r="F1004" s="63" t="s">
        <v>1058</v>
      </c>
      <c r="G1004" s="25">
        <f t="shared" si="21"/>
        <v>3.9242685025817625E-2</v>
      </c>
    </row>
    <row r="1005" spans="1:7">
      <c r="A1005" s="63">
        <v>56.633297421628278</v>
      </c>
      <c r="B1005" s="63">
        <v>57.997955190824143</v>
      </c>
      <c r="C1005" s="63">
        <v>54.084311659880292</v>
      </c>
      <c r="D1005" s="63">
        <v>57.071937418869801</v>
      </c>
      <c r="E1005" s="63">
        <v>6646692.0899478383</v>
      </c>
      <c r="F1005" s="63" t="s">
        <v>1059</v>
      </c>
      <c r="G1005" s="25">
        <f t="shared" si="21"/>
        <v>-7.6857386848846465E-3</v>
      </c>
    </row>
    <row r="1006" spans="1:7">
      <c r="A1006" s="63">
        <v>56.789258309536379</v>
      </c>
      <c r="B1006" s="63">
        <v>56.876986308984684</v>
      </c>
      <c r="C1006" s="63">
        <v>54.66429121178853</v>
      </c>
      <c r="D1006" s="63">
        <v>54.907980099144936</v>
      </c>
      <c r="E1006" s="63">
        <v>4962291.3179106927</v>
      </c>
      <c r="F1006" s="63" t="s">
        <v>1060</v>
      </c>
      <c r="G1006" s="25">
        <f t="shared" si="21"/>
        <v>3.4262382389490531E-2</v>
      </c>
    </row>
    <row r="1007" spans="1:7">
      <c r="A1007" s="63">
        <v>56.73077297657084</v>
      </c>
      <c r="B1007" s="63">
        <v>58.051566746042553</v>
      </c>
      <c r="C1007" s="63">
        <v>54.274388992018288</v>
      </c>
      <c r="D1007" s="63">
        <v>54.293884103006803</v>
      </c>
      <c r="E1007" s="63">
        <v>3992545.6205848278</v>
      </c>
      <c r="F1007" s="63" t="s">
        <v>1061</v>
      </c>
      <c r="G1007" s="25">
        <f t="shared" si="21"/>
        <v>4.4883303411131115E-2</v>
      </c>
    </row>
    <row r="1008" spans="1:7">
      <c r="A1008" s="63">
        <v>53.065692110730524</v>
      </c>
      <c r="B1008" s="63">
        <v>55.05419343155878</v>
      </c>
      <c r="C1008" s="63">
        <v>51.973965895373837</v>
      </c>
      <c r="D1008" s="63">
        <v>54.615553434317256</v>
      </c>
      <c r="E1008" s="63">
        <v>2390791.2105483604</v>
      </c>
      <c r="F1008" s="63" t="s">
        <v>1062</v>
      </c>
      <c r="G1008" s="25">
        <f t="shared" si="21"/>
        <v>-2.8377654827770882E-2</v>
      </c>
    </row>
    <row r="1009" spans="1:7">
      <c r="A1009" s="63">
        <v>54.079437882133163</v>
      </c>
      <c r="B1009" s="63">
        <v>57.500829860617081</v>
      </c>
      <c r="C1009" s="63">
        <v>53.806506328293999</v>
      </c>
      <c r="D1009" s="63">
        <v>56.799005865030637</v>
      </c>
      <c r="E1009" s="63">
        <v>2167938.4141441714</v>
      </c>
      <c r="F1009" s="63" t="s">
        <v>1063</v>
      </c>
      <c r="G1009" s="25">
        <f t="shared" si="21"/>
        <v>-4.788055603226371E-2</v>
      </c>
    </row>
    <row r="1010" spans="1:7">
      <c r="A1010" s="63">
        <v>58.280634300157566</v>
      </c>
      <c r="B1010" s="63">
        <v>59.518573847928103</v>
      </c>
      <c r="C1010" s="63">
        <v>57.715276081490714</v>
      </c>
      <c r="D1010" s="63">
        <v>58.339119633123111</v>
      </c>
      <c r="E1010" s="63">
        <v>1580720.4184761408</v>
      </c>
      <c r="F1010" s="63" t="s">
        <v>1064</v>
      </c>
      <c r="G1010" s="25">
        <f t="shared" si="21"/>
        <v>-1.002506265664338E-3</v>
      </c>
    </row>
    <row r="1011" spans="1:7">
      <c r="A1011" s="63">
        <v>59.664787180341946</v>
      </c>
      <c r="B1011" s="63">
        <v>62.832742715975186</v>
      </c>
      <c r="C1011" s="63">
        <v>59.616049402870658</v>
      </c>
      <c r="D1011" s="63">
        <v>62.637791606090076</v>
      </c>
      <c r="E1011" s="63">
        <v>1858102.7838900378</v>
      </c>
      <c r="F1011" s="63" t="s">
        <v>1065</v>
      </c>
      <c r="G1011" s="25">
        <f t="shared" si="21"/>
        <v>-4.7463429816370972E-2</v>
      </c>
    </row>
    <row r="1012" spans="1:7">
      <c r="A1012" s="63">
        <v>63.134916936297131</v>
      </c>
      <c r="B1012" s="63">
        <v>64.792001370320676</v>
      </c>
      <c r="C1012" s="63">
        <v>61.536317835239132</v>
      </c>
      <c r="D1012" s="63">
        <v>64.762758703837918</v>
      </c>
      <c r="E1012" s="63">
        <v>1972030.8349439029</v>
      </c>
      <c r="F1012" s="63" t="s">
        <v>1066</v>
      </c>
      <c r="G1012" s="25">
        <f t="shared" si="21"/>
        <v>-2.5135460565924306E-2</v>
      </c>
    </row>
    <row r="1013" spans="1:7">
      <c r="A1013" s="63">
        <v>64.869981814274723</v>
      </c>
      <c r="B1013" s="63">
        <v>65.016195146688574</v>
      </c>
      <c r="C1013" s="63">
        <v>63.516241307232434</v>
      </c>
      <c r="D1013" s="63">
        <v>63.865983598366341</v>
      </c>
      <c r="E1013" s="63">
        <v>2792142.0930650379</v>
      </c>
      <c r="F1013" s="63" t="s">
        <v>1067</v>
      </c>
      <c r="G1013" s="25">
        <f t="shared" si="21"/>
        <v>1.5720390720390665E-2</v>
      </c>
    </row>
    <row r="1014" spans="1:7">
      <c r="A1014" s="63">
        <v>64.714020926366629</v>
      </c>
      <c r="B1014" s="63">
        <v>65.250136478550715</v>
      </c>
      <c r="C1014" s="63">
        <v>63.734391599193899</v>
      </c>
      <c r="D1014" s="63">
        <v>63.914721375837622</v>
      </c>
      <c r="E1014" s="63">
        <v>2085890.150815866</v>
      </c>
      <c r="F1014" s="63" t="s">
        <v>1068</v>
      </c>
      <c r="G1014" s="25">
        <f t="shared" si="21"/>
        <v>1.2505719078847122E-2</v>
      </c>
    </row>
    <row r="1015" spans="1:7">
      <c r="A1015" s="63">
        <v>63.524819156067387</v>
      </c>
      <c r="B1015" s="63">
        <v>64.158410263194028</v>
      </c>
      <c r="C1015" s="63">
        <v>61.526570279744867</v>
      </c>
      <c r="D1015" s="63">
        <v>61.663036056664453</v>
      </c>
      <c r="E1015" s="63">
        <v>1839901.2973630263</v>
      </c>
      <c r="F1015" s="63" t="s">
        <v>1069</v>
      </c>
      <c r="G1015" s="25">
        <f t="shared" si="21"/>
        <v>3.0192854884603326E-2</v>
      </c>
    </row>
    <row r="1016" spans="1:7">
      <c r="A1016" s="63">
        <v>62.140666275883007</v>
      </c>
      <c r="B1016" s="63">
        <v>62.50132582917049</v>
      </c>
      <c r="C1016" s="63">
        <v>60.415348953399665</v>
      </c>
      <c r="D1016" s="63">
        <v>62.082180942917468</v>
      </c>
      <c r="E1016" s="63">
        <v>1804075.9050166297</v>
      </c>
      <c r="F1016" s="63" t="s">
        <v>1070</v>
      </c>
      <c r="G1016" s="25">
        <f t="shared" si="21"/>
        <v>9.4206311822886413E-4</v>
      </c>
    </row>
    <row r="1017" spans="1:7">
      <c r="A1017" s="63">
        <v>62.043190720940444</v>
      </c>
      <c r="B1017" s="63">
        <v>62.306374719285365</v>
      </c>
      <c r="C1017" s="63">
        <v>60.581057396802024</v>
      </c>
      <c r="D1017" s="63">
        <v>60.805251173169914</v>
      </c>
      <c r="E1017" s="63">
        <v>2060651.0023806535</v>
      </c>
      <c r="F1017" s="63" t="s">
        <v>1071</v>
      </c>
      <c r="G1017" s="25">
        <f t="shared" si="21"/>
        <v>2.0359089451747359E-2</v>
      </c>
    </row>
    <row r="1018" spans="1:7">
      <c r="A1018" s="63">
        <v>60.512824508342227</v>
      </c>
      <c r="B1018" s="63">
        <v>64.714020926366629</v>
      </c>
      <c r="C1018" s="63">
        <v>59.82074806825004</v>
      </c>
      <c r="D1018" s="63">
        <v>63.885478709354864</v>
      </c>
      <c r="E1018" s="63">
        <v>7580643.1718744272</v>
      </c>
      <c r="F1018" s="63" t="s">
        <v>1072</v>
      </c>
      <c r="G1018" s="25">
        <f t="shared" si="21"/>
        <v>-5.279218797680818E-2</v>
      </c>
    </row>
    <row r="1019" spans="1:7">
      <c r="A1019" s="63">
        <v>64.918719591746012</v>
      </c>
      <c r="B1019" s="63">
        <v>64.957709813723042</v>
      </c>
      <c r="C1019" s="63">
        <v>60.43484406438818</v>
      </c>
      <c r="D1019" s="63">
        <v>60.824746284158422</v>
      </c>
      <c r="E1019" s="63">
        <v>2866180.1429561377</v>
      </c>
      <c r="F1019" s="63" t="s">
        <v>1073</v>
      </c>
      <c r="G1019" s="25">
        <f t="shared" si="21"/>
        <v>6.7307692307692291E-2</v>
      </c>
    </row>
    <row r="1020" spans="1:7">
      <c r="A1020" s="63">
        <v>60.892979172618219</v>
      </c>
      <c r="B1020" s="63">
        <v>61.451221675774271</v>
      </c>
      <c r="C1020" s="63">
        <v>57.67628585951369</v>
      </c>
      <c r="D1020" s="63">
        <v>57.686033415007941</v>
      </c>
      <c r="E1020" s="63">
        <v>3344633.4333988708</v>
      </c>
      <c r="F1020" s="63" t="s">
        <v>1074</v>
      </c>
      <c r="G1020" s="25">
        <f t="shared" ref="G1020:G1083" si="22">A1020/D1020-1</f>
        <v>5.5593105778979357E-2</v>
      </c>
    </row>
    <row r="1021" spans="1:7">
      <c r="A1021" s="63">
        <v>57.67628585951369</v>
      </c>
      <c r="B1021" s="63">
        <v>57.841994302916049</v>
      </c>
      <c r="C1021" s="63">
        <v>55.444095651329029</v>
      </c>
      <c r="D1021" s="63">
        <v>55.444095651329029</v>
      </c>
      <c r="E1021" s="63">
        <v>2025789.9543773634</v>
      </c>
      <c r="F1021" s="63" t="s">
        <v>1075</v>
      </c>
      <c r="G1021" s="25">
        <f t="shared" si="22"/>
        <v>4.0260196905766543E-2</v>
      </c>
    </row>
    <row r="1022" spans="1:7">
      <c r="A1022" s="63">
        <v>55.346620096386467</v>
      </c>
      <c r="B1022" s="63">
        <v>55.911978315053325</v>
      </c>
      <c r="C1022" s="63">
        <v>53.679788106868664</v>
      </c>
      <c r="D1022" s="63">
        <v>55.122426320018569</v>
      </c>
      <c r="E1022" s="63">
        <v>1725913.7442113948</v>
      </c>
      <c r="F1022" s="63" t="s">
        <v>1076</v>
      </c>
      <c r="G1022" s="25">
        <f t="shared" si="22"/>
        <v>4.0671971706456311E-3</v>
      </c>
    </row>
    <row r="1023" spans="1:7">
      <c r="A1023" s="63">
        <v>55.171164097489857</v>
      </c>
      <c r="B1023" s="63">
        <v>56.136172091421216</v>
      </c>
      <c r="C1023" s="63">
        <v>54.449844990914897</v>
      </c>
      <c r="D1023" s="63">
        <v>56.048444091972911</v>
      </c>
      <c r="E1023" s="63">
        <v>1622819.1785439146</v>
      </c>
      <c r="F1023" s="63" t="s">
        <v>1077</v>
      </c>
      <c r="G1023" s="25">
        <f t="shared" si="22"/>
        <v>-1.5652173913043521E-2</v>
      </c>
    </row>
    <row r="1024" spans="1:7">
      <c r="A1024" s="63">
        <v>55.219901874961131</v>
      </c>
      <c r="B1024" s="63">
        <v>57.452092083145793</v>
      </c>
      <c r="C1024" s="63">
        <v>54.089185437627421</v>
      </c>
      <c r="D1024" s="63">
        <v>56.058191647467162</v>
      </c>
      <c r="E1024" s="63">
        <v>2324897.7667635586</v>
      </c>
      <c r="F1024" s="63" t="s">
        <v>1078</v>
      </c>
      <c r="G1024" s="25">
        <f t="shared" si="22"/>
        <v>-1.4953921057207498E-2</v>
      </c>
    </row>
    <row r="1025" spans="1:7">
      <c r="A1025" s="63">
        <v>55.78526009362799</v>
      </c>
      <c r="B1025" s="63">
        <v>56.058191647467162</v>
      </c>
      <c r="C1025" s="63">
        <v>53.53357477445482</v>
      </c>
      <c r="D1025" s="63">
        <v>55.687784538685435</v>
      </c>
      <c r="E1025" s="63">
        <v>2237597.9303582739</v>
      </c>
      <c r="F1025" s="63" t="s">
        <v>1079</v>
      </c>
      <c r="G1025" s="25">
        <f t="shared" si="22"/>
        <v>1.7503938386136397E-3</v>
      </c>
    </row>
    <row r="1026" spans="1:7">
      <c r="A1026" s="63">
        <v>55.833997871099278</v>
      </c>
      <c r="B1026" s="63">
        <v>58.733895630640482</v>
      </c>
      <c r="C1026" s="63">
        <v>55.49283342880031</v>
      </c>
      <c r="D1026" s="63">
        <v>57.919974746870096</v>
      </c>
      <c r="E1026" s="63">
        <v>4728430.6334197698</v>
      </c>
      <c r="F1026" s="63" t="s">
        <v>1080</v>
      </c>
      <c r="G1026" s="25">
        <f t="shared" si="22"/>
        <v>-3.6014809828340599E-2</v>
      </c>
    </row>
    <row r="1027" spans="1:7">
      <c r="A1027" s="63">
        <v>57.822499191927534</v>
      </c>
      <c r="B1027" s="63">
        <v>57.978460079835628</v>
      </c>
      <c r="C1027" s="63">
        <v>54.566815656845968</v>
      </c>
      <c r="D1027" s="63">
        <v>55.414852984846263</v>
      </c>
      <c r="E1027" s="63">
        <v>2272447.6934809531</v>
      </c>
      <c r="F1027" s="63" t="s">
        <v>1081</v>
      </c>
      <c r="G1027" s="25">
        <f t="shared" si="22"/>
        <v>4.3447669305189063E-2</v>
      </c>
    </row>
    <row r="1028" spans="1:7">
      <c r="A1028" s="63">
        <v>55.1614165419956</v>
      </c>
      <c r="B1028" s="63">
        <v>55.687784538685435</v>
      </c>
      <c r="C1028" s="63">
        <v>52.968216555787969</v>
      </c>
      <c r="D1028" s="63">
        <v>53.046196999742016</v>
      </c>
      <c r="E1028" s="63">
        <v>1674242.3276909357</v>
      </c>
      <c r="F1028" s="63" t="s">
        <v>1082</v>
      </c>
      <c r="G1028" s="25">
        <f t="shared" si="22"/>
        <v>3.9875045938992937E-2</v>
      </c>
    </row>
    <row r="1029" spans="1:7">
      <c r="A1029" s="63">
        <v>53.231400554132883</v>
      </c>
      <c r="B1029" s="63">
        <v>54.489322590666639</v>
      </c>
      <c r="C1029" s="63">
        <v>52.276140115695782</v>
      </c>
      <c r="D1029" s="63">
        <v>53.153420110178828</v>
      </c>
      <c r="E1029" s="63">
        <v>2377635.0915526217</v>
      </c>
      <c r="F1029" s="63" t="s">
        <v>1083</v>
      </c>
      <c r="G1029" s="25">
        <f t="shared" si="22"/>
        <v>1.4670823399964839E-3</v>
      </c>
    </row>
    <row r="1030" spans="1:7">
      <c r="A1030" s="63">
        <v>52.120179227787673</v>
      </c>
      <c r="B1030" s="63">
        <v>56.389608534271879</v>
      </c>
      <c r="C1030" s="63">
        <v>51.740024563511689</v>
      </c>
      <c r="D1030" s="63">
        <v>55.863240537582044</v>
      </c>
      <c r="E1030" s="63">
        <v>3883685.5068234568</v>
      </c>
      <c r="F1030" s="63" t="s">
        <v>1084</v>
      </c>
      <c r="G1030" s="25">
        <f t="shared" si="22"/>
        <v>-6.7004013261211082E-2</v>
      </c>
    </row>
    <row r="1031" spans="1:7">
      <c r="A1031" s="63">
        <v>55.784285338078583</v>
      </c>
      <c r="B1031" s="63">
        <v>57.39840271059402</v>
      </c>
      <c r="C1031" s="63">
        <v>54.967503053191258</v>
      </c>
      <c r="D1031" s="63">
        <v>55.531471773708702</v>
      </c>
      <c r="E1031" s="63">
        <v>1930435.5018149125</v>
      </c>
      <c r="F1031" s="63" t="s">
        <v>1085</v>
      </c>
      <c r="G1031" s="25">
        <f t="shared" si="22"/>
        <v>4.5526177552090985E-3</v>
      </c>
    </row>
    <row r="1032" spans="1:7">
      <c r="A1032" s="63">
        <v>55.46340658330142</v>
      </c>
      <c r="B1032" s="63">
        <v>58.215184995481344</v>
      </c>
      <c r="C1032" s="63">
        <v>55.166836825098287</v>
      </c>
      <c r="D1032" s="63">
        <v>56.639962017484358</v>
      </c>
      <c r="E1032" s="63">
        <v>2217482.5207550232</v>
      </c>
      <c r="F1032" s="63" t="s">
        <v>1086</v>
      </c>
      <c r="G1032" s="25">
        <f t="shared" si="22"/>
        <v>-2.0772532188841231E-2</v>
      </c>
    </row>
    <row r="1033" spans="1:7">
      <c r="A1033" s="63">
        <v>56.027375303818857</v>
      </c>
      <c r="B1033" s="63">
        <v>58.895836899554126</v>
      </c>
      <c r="C1033" s="63">
        <v>55.006397447709702</v>
      </c>
      <c r="D1033" s="63">
        <v>58.895836899554126</v>
      </c>
      <c r="E1033" s="63">
        <v>2256071.1147820693</v>
      </c>
      <c r="F1033" s="63" t="s">
        <v>1087</v>
      </c>
      <c r="G1033" s="25">
        <f t="shared" si="22"/>
        <v>-4.8703978867426279E-2</v>
      </c>
    </row>
    <row r="1034" spans="1:7">
      <c r="A1034" s="63">
        <v>58.604128940665795</v>
      </c>
      <c r="B1034" s="63">
        <v>59.537594409108451</v>
      </c>
      <c r="C1034" s="63">
        <v>57.077523955816858</v>
      </c>
      <c r="D1034" s="63">
        <v>58.594405342036175</v>
      </c>
      <c r="E1034" s="63">
        <v>2942339.6717419242</v>
      </c>
      <c r="F1034" s="63" t="s">
        <v>1088</v>
      </c>
      <c r="G1034" s="25">
        <f t="shared" si="22"/>
        <v>1.6594756057108917E-4</v>
      </c>
    </row>
    <row r="1035" spans="1:7">
      <c r="A1035" s="63">
        <v>58.49716935574007</v>
      </c>
      <c r="B1035" s="63">
        <v>60.276587904958895</v>
      </c>
      <c r="C1035" s="63">
        <v>57.534533091408576</v>
      </c>
      <c r="D1035" s="63">
        <v>59.527870810478838</v>
      </c>
      <c r="E1035" s="63">
        <v>2002285.4440649399</v>
      </c>
      <c r="F1035" s="63" t="s">
        <v>1089</v>
      </c>
      <c r="G1035" s="25">
        <f t="shared" si="22"/>
        <v>-1.7314603070891832E-2</v>
      </c>
    </row>
    <row r="1036" spans="1:7">
      <c r="A1036" s="63">
        <v>60.101563129625895</v>
      </c>
      <c r="B1036" s="63">
        <v>60.573157663162029</v>
      </c>
      <c r="C1036" s="63">
        <v>58.189125751153995</v>
      </c>
      <c r="D1036" s="63">
        <v>58.458274961221626</v>
      </c>
      <c r="E1036" s="63">
        <v>2703654.3774999059</v>
      </c>
      <c r="F1036" s="63" t="s">
        <v>1090</v>
      </c>
      <c r="G1036" s="25">
        <f t="shared" si="22"/>
        <v>2.8110445775116455E-2</v>
      </c>
    </row>
    <row r="1037" spans="1:7">
      <c r="A1037" s="63">
        <v>58.049883818777964</v>
      </c>
      <c r="B1037" s="63">
        <v>58.779153715998795</v>
      </c>
      <c r="C1037" s="63">
        <v>56.834433990076583</v>
      </c>
      <c r="D1037" s="63">
        <v>56.834433990076583</v>
      </c>
      <c r="E1037" s="63">
        <v>2287523.4619684969</v>
      </c>
      <c r="F1037" s="63" t="s">
        <v>1091</v>
      </c>
      <c r="G1037" s="25">
        <f t="shared" si="22"/>
        <v>2.1385799828913532E-2</v>
      </c>
    </row>
    <row r="1038" spans="1:7">
      <c r="A1038" s="63">
        <v>56.591344024336308</v>
      </c>
      <c r="B1038" s="63">
        <v>58.331868179036682</v>
      </c>
      <c r="C1038" s="63">
        <v>55.327276202486864</v>
      </c>
      <c r="D1038" s="63">
        <v>57.66093987359352</v>
      </c>
      <c r="E1038" s="63">
        <v>2558903.4418006707</v>
      </c>
      <c r="F1038" s="63" t="s">
        <v>1092</v>
      </c>
      <c r="G1038" s="25">
        <f t="shared" si="22"/>
        <v>-1.8549747048903775E-2</v>
      </c>
    </row>
    <row r="1039" spans="1:7">
      <c r="A1039" s="63">
        <v>57.57342748592702</v>
      </c>
      <c r="B1039" s="63">
        <v>60.150181122773951</v>
      </c>
      <c r="C1039" s="63">
        <v>57.515085894149351</v>
      </c>
      <c r="D1039" s="63">
        <v>59.800131572107951</v>
      </c>
      <c r="E1039" s="63">
        <v>2651732.2425752361</v>
      </c>
      <c r="F1039" s="63" t="s">
        <v>1093</v>
      </c>
      <c r="G1039" s="25">
        <f t="shared" si="22"/>
        <v>-3.7235772357723573E-2</v>
      </c>
    </row>
    <row r="1040" spans="1:7">
      <c r="A1040" s="63">
        <v>59.615383198145345</v>
      </c>
      <c r="B1040" s="63">
        <v>59.654277592663789</v>
      </c>
      <c r="C1040" s="63">
        <v>57.174759942112964</v>
      </c>
      <c r="D1040" s="63">
        <v>58.555510947517732</v>
      </c>
      <c r="E1040" s="63">
        <v>3451126.6125083077</v>
      </c>
      <c r="F1040" s="63" t="s">
        <v>1094</v>
      </c>
      <c r="G1040" s="25">
        <f t="shared" si="22"/>
        <v>1.8100298904018652E-2</v>
      </c>
    </row>
    <row r="1041" spans="1:7">
      <c r="A1041" s="63">
        <v>58.429104165332795</v>
      </c>
      <c r="B1041" s="63">
        <v>59.498700014590007</v>
      </c>
      <c r="C1041" s="63">
        <v>58.079054614666795</v>
      </c>
      <c r="D1041" s="63">
        <v>58.351315376295901</v>
      </c>
      <c r="E1041" s="63">
        <v>2048225.2259312619</v>
      </c>
      <c r="F1041" s="63" t="s">
        <v>1095</v>
      </c>
      <c r="G1041" s="25">
        <f t="shared" si="22"/>
        <v>1.3331111481420521E-3</v>
      </c>
    </row>
    <row r="1042" spans="1:7">
      <c r="A1042" s="63">
        <v>58.292973784518239</v>
      </c>
      <c r="B1042" s="63">
        <v>60.500230673439944</v>
      </c>
      <c r="C1042" s="63">
        <v>58.254079389999788</v>
      </c>
      <c r="D1042" s="63">
        <v>60.091839530996282</v>
      </c>
      <c r="E1042" s="63">
        <v>2197207.1054988215</v>
      </c>
      <c r="F1042" s="63" t="s">
        <v>1096</v>
      </c>
      <c r="G1042" s="25">
        <f t="shared" si="22"/>
        <v>-2.9935275080906099E-2</v>
      </c>
    </row>
    <row r="1043" spans="1:7">
      <c r="A1043" s="63">
        <v>60.548848666588007</v>
      </c>
      <c r="B1043" s="63">
        <v>61.103093788475832</v>
      </c>
      <c r="C1043" s="63">
        <v>57.797070254408069</v>
      </c>
      <c r="D1043" s="63">
        <v>60.6363610542545</v>
      </c>
      <c r="E1043" s="63">
        <v>2325964.9911017241</v>
      </c>
      <c r="F1043" s="63" t="s">
        <v>1097</v>
      </c>
      <c r="G1043" s="25">
        <f t="shared" si="22"/>
        <v>-1.4432328415650009E-3</v>
      </c>
    </row>
    <row r="1044" spans="1:7">
      <c r="A1044" s="63">
        <v>60.704426244661775</v>
      </c>
      <c r="B1044" s="63">
        <v>62.67423285504838</v>
      </c>
      <c r="C1044" s="63">
        <v>60.568295863847226</v>
      </c>
      <c r="D1044" s="63">
        <v>60.772491435069057</v>
      </c>
      <c r="E1044" s="63">
        <v>2088202.1948300235</v>
      </c>
      <c r="F1044" s="63" t="s">
        <v>1098</v>
      </c>
      <c r="G1044" s="25">
        <f t="shared" si="22"/>
        <v>-1.1200000000001209E-3</v>
      </c>
    </row>
    <row r="1045" spans="1:7">
      <c r="A1045" s="63">
        <v>60.937792611772444</v>
      </c>
      <c r="B1045" s="63">
        <v>64.467458914321256</v>
      </c>
      <c r="C1045" s="63">
        <v>60.432165483032669</v>
      </c>
      <c r="D1045" s="63">
        <v>63.203391092471819</v>
      </c>
      <c r="E1045" s="63">
        <v>2564569.0397031014</v>
      </c>
      <c r="F1045" s="63" t="s">
        <v>1099</v>
      </c>
      <c r="G1045" s="25">
        <f t="shared" si="22"/>
        <v>-3.5846153846153861E-2</v>
      </c>
    </row>
    <row r="1046" spans="1:7">
      <c r="A1046" s="63">
        <v>63.602058636285868</v>
      </c>
      <c r="B1046" s="63">
        <v>66.781675388168694</v>
      </c>
      <c r="C1046" s="63">
        <v>63.26659448356429</v>
      </c>
      <c r="D1046" s="63">
        <v>65.94544590602213</v>
      </c>
      <c r="E1046" s="63">
        <v>2244906.5239618141</v>
      </c>
      <c r="F1046" s="63" t="s">
        <v>1100</v>
      </c>
      <c r="G1046" s="25">
        <f t="shared" si="22"/>
        <v>-3.5535240342081997E-2</v>
      </c>
    </row>
    <row r="1047" spans="1:7">
      <c r="A1047" s="63">
        <v>64.866126458135298</v>
      </c>
      <c r="B1047" s="63">
        <v>65.041151233468312</v>
      </c>
      <c r="C1047" s="63">
        <v>61.141988182994275</v>
      </c>
      <c r="D1047" s="63">
        <v>61.871258080215107</v>
      </c>
      <c r="E1047" s="63">
        <v>2137979.0334714348</v>
      </c>
      <c r="F1047" s="63" t="s">
        <v>1101</v>
      </c>
      <c r="G1047" s="25">
        <f t="shared" si="22"/>
        <v>4.840484048404825E-2</v>
      </c>
    </row>
    <row r="1048" spans="1:7">
      <c r="A1048" s="63">
        <v>61.56010292406755</v>
      </c>
      <c r="B1048" s="63">
        <v>62.3963324062141</v>
      </c>
      <c r="C1048" s="63">
        <v>60.568295863847226</v>
      </c>
      <c r="D1048" s="63">
        <v>60.568295863847226</v>
      </c>
      <c r="E1048" s="63">
        <v>1251362.8403938676</v>
      </c>
      <c r="F1048" s="63" t="s">
        <v>1102</v>
      </c>
      <c r="G1048" s="25">
        <f t="shared" si="22"/>
        <v>1.6375020067426416E-2</v>
      </c>
    </row>
    <row r="1049" spans="1:7">
      <c r="A1049" s="63">
        <v>60.821109428217106</v>
      </c>
      <c r="B1049" s="63">
        <v>62.931130330842706</v>
      </c>
      <c r="C1049" s="63">
        <v>60.462308638784457</v>
      </c>
      <c r="D1049" s="63">
        <v>62.347714413066051</v>
      </c>
      <c r="E1049" s="63">
        <v>1912959.4616704215</v>
      </c>
      <c r="F1049" s="63" t="s">
        <v>1103</v>
      </c>
      <c r="G1049" s="25">
        <f t="shared" si="22"/>
        <v>-2.4485339987523558E-2</v>
      </c>
    </row>
    <row r="1050" spans="1:7">
      <c r="A1050" s="63">
        <v>62.425503202102938</v>
      </c>
      <c r="B1050" s="63">
        <v>62.765829154139318</v>
      </c>
      <c r="C1050" s="63">
        <v>60.043221537848225</v>
      </c>
      <c r="D1050" s="63">
        <v>60.325205898106944</v>
      </c>
      <c r="E1050" s="63">
        <v>3502553.0461824834</v>
      </c>
      <c r="F1050" s="63" t="s">
        <v>1104</v>
      </c>
      <c r="G1050" s="25">
        <f t="shared" si="22"/>
        <v>3.481624758220514E-2</v>
      </c>
    </row>
    <row r="1051" spans="1:7">
      <c r="A1051" s="63">
        <v>60.159904721403556</v>
      </c>
      <c r="B1051" s="63">
        <v>61.462866937771437</v>
      </c>
      <c r="C1051" s="63">
        <v>59.19726845707207</v>
      </c>
      <c r="D1051" s="63">
        <v>59.313951640627401</v>
      </c>
      <c r="E1051" s="63">
        <v>2625542.350365526</v>
      </c>
      <c r="F1051" s="63" t="s">
        <v>1105</v>
      </c>
      <c r="G1051" s="25">
        <f t="shared" si="22"/>
        <v>1.426229508196708E-2</v>
      </c>
    </row>
    <row r="1052" spans="1:7">
      <c r="A1052" s="63">
        <v>59.002796484479845</v>
      </c>
      <c r="B1052" s="63">
        <v>62.874247278859485</v>
      </c>
      <c r="C1052" s="63">
        <v>58.740259321480345</v>
      </c>
      <c r="D1052" s="63">
        <v>62.40605600484372</v>
      </c>
      <c r="E1052" s="63">
        <v>3586975.4942152686</v>
      </c>
      <c r="F1052" s="63" t="s">
        <v>1106</v>
      </c>
      <c r="G1052" s="25">
        <f t="shared" si="22"/>
        <v>-5.4534122779682281E-2</v>
      </c>
    </row>
    <row r="1053" spans="1:7">
      <c r="A1053" s="63">
        <v>62.250478426769931</v>
      </c>
      <c r="B1053" s="63">
        <v>63.106155106175713</v>
      </c>
      <c r="C1053" s="63">
        <v>59.216715654331288</v>
      </c>
      <c r="D1053" s="63">
        <v>59.527870810478838</v>
      </c>
      <c r="E1053" s="63">
        <v>4897704.2156978631</v>
      </c>
      <c r="F1053" s="63" t="s">
        <v>1107</v>
      </c>
      <c r="G1053" s="25">
        <f t="shared" si="22"/>
        <v>4.5736687357072814E-2</v>
      </c>
    </row>
    <row r="1054" spans="1:7">
      <c r="A1054" s="63">
        <v>59.226439252960894</v>
      </c>
      <c r="B1054" s="63">
        <v>59.382016831034676</v>
      </c>
      <c r="C1054" s="63">
        <v>57.709557866741577</v>
      </c>
      <c r="D1054" s="63">
        <v>58.108225410555626</v>
      </c>
      <c r="E1054" s="63">
        <v>4037397.2122263904</v>
      </c>
      <c r="F1054" s="63" t="s">
        <v>1108</v>
      </c>
      <c r="G1054" s="25">
        <f t="shared" si="22"/>
        <v>1.9243641231593056E-2</v>
      </c>
    </row>
    <row r="1055" spans="1:7">
      <c r="A1055" s="63">
        <v>57.952647832481851</v>
      </c>
      <c r="B1055" s="63">
        <v>58.419380566703182</v>
      </c>
      <c r="C1055" s="63">
        <v>56.756645201039689</v>
      </c>
      <c r="D1055" s="63">
        <v>57.271995928409076</v>
      </c>
      <c r="E1055" s="63">
        <v>2632199.3507689442</v>
      </c>
      <c r="F1055" s="63" t="s">
        <v>1109</v>
      </c>
      <c r="G1055" s="25">
        <f t="shared" si="22"/>
        <v>1.1884550084889645E-2</v>
      </c>
    </row>
    <row r="1056" spans="1:7">
      <c r="A1056" s="63">
        <v>57.369231914705189</v>
      </c>
      <c r="B1056" s="63">
        <v>58.652746933813845</v>
      </c>
      <c r="C1056" s="63">
        <v>56.834433990076583</v>
      </c>
      <c r="D1056" s="63">
        <v>57.028905962668802</v>
      </c>
      <c r="E1056" s="63">
        <v>2204065.6773650963</v>
      </c>
      <c r="F1056" s="63" t="s">
        <v>1110</v>
      </c>
      <c r="G1056" s="25">
        <f t="shared" si="22"/>
        <v>5.9676044330776445E-3</v>
      </c>
    </row>
    <row r="1057" spans="1:7">
      <c r="A1057" s="63">
        <v>56.766368799669308</v>
      </c>
      <c r="B1057" s="63">
        <v>57.077523955816858</v>
      </c>
      <c r="C1057" s="63">
        <v>55.939862916152364</v>
      </c>
      <c r="D1057" s="63">
        <v>56.746921602410083</v>
      </c>
      <c r="E1057" s="63">
        <v>1938900.474829054</v>
      </c>
      <c r="F1057" s="63" t="s">
        <v>1111</v>
      </c>
      <c r="G1057" s="25">
        <f t="shared" si="22"/>
        <v>3.4270047978068874E-4</v>
      </c>
    </row>
    <row r="1058" spans="1:7">
      <c r="A1058" s="63">
        <v>56.416319249003308</v>
      </c>
      <c r="B1058" s="63">
        <v>56.688580010632414</v>
      </c>
      <c r="C1058" s="63">
        <v>54.160444366933547</v>
      </c>
      <c r="D1058" s="63">
        <v>54.802201876487871</v>
      </c>
      <c r="E1058" s="63">
        <v>2217774.5936909993</v>
      </c>
      <c r="F1058" s="63" t="s">
        <v>1112</v>
      </c>
      <c r="G1058" s="25">
        <f t="shared" si="22"/>
        <v>2.9453513129879427E-2</v>
      </c>
    </row>
    <row r="1059" spans="1:7">
      <c r="A1059" s="63">
        <v>54.695242291562153</v>
      </c>
      <c r="B1059" s="63">
        <v>57.447020703742076</v>
      </c>
      <c r="C1059" s="63">
        <v>54.238233155970434</v>
      </c>
      <c r="D1059" s="63">
        <v>56.727474405150865</v>
      </c>
      <c r="E1059" s="63">
        <v>3926185.2997244801</v>
      </c>
      <c r="F1059" s="63" t="s">
        <v>1113</v>
      </c>
      <c r="G1059" s="25">
        <f t="shared" si="22"/>
        <v>-3.5824477202605509E-2</v>
      </c>
    </row>
    <row r="1060" spans="1:7">
      <c r="A1060" s="63">
        <v>55.910692120263533</v>
      </c>
      <c r="B1060" s="63">
        <v>56.192676480522252</v>
      </c>
      <c r="C1060" s="63">
        <v>54.160444366933547</v>
      </c>
      <c r="D1060" s="63">
        <v>54.617453502525265</v>
      </c>
      <c r="E1060" s="63">
        <v>1989097.9396353038</v>
      </c>
      <c r="F1060" s="63" t="s">
        <v>1114</v>
      </c>
      <c r="G1060" s="25">
        <f t="shared" si="22"/>
        <v>2.3678119992878832E-2</v>
      </c>
    </row>
    <row r="1061" spans="1:7">
      <c r="A1061" s="63">
        <v>54.773031080599033</v>
      </c>
      <c r="B1061" s="63">
        <v>55.803732535337808</v>
      </c>
      <c r="C1061" s="63">
        <v>53.120019313565159</v>
      </c>
      <c r="D1061" s="63">
        <v>55.424512188782977</v>
      </c>
      <c r="E1061" s="63">
        <v>2263864.5257286327</v>
      </c>
      <c r="F1061" s="63" t="s">
        <v>1115</v>
      </c>
      <c r="G1061" s="25">
        <f t="shared" si="22"/>
        <v>-1.1754385964912295E-2</v>
      </c>
    </row>
    <row r="1062" spans="1:7">
      <c r="A1062" s="63">
        <v>55.210593018931533</v>
      </c>
      <c r="B1062" s="63">
        <v>55.278658209338815</v>
      </c>
      <c r="C1062" s="63">
        <v>52.556050593047715</v>
      </c>
      <c r="D1062" s="63">
        <v>52.876929347824884</v>
      </c>
      <c r="E1062" s="63">
        <v>3216100.4573726328</v>
      </c>
      <c r="F1062" s="63" t="s">
        <v>1116</v>
      </c>
      <c r="G1062" s="25">
        <f t="shared" si="22"/>
        <v>4.4133872747333491E-2</v>
      </c>
    </row>
    <row r="1063" spans="1:7">
      <c r="A1063" s="63">
        <v>52.31296062730744</v>
      </c>
      <c r="B1063" s="63">
        <v>52.332407824566666</v>
      </c>
      <c r="C1063" s="63">
        <v>50.591883669866291</v>
      </c>
      <c r="D1063" s="63">
        <v>50.796079241088123</v>
      </c>
      <c r="E1063" s="63">
        <v>2510586.9678391381</v>
      </c>
      <c r="F1063" s="63" t="s">
        <v>1117</v>
      </c>
      <c r="G1063" s="25">
        <f t="shared" si="22"/>
        <v>2.9862174578866751E-2</v>
      </c>
    </row>
    <row r="1064" spans="1:7">
      <c r="A1064" s="63">
        <v>50.961380417791503</v>
      </c>
      <c r="B1064" s="63">
        <v>51.12668159449489</v>
      </c>
      <c r="C1064" s="63">
        <v>49.363890398932703</v>
      </c>
      <c r="D1064" s="63">
        <v>49.765377786349347</v>
      </c>
      <c r="E1064" s="63">
        <v>2401567.659208707</v>
      </c>
      <c r="F1064" s="63" t="s">
        <v>1118</v>
      </c>
      <c r="G1064" s="25">
        <f t="shared" si="22"/>
        <v>2.4032825322391593E-2</v>
      </c>
    </row>
    <row r="1065" spans="1:7">
      <c r="A1065" s="63">
        <v>49.580629412386742</v>
      </c>
      <c r="B1065" s="63">
        <v>50.339070105496404</v>
      </c>
      <c r="C1065" s="63">
        <v>49.298645052128023</v>
      </c>
      <c r="D1065" s="63">
        <v>49.298645052128023</v>
      </c>
      <c r="E1065" s="63">
        <v>2464413.7333092014</v>
      </c>
      <c r="F1065" s="63" t="s">
        <v>1119</v>
      </c>
      <c r="G1065" s="25">
        <f t="shared" si="22"/>
        <v>5.7199211045364518E-3</v>
      </c>
    </row>
    <row r="1066" spans="1:7">
      <c r="A1066" s="63">
        <v>49.726483391830904</v>
      </c>
      <c r="B1066" s="63">
        <v>50.61133086712551</v>
      </c>
      <c r="C1066" s="63">
        <v>48.627716746684854</v>
      </c>
      <c r="D1066" s="63">
        <v>48.958319100091629</v>
      </c>
      <c r="E1066" s="63">
        <v>3951118.45556883</v>
      </c>
      <c r="F1066" s="63" t="s">
        <v>1120</v>
      </c>
      <c r="G1066" s="25">
        <f t="shared" si="22"/>
        <v>1.5690168818272232E-2</v>
      </c>
    </row>
    <row r="1067" spans="1:7">
      <c r="A1067" s="63">
        <v>47.859552454945579</v>
      </c>
      <c r="B1067" s="63">
        <v>48.063748026167417</v>
      </c>
      <c r="C1067" s="63">
        <v>47.256689339909698</v>
      </c>
      <c r="D1067" s="63">
        <v>47.558120897427635</v>
      </c>
      <c r="E1067" s="63">
        <v>2521655.9150571194</v>
      </c>
      <c r="F1067" s="63" t="s">
        <v>1121</v>
      </c>
      <c r="G1067" s="25">
        <f t="shared" si="22"/>
        <v>6.3381721529340851E-3</v>
      </c>
    </row>
    <row r="1068" spans="1:7">
      <c r="A1068" s="63">
        <v>47.655356883723748</v>
      </c>
      <c r="B1068" s="63">
        <v>49.989020554830397</v>
      </c>
      <c r="C1068" s="63">
        <v>47.528950101538811</v>
      </c>
      <c r="D1068" s="63">
        <v>49.25002705897996</v>
      </c>
      <c r="E1068" s="63">
        <v>9938631.1263102442</v>
      </c>
      <c r="F1068" s="63" t="s">
        <v>1122</v>
      </c>
      <c r="G1068" s="25">
        <f t="shared" si="22"/>
        <v>-3.2379072063178693E-2</v>
      </c>
    </row>
    <row r="1069" spans="1:7">
      <c r="A1069" s="63">
        <v>49.580629412386742</v>
      </c>
      <c r="B1069" s="63">
        <v>51.253088376679841</v>
      </c>
      <c r="C1069" s="63">
        <v>49.502840623349847</v>
      </c>
      <c r="D1069" s="63">
        <v>50.446029690422122</v>
      </c>
      <c r="E1069" s="63">
        <v>2308395.3642066214</v>
      </c>
      <c r="F1069" s="63" t="s">
        <v>1123</v>
      </c>
      <c r="G1069" s="25">
        <f t="shared" si="22"/>
        <v>-1.7154973014649189E-2</v>
      </c>
    </row>
    <row r="1070" spans="1:7">
      <c r="A1070" s="63">
        <v>50.339070105496404</v>
      </c>
      <c r="B1070" s="63">
        <v>50.951656819161897</v>
      </c>
      <c r="C1070" s="63">
        <v>48.958319100091629</v>
      </c>
      <c r="D1070" s="63">
        <v>50.280728513718735</v>
      </c>
      <c r="E1070" s="63">
        <v>3074783.4355227742</v>
      </c>
      <c r="F1070" s="63" t="s">
        <v>1124</v>
      </c>
      <c r="G1070" s="25">
        <f t="shared" si="22"/>
        <v>1.1603171533554058E-3</v>
      </c>
    </row>
    <row r="1071" spans="1:7">
      <c r="A1071" s="63">
        <v>49.872337371275066</v>
      </c>
      <c r="B1071" s="63">
        <v>50.164045330163404</v>
      </c>
      <c r="C1071" s="63">
        <v>48.520757161759136</v>
      </c>
      <c r="D1071" s="63">
        <v>49.920955364423129</v>
      </c>
      <c r="E1071" s="63">
        <v>2177689.6400799933</v>
      </c>
      <c r="F1071" s="63" t="s">
        <v>1125</v>
      </c>
      <c r="G1071" s="25">
        <f t="shared" si="22"/>
        <v>-9.7389949357240546E-4</v>
      </c>
    </row>
    <row r="1072" spans="1:7">
      <c r="A1072" s="63">
        <v>49.541735017868298</v>
      </c>
      <c r="B1072" s="63">
        <v>50.426582493162897</v>
      </c>
      <c r="C1072" s="63">
        <v>47.246965741280093</v>
      </c>
      <c r="D1072" s="63">
        <v>50.426582493162897</v>
      </c>
      <c r="E1072" s="63">
        <v>2999495.4657200468</v>
      </c>
      <c r="F1072" s="63" t="s">
        <v>1126</v>
      </c>
      <c r="G1072" s="25">
        <f t="shared" si="22"/>
        <v>-1.7547242576166466E-2</v>
      </c>
    </row>
    <row r="1073" spans="1:7">
      <c r="A1073" s="63">
        <v>47.956788441241692</v>
      </c>
      <c r="B1073" s="63">
        <v>50.407135295903679</v>
      </c>
      <c r="C1073" s="63">
        <v>46.955257782391755</v>
      </c>
      <c r="D1073" s="63">
        <v>49.998744153460017</v>
      </c>
      <c r="E1073" s="63">
        <v>3120324.1881667068</v>
      </c>
      <c r="F1073" s="63" t="s">
        <v>1127</v>
      </c>
      <c r="G1073" s="25">
        <f t="shared" si="22"/>
        <v>-4.0840140023337357E-2</v>
      </c>
    </row>
    <row r="1074" spans="1:7">
      <c r="A1074" s="63">
        <v>49.901508167163904</v>
      </c>
      <c r="B1074" s="63">
        <v>50.212663323311453</v>
      </c>
      <c r="C1074" s="63">
        <v>47.908170448093642</v>
      </c>
      <c r="D1074" s="63">
        <v>49.172238269943072</v>
      </c>
      <c r="E1074" s="63">
        <v>2769385.1860560761</v>
      </c>
      <c r="F1074" s="63" t="s">
        <v>1128</v>
      </c>
      <c r="G1074" s="25">
        <f t="shared" si="22"/>
        <v>1.4830927427328611E-2</v>
      </c>
    </row>
    <row r="1075" spans="1:7">
      <c r="A1075" s="63">
        <v>49.911231765793509</v>
      </c>
      <c r="B1075" s="63">
        <v>52.196277443752109</v>
      </c>
      <c r="C1075" s="63">
        <v>49.191685467202298</v>
      </c>
      <c r="D1075" s="63">
        <v>50.990551213680341</v>
      </c>
      <c r="E1075" s="63">
        <v>3137343.6072422783</v>
      </c>
      <c r="F1075" s="63" t="s">
        <v>1129</v>
      </c>
      <c r="G1075" s="25">
        <f t="shared" si="22"/>
        <v>-2.1167048054919979E-2</v>
      </c>
    </row>
    <row r="1076" spans="1:7">
      <c r="A1076" s="63">
        <v>50.87386803012501</v>
      </c>
      <c r="B1076" s="63">
        <v>53.790947619008321</v>
      </c>
      <c r="C1076" s="63">
        <v>49.444499031572185</v>
      </c>
      <c r="D1076" s="63">
        <v>49.765377786349347</v>
      </c>
      <c r="E1076" s="63">
        <v>3983835.7665272653</v>
      </c>
      <c r="F1076" s="63" t="s">
        <v>1130</v>
      </c>
      <c r="G1076" s="25">
        <f t="shared" si="22"/>
        <v>2.2274325908558046E-2</v>
      </c>
    </row>
    <row r="1077" spans="1:7">
      <c r="A1077" s="63">
        <v>50.222386921941066</v>
      </c>
      <c r="B1077" s="63">
        <v>51.12668159449489</v>
      </c>
      <c r="C1077" s="63">
        <v>48.491586365870297</v>
      </c>
      <c r="D1077" s="63">
        <v>49.648694602794016</v>
      </c>
      <c r="E1077" s="63">
        <v>2804638.5951135117</v>
      </c>
      <c r="F1077" s="63" t="s">
        <v>1131</v>
      </c>
      <c r="G1077" s="25">
        <f t="shared" si="22"/>
        <v>1.155503329416363E-2</v>
      </c>
    </row>
    <row r="1078" spans="1:7">
      <c r="A1078" s="63">
        <v>49.590353011016347</v>
      </c>
      <c r="B1078" s="63">
        <v>49.629247405534791</v>
      </c>
      <c r="C1078" s="63">
        <v>46.916363387873311</v>
      </c>
      <c r="D1078" s="63">
        <v>47.81093446179753</v>
      </c>
      <c r="E1078" s="63">
        <v>2617042.4108731337</v>
      </c>
      <c r="F1078" s="63" t="s">
        <v>1132</v>
      </c>
      <c r="G1078" s="25">
        <f t="shared" si="22"/>
        <v>3.7217815741305671E-2</v>
      </c>
    </row>
    <row r="1079" spans="1:7">
      <c r="A1079" s="63">
        <v>48.151260413833917</v>
      </c>
      <c r="B1079" s="63">
        <v>48.93887190283241</v>
      </c>
      <c r="C1079" s="63">
        <v>46.232794404211653</v>
      </c>
      <c r="D1079" s="63">
        <v>48.442968372722248</v>
      </c>
      <c r="E1079" s="63">
        <v>2131298.3792739059</v>
      </c>
      <c r="F1079" s="63" t="s">
        <v>1133</v>
      </c>
      <c r="G1079" s="25">
        <f t="shared" si="22"/>
        <v>-6.0216780409474424E-3</v>
      </c>
    </row>
    <row r="1080" spans="1:7">
      <c r="A1080" s="63">
        <v>48.092918822056248</v>
      </c>
      <c r="B1080" s="63">
        <v>48.909701106943572</v>
      </c>
      <c r="C1080" s="63">
        <v>46.021792313949092</v>
      </c>
      <c r="D1080" s="63">
        <v>46.673273422133036</v>
      </c>
      <c r="E1080" s="63">
        <v>3617031.2391233337</v>
      </c>
      <c r="F1080" s="63" t="s">
        <v>1134</v>
      </c>
      <c r="G1080" s="25">
        <f t="shared" si="22"/>
        <v>3.0416666666666536E-2</v>
      </c>
    </row>
    <row r="1081" spans="1:7">
      <c r="A1081" s="63">
        <v>46.469077850911198</v>
      </c>
      <c r="B1081" s="63">
        <v>46.721891415281085</v>
      </c>
      <c r="C1081" s="63">
        <v>44.096519785286105</v>
      </c>
      <c r="D1081" s="63">
        <v>44.359056948285605</v>
      </c>
      <c r="E1081" s="63">
        <v>4332623.3017996531</v>
      </c>
      <c r="F1081" s="63" t="s">
        <v>1135</v>
      </c>
      <c r="G1081" s="25">
        <f t="shared" si="22"/>
        <v>4.7566856641823696E-2</v>
      </c>
    </row>
    <row r="1082" spans="1:7">
      <c r="A1082" s="63">
        <v>44.709106498951598</v>
      </c>
      <c r="B1082" s="63">
        <v>45.331416811246704</v>
      </c>
      <c r="C1082" s="63">
        <v>41.286399781328512</v>
      </c>
      <c r="D1082" s="63">
        <v>42.103182066215837</v>
      </c>
      <c r="E1082" s="63">
        <v>5692286.5811681515</v>
      </c>
      <c r="F1082" s="63" t="s">
        <v>1136</v>
      </c>
      <c r="G1082" s="25">
        <f t="shared" si="22"/>
        <v>6.1893764434180154E-2</v>
      </c>
    </row>
    <row r="1083" spans="1:7">
      <c r="A1083" s="63">
        <v>42.696321582622112</v>
      </c>
      <c r="B1083" s="63">
        <v>43.688128642842443</v>
      </c>
      <c r="C1083" s="63">
        <v>42.531020405918731</v>
      </c>
      <c r="D1083" s="63">
        <v>43.075541929176943</v>
      </c>
      <c r="E1083" s="63">
        <v>2098958.5005954108</v>
      </c>
      <c r="F1083" s="63" t="s">
        <v>1137</v>
      </c>
      <c r="G1083" s="25">
        <f t="shared" si="22"/>
        <v>-8.8036117381490309E-3</v>
      </c>
    </row>
    <row r="1084" spans="1:7">
      <c r="A1084" s="63">
        <v>43.094989126436168</v>
      </c>
      <c r="B1084" s="63">
        <v>43.357526289435668</v>
      </c>
      <c r="C1084" s="63">
        <v>41.05303341421785</v>
      </c>
      <c r="D1084" s="63">
        <v>41.957328086771675</v>
      </c>
      <c r="E1084" s="63">
        <v>2517495.9325711271</v>
      </c>
      <c r="F1084" s="63" t="s">
        <v>1138</v>
      </c>
      <c r="G1084" s="25">
        <f t="shared" ref="G1084:G1108" si="23">A1084/D1084-1</f>
        <v>2.7114716106604986E-2</v>
      </c>
    </row>
    <row r="1085" spans="1:7">
      <c r="A1085" s="63">
        <v>41.7618837543165</v>
      </c>
      <c r="B1085" s="63">
        <v>42.634144032313358</v>
      </c>
      <c r="C1085" s="63">
        <v>40.879931695453003</v>
      </c>
      <c r="D1085" s="63">
        <v>42.343390606314401</v>
      </c>
      <c r="E1085" s="63">
        <v>2879989.7959001558</v>
      </c>
      <c r="F1085" s="63" t="s">
        <v>1139</v>
      </c>
      <c r="G1085" s="25">
        <f t="shared" si="23"/>
        <v>-1.373311970702662E-2</v>
      </c>
    </row>
    <row r="1086" spans="1:7">
      <c r="A1086" s="63">
        <v>42.198013893314929</v>
      </c>
      <c r="B1086" s="63">
        <v>44.272054998774138</v>
      </c>
      <c r="C1086" s="63">
        <v>42.14955498898177</v>
      </c>
      <c r="D1086" s="63">
        <v>44.010376915375076</v>
      </c>
      <c r="E1086" s="63">
        <v>2694226.206651188</v>
      </c>
      <c r="F1086" s="63" t="s">
        <v>1140</v>
      </c>
      <c r="G1086" s="25">
        <f t="shared" si="23"/>
        <v>-4.1180356749614511E-2</v>
      </c>
    </row>
    <row r="1087" spans="1:7">
      <c r="A1087" s="63">
        <v>44.010376915375076</v>
      </c>
      <c r="B1087" s="63">
        <v>44.485274177840033</v>
      </c>
      <c r="C1087" s="63">
        <v>43.419178282510536</v>
      </c>
      <c r="D1087" s="63">
        <v>43.758390612842646</v>
      </c>
      <c r="E1087" s="63">
        <v>2082860.7536413954</v>
      </c>
      <c r="F1087" s="63" t="s">
        <v>1141</v>
      </c>
      <c r="G1087" s="25">
        <f t="shared" si="23"/>
        <v>5.7585825027686166E-3</v>
      </c>
    </row>
    <row r="1088" spans="1:7">
      <c r="A1088" s="63">
        <v>43.894075544975493</v>
      </c>
      <c r="B1088" s="63">
        <v>45.628904320102592</v>
      </c>
      <c r="C1088" s="63">
        <v>43.797157736309174</v>
      </c>
      <c r="D1088" s="63">
        <v>44.892328974238573</v>
      </c>
      <c r="E1088" s="63">
        <v>3242509.3419308155</v>
      </c>
      <c r="F1088" s="63" t="s">
        <v>1142</v>
      </c>
      <c r="G1088" s="25">
        <f t="shared" si="23"/>
        <v>-2.223661485319528E-2</v>
      </c>
    </row>
    <row r="1089" spans="1:7">
      <c r="A1089" s="63">
        <v>45.745205690502175</v>
      </c>
      <c r="B1089" s="63">
        <v>46.976061860564414</v>
      </c>
      <c r="C1089" s="63">
        <v>45.502911168836377</v>
      </c>
      <c r="D1089" s="63">
        <v>46.249178295567027</v>
      </c>
      <c r="E1089" s="63">
        <v>6041541.8802539455</v>
      </c>
      <c r="F1089" s="63" t="s">
        <v>1143</v>
      </c>
      <c r="G1089" s="25">
        <f t="shared" si="23"/>
        <v>-1.0896898575020963E-2</v>
      </c>
    </row>
    <row r="1090" spans="1:7">
      <c r="A1090" s="63">
        <v>46.520548159832714</v>
      </c>
      <c r="B1090" s="63">
        <v>46.95667829883115</v>
      </c>
      <c r="C1090" s="63">
        <v>45.745205690502175</v>
      </c>
      <c r="D1090" s="63">
        <v>46.229794733833764</v>
      </c>
      <c r="E1090" s="63">
        <v>2434877.5859395918</v>
      </c>
      <c r="F1090" s="63" t="s">
        <v>1144</v>
      </c>
      <c r="G1090" s="25">
        <f t="shared" si="23"/>
        <v>6.2893081761006275E-3</v>
      </c>
    </row>
    <row r="1091" spans="1:7">
      <c r="A1091" s="63">
        <v>46.627157749365665</v>
      </c>
      <c r="B1091" s="63">
        <v>47.489726246495898</v>
      </c>
      <c r="C1091" s="63">
        <v>45.541678292302905</v>
      </c>
      <c r="D1091" s="63">
        <v>46.70469199629872</v>
      </c>
      <c r="E1091" s="63">
        <v>2223593.4031687896</v>
      </c>
      <c r="F1091" s="63" t="s">
        <v>1145</v>
      </c>
      <c r="G1091" s="25">
        <f t="shared" si="23"/>
        <v>-1.6600954554887304E-3</v>
      </c>
    </row>
    <row r="1092" spans="1:7">
      <c r="A1092" s="63">
        <v>46.607774187632408</v>
      </c>
      <c r="B1092" s="63">
        <v>47.402500218696211</v>
      </c>
      <c r="C1092" s="63">
        <v>44.640342671706151</v>
      </c>
      <c r="D1092" s="63">
        <v>45.318767332370371</v>
      </c>
      <c r="E1092" s="63">
        <v>3566779.9835443008</v>
      </c>
      <c r="F1092" s="63" t="s">
        <v>1146</v>
      </c>
      <c r="G1092" s="25">
        <f t="shared" si="23"/>
        <v>2.8443113772455231E-2</v>
      </c>
    </row>
    <row r="1093" spans="1:7">
      <c r="A1093" s="63">
        <v>45.599828977502689</v>
      </c>
      <c r="B1093" s="63">
        <v>47.00513720316431</v>
      </c>
      <c r="C1093" s="63">
        <v>43.981301572775187</v>
      </c>
      <c r="D1093" s="63">
        <v>44.107294724041395</v>
      </c>
      <c r="E1093" s="63">
        <v>2527864.6243798444</v>
      </c>
      <c r="F1093" s="63" t="s">
        <v>1147</v>
      </c>
      <c r="G1093" s="25">
        <f t="shared" si="23"/>
        <v>3.383871676554584E-2</v>
      </c>
    </row>
    <row r="1094" spans="1:7">
      <c r="A1094" s="63">
        <v>45.851815280035126</v>
      </c>
      <c r="B1094" s="63">
        <v>45.987500212167973</v>
      </c>
      <c r="C1094" s="63">
        <v>42.527534442780414</v>
      </c>
      <c r="D1094" s="63">
        <v>43.370719378177377</v>
      </c>
      <c r="E1094" s="63">
        <v>4533061.6327965101</v>
      </c>
      <c r="F1094" s="63" t="s">
        <v>1148</v>
      </c>
      <c r="G1094" s="25">
        <f t="shared" si="23"/>
        <v>5.7206703910614554E-2</v>
      </c>
    </row>
    <row r="1095" spans="1:7">
      <c r="A1095" s="63">
        <v>44.097602943174763</v>
      </c>
      <c r="B1095" s="63">
        <v>46.094109801700917</v>
      </c>
      <c r="C1095" s="63">
        <v>42.808596087912733</v>
      </c>
      <c r="D1095" s="63">
        <v>43.73900705110939</v>
      </c>
      <c r="E1095" s="63">
        <v>7508888.3045796016</v>
      </c>
      <c r="F1095" s="63" t="s">
        <v>1149</v>
      </c>
      <c r="G1095" s="25">
        <f t="shared" si="23"/>
        <v>8.198537558165242E-3</v>
      </c>
    </row>
    <row r="1096" spans="1:7">
      <c r="A1096" s="63">
        <v>44.650034452572775</v>
      </c>
      <c r="B1096" s="63">
        <v>48.497671456625611</v>
      </c>
      <c r="C1096" s="63">
        <v>44.582191986506352</v>
      </c>
      <c r="D1096" s="63">
        <v>48.458904333159083</v>
      </c>
      <c r="E1096" s="63">
        <v>9732605.5240022372</v>
      </c>
      <c r="F1096" s="63" t="s">
        <v>1150</v>
      </c>
      <c r="G1096" s="25">
        <f t="shared" si="23"/>
        <v>-7.8600000000000114E-2</v>
      </c>
    </row>
    <row r="1097" spans="1:7">
      <c r="A1097" s="63">
        <v>48.59458926529193</v>
      </c>
      <c r="B1097" s="63">
        <v>52.655445448410653</v>
      </c>
      <c r="C1097" s="63">
        <v>48.575205703558659</v>
      </c>
      <c r="D1097" s="63">
        <v>50.978767358483353</v>
      </c>
      <c r="E1097" s="63">
        <v>6972906.3141195467</v>
      </c>
      <c r="F1097" s="63" t="s">
        <v>1151</v>
      </c>
      <c r="G1097" s="25">
        <f t="shared" si="23"/>
        <v>-4.6768060836501868E-2</v>
      </c>
    </row>
    <row r="1098" spans="1:7">
      <c r="A1098" s="63">
        <v>51.967329006879794</v>
      </c>
      <c r="B1098" s="63">
        <v>54.826404362536181</v>
      </c>
      <c r="C1098" s="63">
        <v>48.749657759158033</v>
      </c>
      <c r="D1098" s="63">
        <v>50.581404342951444</v>
      </c>
      <c r="E1098" s="63">
        <v>8693429.1189025883</v>
      </c>
      <c r="F1098" s="63" t="s">
        <v>1152</v>
      </c>
      <c r="G1098" s="25">
        <f t="shared" si="23"/>
        <v>2.7399885035447324E-2</v>
      </c>
    </row>
    <row r="1099" spans="1:7">
      <c r="A1099" s="63">
        <v>51.376130374015254</v>
      </c>
      <c r="B1099" s="63">
        <v>54.496883813070703</v>
      </c>
      <c r="C1099" s="63">
        <v>48.265068715826445</v>
      </c>
      <c r="D1099" s="63">
        <v>48.492631730574956</v>
      </c>
      <c r="E1099" s="63">
        <v>24619729.158499204</v>
      </c>
      <c r="F1099" s="63" t="s">
        <v>1153</v>
      </c>
      <c r="G1099" s="25">
        <f t="shared" si="23"/>
        <v>5.9462614020641569E-2</v>
      </c>
    </row>
    <row r="1100" spans="1:7">
      <c r="A1100" s="63">
        <v>48.245685154093181</v>
      </c>
      <c r="B1100" s="63">
        <v>48.458904333159083</v>
      </c>
      <c r="C1100" s="63">
        <v>45.599828977502689</v>
      </c>
      <c r="D1100" s="63">
        <v>46.035959116501125</v>
      </c>
      <c r="E1100" s="63">
        <v>308310.7264927717</v>
      </c>
      <c r="F1100" s="63" t="s">
        <v>1154</v>
      </c>
      <c r="G1100" s="25">
        <f t="shared" si="23"/>
        <v>4.8000000000000043E-2</v>
      </c>
    </row>
    <row r="1101" spans="1:7">
      <c r="A1101" s="63">
        <v>46.520548159832714</v>
      </c>
      <c r="B1101" s="63">
        <v>46.520548159832714</v>
      </c>
      <c r="C1101" s="63">
        <v>44.582191986506352</v>
      </c>
      <c r="D1101" s="63">
        <v>44.582191986506352</v>
      </c>
      <c r="E1101" s="63">
        <v>73581.936056282037</v>
      </c>
      <c r="F1101" s="63" t="s">
        <v>1155</v>
      </c>
      <c r="G1101" s="25">
        <f t="shared" si="23"/>
        <v>4.3478260869565188E-2</v>
      </c>
    </row>
    <row r="1102" spans="1:7">
      <c r="A1102" s="63">
        <v>45.309075551503739</v>
      </c>
      <c r="B1102" s="63">
        <v>46.132876925167444</v>
      </c>
      <c r="C1102" s="63">
        <v>42.789212526179469</v>
      </c>
      <c r="D1102" s="63">
        <v>43.176883760844738</v>
      </c>
      <c r="E1102" s="63">
        <v>44995.858449650885</v>
      </c>
      <c r="F1102" s="63" t="s">
        <v>1156</v>
      </c>
      <c r="G1102" s="25">
        <f t="shared" si="23"/>
        <v>4.9382716049382713E-2</v>
      </c>
    </row>
    <row r="1103" spans="1:7">
      <c r="A1103" s="63">
        <v>44.349589245707186</v>
      </c>
      <c r="B1103" s="63">
        <v>48.09061666022707</v>
      </c>
      <c r="C1103" s="63">
        <v>42.401541291514192</v>
      </c>
      <c r="D1103" s="63">
        <v>45.803356375701959</v>
      </c>
      <c r="E1103" s="63">
        <v>156439.77312983945</v>
      </c>
      <c r="F1103" s="63" t="s">
        <v>1157</v>
      </c>
      <c r="G1103" s="25">
        <f t="shared" si="23"/>
        <v>-3.1739314430808352E-2</v>
      </c>
    </row>
    <row r="1104" spans="1:7">
      <c r="A1104" s="63">
        <v>41.887876905582708</v>
      </c>
      <c r="B1104" s="63">
        <v>43.671164585042966</v>
      </c>
      <c r="C1104" s="63">
        <v>40.947774161519426</v>
      </c>
      <c r="D1104" s="63">
        <v>43.622705680709799</v>
      </c>
      <c r="E1104" s="63">
        <v>93646.359991981342</v>
      </c>
      <c r="F1104" s="63" t="s">
        <v>1158</v>
      </c>
      <c r="G1104" s="25">
        <f t="shared" si="23"/>
        <v>-3.9768940235503147E-2</v>
      </c>
    </row>
    <row r="1105" spans="1:7">
      <c r="A1105" s="63">
        <v>40.606138885970651</v>
      </c>
      <c r="B1105" s="63">
        <v>43.535479652910119</v>
      </c>
      <c r="C1105" s="63">
        <v>40.056130321789297</v>
      </c>
      <c r="D1105" s="63">
        <v>41.190068683185217</v>
      </c>
      <c r="E1105" s="63">
        <v>24218.459252223292</v>
      </c>
      <c r="F1105" s="63" t="s">
        <v>1159</v>
      </c>
      <c r="G1105" s="25">
        <f t="shared" si="23"/>
        <v>-1.4176470588235235E-2</v>
      </c>
    </row>
    <row r="1106" spans="1:7">
      <c r="A1106" s="63">
        <v>41.480822109184167</v>
      </c>
      <c r="B1106" s="63">
        <v>43.613013899843175</v>
      </c>
      <c r="C1106" s="63">
        <v>40.589178269454045</v>
      </c>
      <c r="D1106" s="63">
        <v>43.535479652910119</v>
      </c>
      <c r="E1106" s="63">
        <v>113502.35990037369</v>
      </c>
      <c r="F1106" s="63" t="s">
        <v>1160</v>
      </c>
      <c r="G1106" s="25">
        <f t="shared" si="23"/>
        <v>-4.7195013357079429E-2</v>
      </c>
    </row>
    <row r="1107" spans="1:7">
      <c r="A1107" s="63">
        <v>43.613013899843175</v>
      </c>
      <c r="B1107" s="63">
        <v>48.410445428825923</v>
      </c>
      <c r="C1107" s="63">
        <v>41.626198822183653</v>
      </c>
      <c r="D1107" s="63">
        <v>41.674657726516813</v>
      </c>
      <c r="E1107" s="63">
        <v>339964.35178843065</v>
      </c>
      <c r="F1107" s="63" t="s">
        <v>1161</v>
      </c>
      <c r="G1107" s="25">
        <f t="shared" si="23"/>
        <v>4.6511627906976605E-2</v>
      </c>
    </row>
    <row r="1108" spans="1:7">
      <c r="A1108" s="63">
        <v>43.613013899843175</v>
      </c>
      <c r="B1108" s="63">
        <v>46.879144051898095</v>
      </c>
      <c r="C1108" s="63">
        <v>39.687842648857291</v>
      </c>
      <c r="D1108" s="63">
        <v>39.687842648857291</v>
      </c>
      <c r="E1108" s="63">
        <v>158292.88972906375</v>
      </c>
      <c r="F1108" s="63" t="s">
        <v>1162</v>
      </c>
      <c r="G1108" s="25">
        <f t="shared" si="23"/>
        <v>9.8901098901098772E-2</v>
      </c>
    </row>
    <row r="1109" spans="1:7">
      <c r="A1109" s="63">
        <v>40.705479639853628</v>
      </c>
      <c r="B1109" s="63">
        <v>41.674657726516813</v>
      </c>
      <c r="C1109" s="63">
        <v>36.828767293200904</v>
      </c>
      <c r="D1109" s="63">
        <v>36.828767293200904</v>
      </c>
      <c r="E1109" s="63">
        <v>134053.79443453284</v>
      </c>
      <c r="F1109" s="63" t="s">
        <v>1163</v>
      </c>
      <c r="G1109" s="25">
        <f>A1109/D1109-1</f>
        <v>0.10526315789473673</v>
      </c>
    </row>
    <row r="1110" spans="1:7">
      <c r="G1110" s="25"/>
    </row>
    <row r="1111" spans="1:7">
      <c r="G1111" s="25"/>
    </row>
    <row r="1112" spans="1:7">
      <c r="G1112" s="25"/>
    </row>
    <row r="1113" spans="1:7">
      <c r="G1113" s="25"/>
    </row>
    <row r="1114" spans="1:7">
      <c r="G1114" s="25"/>
    </row>
    <row r="1115" spans="1:7">
      <c r="G1115" s="25"/>
    </row>
    <row r="1116" spans="1:7">
      <c r="G1116" s="25"/>
    </row>
    <row r="1117" spans="1:7">
      <c r="G1117" s="25"/>
    </row>
    <row r="1118" spans="1:7">
      <c r="G1118" s="25"/>
    </row>
    <row r="1119" spans="1:7">
      <c r="G1119" s="25"/>
    </row>
    <row r="1120" spans="1:7">
      <c r="G1120" s="25"/>
    </row>
    <row r="1121" spans="7:7">
      <c r="G1121" s="25"/>
    </row>
    <row r="1122" spans="7:7">
      <c r="G1122" s="25"/>
    </row>
    <row r="1123" spans="7:7">
      <c r="G1123" s="25"/>
    </row>
    <row r="1124" spans="7:7">
      <c r="G1124" s="25"/>
    </row>
    <row r="1125" spans="7:7">
      <c r="G1125" s="25"/>
    </row>
    <row r="1126" spans="7:7">
      <c r="G1126" s="25"/>
    </row>
    <row r="1127" spans="7:7">
      <c r="G1127" s="25"/>
    </row>
    <row r="1128" spans="7:7">
      <c r="G1128" s="25"/>
    </row>
    <row r="1129" spans="7:7">
      <c r="G1129" s="25"/>
    </row>
    <row r="1130" spans="7:7">
      <c r="G1130" s="25"/>
    </row>
    <row r="1131" spans="7:7">
      <c r="G1131" s="25"/>
    </row>
    <row r="1132" spans="7:7">
      <c r="G1132" s="25"/>
    </row>
    <row r="1133" spans="7:7">
      <c r="G1133" s="25"/>
    </row>
    <row r="1134" spans="7:7">
      <c r="G1134" s="25"/>
    </row>
    <row r="1135" spans="7:7">
      <c r="G1135" s="25"/>
    </row>
    <row r="1136" spans="7:7">
      <c r="G1136" s="25"/>
    </row>
    <row r="1137" spans="7:7">
      <c r="G1137" s="25"/>
    </row>
    <row r="1138" spans="7:7">
      <c r="G1138" s="25"/>
    </row>
    <row r="1139" spans="7:7">
      <c r="G1139" s="25"/>
    </row>
    <row r="1140" spans="7:7">
      <c r="G1140" s="25"/>
    </row>
    <row r="1141" spans="7:7">
      <c r="G1141" s="25"/>
    </row>
    <row r="1142" spans="7:7">
      <c r="G1142" s="25"/>
    </row>
    <row r="1143" spans="7:7">
      <c r="G1143" s="25"/>
    </row>
    <row r="1144" spans="7:7">
      <c r="G1144" s="25"/>
    </row>
    <row r="1145" spans="7:7">
      <c r="G1145" s="25"/>
    </row>
    <row r="1146" spans="7:7">
      <c r="G1146" s="25"/>
    </row>
    <row r="1147" spans="7:7">
      <c r="G1147" s="25"/>
    </row>
    <row r="1148" spans="7:7">
      <c r="G1148" s="25"/>
    </row>
    <row r="1149" spans="7:7">
      <c r="G1149" s="25"/>
    </row>
    <row r="1150" spans="7:7">
      <c r="G1150" s="25"/>
    </row>
    <row r="1151" spans="7:7">
      <c r="G1151" s="25"/>
    </row>
    <row r="1152" spans="7:7">
      <c r="G1152" s="25"/>
    </row>
    <row r="1153" spans="7:7">
      <c r="G1153" s="25"/>
    </row>
    <row r="1154" spans="7:7">
      <c r="G1154" s="25"/>
    </row>
    <row r="1155" spans="7:7">
      <c r="G1155" s="25"/>
    </row>
    <row r="1156" spans="7:7">
      <c r="G1156" s="25"/>
    </row>
    <row r="1157" spans="7:7">
      <c r="G1157" s="25"/>
    </row>
    <row r="1158" spans="7:7">
      <c r="G1158" s="25"/>
    </row>
    <row r="1159" spans="7:7">
      <c r="G1159" s="25"/>
    </row>
    <row r="1160" spans="7:7">
      <c r="G1160" s="25"/>
    </row>
    <row r="1161" spans="7:7">
      <c r="G1161" s="25"/>
    </row>
    <row r="1162" spans="7:7">
      <c r="G1162" s="25"/>
    </row>
    <row r="1163" spans="7:7">
      <c r="G1163" s="25"/>
    </row>
    <row r="1164" spans="7:7">
      <c r="G1164" s="25"/>
    </row>
    <row r="1165" spans="7:7">
      <c r="G1165" s="25"/>
    </row>
    <row r="1166" spans="7:7">
      <c r="G1166" s="25"/>
    </row>
    <row r="1167" spans="7:7">
      <c r="G1167" s="25"/>
    </row>
    <row r="1168" spans="7:7">
      <c r="G1168" s="25"/>
    </row>
    <row r="1169" spans="7:7">
      <c r="G1169" s="25"/>
    </row>
    <row r="1170" spans="7:7">
      <c r="G1170" s="25"/>
    </row>
    <row r="1171" spans="7:7">
      <c r="G1171" s="25"/>
    </row>
    <row r="1172" spans="7:7">
      <c r="G1172" s="25"/>
    </row>
    <row r="1173" spans="7:7">
      <c r="G1173" s="25"/>
    </row>
    <row r="1174" spans="7:7">
      <c r="G1174" s="25"/>
    </row>
    <row r="1175" spans="7:7">
      <c r="G1175" s="25"/>
    </row>
    <row r="1176" spans="7:7">
      <c r="G1176" s="25"/>
    </row>
    <row r="1177" spans="7:7">
      <c r="G1177" s="25"/>
    </row>
    <row r="1178" spans="7:7">
      <c r="G1178" s="25"/>
    </row>
    <row r="1179" spans="7:7">
      <c r="G1179" s="25"/>
    </row>
    <row r="1180" spans="7:7">
      <c r="G1180" s="25"/>
    </row>
    <row r="1181" spans="7:7">
      <c r="G1181" s="25"/>
    </row>
    <row r="1182" spans="7:7">
      <c r="G1182" s="25"/>
    </row>
    <row r="1183" spans="7:7">
      <c r="G1183" s="25"/>
    </row>
    <row r="1184" spans="7:7">
      <c r="G1184" s="25"/>
    </row>
    <row r="1185" spans="7:7">
      <c r="G1185" s="25"/>
    </row>
    <row r="1186" spans="7:7">
      <c r="G1186" s="25"/>
    </row>
    <row r="1187" spans="7:7">
      <c r="G1187" s="25"/>
    </row>
    <row r="1188" spans="7:7">
      <c r="G1188" s="25"/>
    </row>
    <row r="1189" spans="7:7">
      <c r="G1189" s="25"/>
    </row>
    <row r="1190" spans="7:7">
      <c r="G1190" s="25"/>
    </row>
    <row r="1191" spans="7:7">
      <c r="G1191" s="25"/>
    </row>
    <row r="1192" spans="7:7">
      <c r="G1192" s="25"/>
    </row>
    <row r="1193" spans="7:7">
      <c r="G1193" s="25"/>
    </row>
    <row r="1194" spans="7:7">
      <c r="G1194" s="25"/>
    </row>
    <row r="1195" spans="7:7">
      <c r="G1195" s="25"/>
    </row>
    <row r="1196" spans="7:7">
      <c r="G1196" s="25"/>
    </row>
    <row r="1197" spans="7:7">
      <c r="G1197" s="25"/>
    </row>
    <row r="1198" spans="7:7">
      <c r="G1198" s="25"/>
    </row>
    <row r="1199" spans="7:7">
      <c r="G1199" s="25"/>
    </row>
    <row r="1200" spans="7:7">
      <c r="G1200" s="25"/>
    </row>
    <row r="1201" spans="7:7">
      <c r="G1201" s="25"/>
    </row>
    <row r="1202" spans="7:7">
      <c r="G1202" s="25"/>
    </row>
    <row r="1203" spans="7:7">
      <c r="G1203" s="25"/>
    </row>
    <row r="1204" spans="7:7">
      <c r="G1204" s="25"/>
    </row>
    <row r="1205" spans="7:7">
      <c r="G1205" s="25"/>
    </row>
    <row r="1206" spans="7:7">
      <c r="G1206" s="25"/>
    </row>
    <row r="1207" spans="7:7">
      <c r="G1207" s="25"/>
    </row>
    <row r="1208" spans="7:7">
      <c r="G1208" s="25"/>
    </row>
    <row r="1209" spans="7:7">
      <c r="G1209" s="25"/>
    </row>
    <row r="1210" spans="7:7">
      <c r="G1210" s="25"/>
    </row>
    <row r="1211" spans="7:7">
      <c r="G1211" s="25"/>
    </row>
    <row r="1212" spans="7:7">
      <c r="G1212" s="25"/>
    </row>
    <row r="1213" spans="7:7">
      <c r="G1213" s="25"/>
    </row>
    <row r="1214" spans="7:7">
      <c r="G1214" s="25"/>
    </row>
    <row r="1215" spans="7:7">
      <c r="G1215" s="25"/>
    </row>
    <row r="1216" spans="7:7">
      <c r="G1216" s="25"/>
    </row>
    <row r="1217" spans="7:7">
      <c r="G1217" s="25"/>
    </row>
    <row r="1218" spans="7:7">
      <c r="G1218" s="25"/>
    </row>
    <row r="1219" spans="7:7">
      <c r="G1219" s="25"/>
    </row>
    <row r="1220" spans="7:7">
      <c r="G1220" s="25"/>
    </row>
    <row r="1221" spans="7:7">
      <c r="G1221" s="25"/>
    </row>
    <row r="1222" spans="7:7">
      <c r="G1222" s="25"/>
    </row>
    <row r="1223" spans="7:7">
      <c r="G1223" s="25"/>
    </row>
    <row r="1224" spans="7:7">
      <c r="G1224" s="25"/>
    </row>
    <row r="1225" spans="7:7">
      <c r="G1225" s="25"/>
    </row>
    <row r="1226" spans="7:7">
      <c r="G1226" s="25"/>
    </row>
    <row r="1227" spans="7:7">
      <c r="G1227" s="25"/>
    </row>
    <row r="1228" spans="7:7">
      <c r="G1228" s="25"/>
    </row>
    <row r="1229" spans="7:7">
      <c r="G1229" s="25"/>
    </row>
    <row r="1230" spans="7:7">
      <c r="G1230" s="25"/>
    </row>
    <row r="1231" spans="7:7">
      <c r="G1231" s="25"/>
    </row>
    <row r="1232" spans="7:7">
      <c r="G1232" s="25"/>
    </row>
    <row r="1233" spans="7:7">
      <c r="G1233" s="25"/>
    </row>
    <row r="1234" spans="7:7">
      <c r="G1234" s="25"/>
    </row>
    <row r="1235" spans="7:7">
      <c r="G1235" s="25"/>
    </row>
    <row r="1236" spans="7:7">
      <c r="G1236" s="25"/>
    </row>
    <row r="1237" spans="7:7">
      <c r="G1237" s="25"/>
    </row>
    <row r="1238" spans="7:7">
      <c r="G1238" s="25"/>
    </row>
    <row r="1239" spans="7:7">
      <c r="G1239" s="25"/>
    </row>
    <row r="1240" spans="7:7">
      <c r="G1240" s="25"/>
    </row>
    <row r="1241" spans="7:7">
      <c r="G1241" s="25"/>
    </row>
    <row r="1242" spans="7:7">
      <c r="G1242" s="25"/>
    </row>
    <row r="1243" spans="7:7">
      <c r="G1243" s="25"/>
    </row>
    <row r="1244" spans="7:7">
      <c r="G1244" s="25"/>
    </row>
    <row r="1245" spans="7:7">
      <c r="G1245" s="25"/>
    </row>
    <row r="1246" spans="7:7">
      <c r="G1246" s="25"/>
    </row>
    <row r="1247" spans="7:7">
      <c r="G1247" s="25"/>
    </row>
    <row r="1248" spans="7:7">
      <c r="G1248" s="25"/>
    </row>
    <row r="1249" spans="7:7">
      <c r="G1249" s="25"/>
    </row>
    <row r="1250" spans="7:7">
      <c r="G1250" s="25"/>
    </row>
    <row r="1251" spans="7:7">
      <c r="G1251" s="25"/>
    </row>
    <row r="1252" spans="7:7">
      <c r="G1252" s="25"/>
    </row>
    <row r="1253" spans="7:7">
      <c r="G1253" s="25"/>
    </row>
    <row r="1254" spans="7:7">
      <c r="G1254" s="25"/>
    </row>
    <row r="1255" spans="7:7">
      <c r="G1255" s="25"/>
    </row>
    <row r="1256" spans="7:7">
      <c r="G1256" s="25"/>
    </row>
    <row r="1257" spans="7:7">
      <c r="G1257" s="25"/>
    </row>
    <row r="1258" spans="7:7">
      <c r="G1258" s="25"/>
    </row>
    <row r="1259" spans="7:7">
      <c r="G1259" s="25"/>
    </row>
    <row r="1260" spans="7:7">
      <c r="G1260" s="25"/>
    </row>
    <row r="1261" spans="7:7">
      <c r="G1261" s="25"/>
    </row>
    <row r="1262" spans="7:7">
      <c r="G1262" s="25"/>
    </row>
    <row r="1263" spans="7:7">
      <c r="G1263" s="25"/>
    </row>
    <row r="1264" spans="7:7">
      <c r="G1264" s="25"/>
    </row>
    <row r="1265" spans="7:7">
      <c r="G1265" s="25"/>
    </row>
    <row r="1266" spans="7:7">
      <c r="G1266" s="25"/>
    </row>
    <row r="1267" spans="7:7">
      <c r="G1267" s="25"/>
    </row>
    <row r="1268" spans="7:7">
      <c r="G1268" s="25"/>
    </row>
    <row r="1269" spans="7:7">
      <c r="G1269" s="25"/>
    </row>
    <row r="1270" spans="7:7">
      <c r="G1270" s="25"/>
    </row>
    <row r="1271" spans="7:7">
      <c r="G1271" s="25"/>
    </row>
    <row r="1272" spans="7:7">
      <c r="G1272" s="25"/>
    </row>
    <row r="1273" spans="7:7">
      <c r="G1273" s="25"/>
    </row>
    <row r="1274" spans="7:7">
      <c r="G1274" s="25"/>
    </row>
    <row r="1275" spans="7:7">
      <c r="G1275" s="25"/>
    </row>
    <row r="1276" spans="7:7">
      <c r="G1276" s="25"/>
    </row>
    <row r="1277" spans="7:7">
      <c r="G1277" s="25"/>
    </row>
    <row r="1278" spans="7:7">
      <c r="G1278" s="25"/>
    </row>
    <row r="1279" spans="7:7">
      <c r="G1279" s="25"/>
    </row>
    <row r="1280" spans="7:7">
      <c r="G1280" s="25"/>
    </row>
    <row r="1281" spans="7:7">
      <c r="G1281" s="25"/>
    </row>
    <row r="1282" spans="7:7">
      <c r="G1282" s="25"/>
    </row>
    <row r="1283" spans="7:7">
      <c r="G1283" s="25"/>
    </row>
    <row r="1284" spans="7:7">
      <c r="G1284" s="25"/>
    </row>
    <row r="1285" spans="7:7">
      <c r="G1285" s="25"/>
    </row>
    <row r="1286" spans="7:7">
      <c r="G1286" s="25"/>
    </row>
    <row r="1287" spans="7:7">
      <c r="G1287" s="25"/>
    </row>
    <row r="1288" spans="7:7">
      <c r="G1288" s="25"/>
    </row>
    <row r="1289" spans="7:7">
      <c r="G1289" s="25"/>
    </row>
    <row r="1290" spans="7:7">
      <c r="G1290" s="25"/>
    </row>
    <row r="1291" spans="7:7">
      <c r="G1291" s="25"/>
    </row>
    <row r="1292" spans="7:7">
      <c r="G1292" s="25"/>
    </row>
    <row r="1293" spans="7:7">
      <c r="G1293" s="25"/>
    </row>
    <row r="1294" spans="7:7">
      <c r="G1294" s="25"/>
    </row>
    <row r="1295" spans="7:7">
      <c r="G1295" s="25"/>
    </row>
    <row r="1296" spans="7:7">
      <c r="G1296" s="25"/>
    </row>
    <row r="1297" spans="7:7">
      <c r="G1297" s="25"/>
    </row>
    <row r="1298" spans="7:7">
      <c r="G1298" s="25"/>
    </row>
    <row r="1299" spans="7:7">
      <c r="G1299" s="25"/>
    </row>
    <row r="1300" spans="7:7">
      <c r="G1300" s="25"/>
    </row>
    <row r="1301" spans="7:7">
      <c r="G1301" s="25"/>
    </row>
    <row r="1302" spans="7:7">
      <c r="G1302" s="25"/>
    </row>
    <row r="1303" spans="7:7">
      <c r="G1303" s="25"/>
    </row>
    <row r="1304" spans="7:7">
      <c r="G1304" s="25"/>
    </row>
    <row r="1305" spans="7:7">
      <c r="G1305" s="25"/>
    </row>
    <row r="1306" spans="7:7">
      <c r="G1306" s="25"/>
    </row>
    <row r="1307" spans="7:7">
      <c r="G1307" s="25"/>
    </row>
    <row r="1308" spans="7:7">
      <c r="G1308" s="25"/>
    </row>
    <row r="1309" spans="7:7">
      <c r="G1309" s="25"/>
    </row>
    <row r="1310" spans="7:7">
      <c r="G1310" s="25"/>
    </row>
    <row r="1311" spans="7:7">
      <c r="G1311" s="25"/>
    </row>
    <row r="1312" spans="7:7">
      <c r="G1312" s="25"/>
    </row>
    <row r="1313" spans="7:7">
      <c r="G1313" s="25"/>
    </row>
    <row r="1314" spans="7:7">
      <c r="G1314" s="25"/>
    </row>
    <row r="1315" spans="7:7">
      <c r="G1315" s="25"/>
    </row>
    <row r="1316" spans="7:7">
      <c r="G1316" s="25"/>
    </row>
    <row r="1317" spans="7:7">
      <c r="G1317" s="25"/>
    </row>
    <row r="1318" spans="7:7">
      <c r="G1318" s="25"/>
    </row>
    <row r="1319" spans="7:7">
      <c r="G1319" s="25"/>
    </row>
    <row r="1320" spans="7:7">
      <c r="G1320" s="25"/>
    </row>
    <row r="1321" spans="7:7">
      <c r="G1321" s="25"/>
    </row>
    <row r="1322" spans="7:7">
      <c r="G1322" s="25"/>
    </row>
    <row r="1323" spans="7:7">
      <c r="G1323" s="25"/>
    </row>
    <row r="1324" spans="7:7">
      <c r="G1324" s="25"/>
    </row>
    <row r="1325" spans="7:7">
      <c r="G1325" s="25"/>
    </row>
    <row r="1326" spans="7:7">
      <c r="G1326" s="25"/>
    </row>
    <row r="1327" spans="7:7">
      <c r="G1327" s="25"/>
    </row>
    <row r="1328" spans="7:7">
      <c r="G1328" s="25"/>
    </row>
    <row r="1329" spans="7:7">
      <c r="G1329" s="25"/>
    </row>
    <row r="1330" spans="7:7">
      <c r="G1330" s="25"/>
    </row>
    <row r="1331" spans="7:7">
      <c r="G1331" s="25"/>
    </row>
    <row r="1332" spans="7:7">
      <c r="G1332" s="25"/>
    </row>
    <row r="1333" spans="7:7">
      <c r="G1333" s="25"/>
    </row>
    <row r="1334" spans="7:7">
      <c r="G1334" s="25"/>
    </row>
    <row r="1335" spans="7:7">
      <c r="G1335" s="25"/>
    </row>
    <row r="1336" spans="7:7">
      <c r="G1336" s="25"/>
    </row>
    <row r="1337" spans="7:7">
      <c r="G1337" s="25"/>
    </row>
    <row r="1338" spans="7:7">
      <c r="G1338" s="25"/>
    </row>
    <row r="1339" spans="7:7">
      <c r="G1339" s="25"/>
    </row>
    <row r="1340" spans="7:7">
      <c r="G1340" s="25"/>
    </row>
    <row r="1341" spans="7:7">
      <c r="G1341" s="25"/>
    </row>
    <row r="1342" spans="7:7">
      <c r="G1342" s="25"/>
    </row>
    <row r="1343" spans="7:7">
      <c r="G1343" s="25"/>
    </row>
    <row r="1344" spans="7:7">
      <c r="G1344" s="25"/>
    </row>
    <row r="1345" spans="7:7">
      <c r="G1345" s="25"/>
    </row>
    <row r="1346" spans="7:7">
      <c r="G1346" s="25"/>
    </row>
    <row r="1347" spans="7:7">
      <c r="G1347" s="25"/>
    </row>
    <row r="1348" spans="7:7">
      <c r="G1348" s="25"/>
    </row>
    <row r="1349" spans="7:7">
      <c r="G1349" s="25"/>
    </row>
    <row r="1350" spans="7:7">
      <c r="G1350" s="25"/>
    </row>
    <row r="1351" spans="7:7">
      <c r="G1351" s="25"/>
    </row>
    <row r="1352" spans="7:7">
      <c r="G1352" s="25"/>
    </row>
    <row r="1353" spans="7:7">
      <c r="G1353" s="25"/>
    </row>
    <row r="1354" spans="7:7">
      <c r="G1354" s="25"/>
    </row>
    <row r="1355" spans="7:7">
      <c r="G1355" s="25"/>
    </row>
    <row r="1356" spans="7:7">
      <c r="G1356" s="25"/>
    </row>
    <row r="1357" spans="7:7">
      <c r="G1357" s="25"/>
    </row>
    <row r="1358" spans="7:7">
      <c r="G1358" s="25"/>
    </row>
    <row r="1359" spans="7:7">
      <c r="G1359" s="25"/>
    </row>
    <row r="1360" spans="7:7">
      <c r="G1360" s="25"/>
    </row>
    <row r="1361" spans="7:7">
      <c r="G1361" s="25"/>
    </row>
    <row r="1362" spans="7:7">
      <c r="G1362" s="25"/>
    </row>
    <row r="1363" spans="7:7">
      <c r="G1363" s="25"/>
    </row>
    <row r="1364" spans="7:7">
      <c r="G1364" s="25"/>
    </row>
    <row r="1365" spans="7:7">
      <c r="G1365" s="25"/>
    </row>
    <row r="1366" spans="7:7">
      <c r="G1366" s="25"/>
    </row>
    <row r="1367" spans="7:7">
      <c r="G1367" s="25"/>
    </row>
    <row r="1368" spans="7:7">
      <c r="G1368" s="25"/>
    </row>
    <row r="1369" spans="7:7">
      <c r="G1369" s="25"/>
    </row>
    <row r="1370" spans="7:7">
      <c r="G1370" s="25"/>
    </row>
    <row r="1371" spans="7:7">
      <c r="G1371" s="25"/>
    </row>
    <row r="1372" spans="7:7">
      <c r="G1372" s="25"/>
    </row>
    <row r="1373" spans="7:7">
      <c r="G1373" s="25"/>
    </row>
    <row r="1374" spans="7:7">
      <c r="G1374" s="25"/>
    </row>
    <row r="1375" spans="7:7">
      <c r="G1375" s="25"/>
    </row>
    <row r="1376" spans="7:7">
      <c r="G1376" s="25"/>
    </row>
    <row r="1377" spans="7:7">
      <c r="G1377" s="25"/>
    </row>
    <row r="1378" spans="7:7">
      <c r="G1378" s="25"/>
    </row>
    <row r="1379" spans="7:7">
      <c r="G1379" s="25"/>
    </row>
    <row r="1380" spans="7:7">
      <c r="G1380" s="25"/>
    </row>
    <row r="1381" spans="7:7">
      <c r="G1381" s="25"/>
    </row>
    <row r="1382" spans="7:7">
      <c r="G1382" s="25"/>
    </row>
    <row r="1383" spans="7:7">
      <c r="G1383" s="25"/>
    </row>
    <row r="1384" spans="7:7">
      <c r="G1384" s="25"/>
    </row>
    <row r="1385" spans="7:7">
      <c r="G1385" s="25"/>
    </row>
    <row r="1386" spans="7:7">
      <c r="G1386" s="25"/>
    </row>
    <row r="1387" spans="7:7">
      <c r="G1387" s="25"/>
    </row>
    <row r="1388" spans="7:7">
      <c r="G1388" s="25"/>
    </row>
    <row r="1389" spans="7:7">
      <c r="G1389" s="25"/>
    </row>
    <row r="1390" spans="7:7">
      <c r="G1390" s="25"/>
    </row>
    <row r="1391" spans="7:7">
      <c r="G1391" s="25"/>
    </row>
    <row r="1392" spans="7:7">
      <c r="G1392" s="25"/>
    </row>
    <row r="1393" spans="7:7">
      <c r="G1393" s="25"/>
    </row>
    <row r="1394" spans="7:7">
      <c r="G1394" s="25"/>
    </row>
    <row r="1395" spans="7:7">
      <c r="G1395" s="25"/>
    </row>
    <row r="1396" spans="7:7">
      <c r="G1396" s="25"/>
    </row>
    <row r="1397" spans="7:7">
      <c r="G1397" s="25"/>
    </row>
    <row r="1398" spans="7:7">
      <c r="G1398" s="25"/>
    </row>
    <row r="1399" spans="7:7">
      <c r="G1399" s="25"/>
    </row>
    <row r="1400" spans="7:7">
      <c r="G1400" s="25"/>
    </row>
    <row r="1401" spans="7:7">
      <c r="G1401" s="25"/>
    </row>
    <row r="1402" spans="7:7">
      <c r="G1402" s="25"/>
    </row>
    <row r="1403" spans="7:7">
      <c r="G1403" s="25"/>
    </row>
    <row r="1404" spans="7:7">
      <c r="G1404" s="25"/>
    </row>
    <row r="1405" spans="7:7">
      <c r="G1405" s="25"/>
    </row>
    <row r="1406" spans="7:7">
      <c r="G1406" s="25"/>
    </row>
    <row r="1407" spans="7:7">
      <c r="G1407" s="25"/>
    </row>
    <row r="1408" spans="7:7">
      <c r="G1408" s="25"/>
    </row>
    <row r="1409" spans="7:7">
      <c r="G1409" s="25"/>
    </row>
    <row r="1410" spans="7:7">
      <c r="G1410" s="25"/>
    </row>
    <row r="1411" spans="7:7">
      <c r="G1411" s="25"/>
    </row>
    <row r="1412" spans="7:7">
      <c r="G1412" s="25"/>
    </row>
    <row r="1413" spans="7:7">
      <c r="G1413" s="25"/>
    </row>
    <row r="1414" spans="7:7">
      <c r="G1414" s="25"/>
    </row>
    <row r="1415" spans="7:7">
      <c r="G1415" s="25"/>
    </row>
    <row r="1416" spans="7:7">
      <c r="G1416" s="25"/>
    </row>
    <row r="1417" spans="7:7">
      <c r="G1417" s="25"/>
    </row>
    <row r="1418" spans="7:7">
      <c r="G1418" s="25"/>
    </row>
    <row r="1419" spans="7:7">
      <c r="G1419" s="25"/>
    </row>
    <row r="1420" spans="7:7">
      <c r="G1420" s="25"/>
    </row>
    <row r="1421" spans="7:7">
      <c r="G1421" s="25"/>
    </row>
    <row r="1422" spans="7:7">
      <c r="G1422" s="25"/>
    </row>
    <row r="1423" spans="7:7">
      <c r="G1423" s="25"/>
    </row>
    <row r="1424" spans="7:7">
      <c r="G1424" s="25"/>
    </row>
    <row r="1425" spans="7:7">
      <c r="G1425" s="25"/>
    </row>
    <row r="1426" spans="7:7">
      <c r="G1426" s="25"/>
    </row>
    <row r="1427" spans="7:7">
      <c r="G1427" s="25"/>
    </row>
    <row r="1428" spans="7:7">
      <c r="G1428" s="25"/>
    </row>
    <row r="1429" spans="7:7">
      <c r="G1429" s="25"/>
    </row>
    <row r="1430" spans="7:7">
      <c r="G1430" s="25"/>
    </row>
    <row r="1431" spans="7:7">
      <c r="G1431" s="25"/>
    </row>
    <row r="1432" spans="7:7">
      <c r="G1432" s="25"/>
    </row>
    <row r="1433" spans="7:7">
      <c r="G1433" s="25"/>
    </row>
    <row r="1434" spans="7:7">
      <c r="G1434" s="25"/>
    </row>
    <row r="1435" spans="7:7">
      <c r="G1435" s="25"/>
    </row>
    <row r="1436" spans="7:7">
      <c r="G1436" s="25"/>
    </row>
    <row r="1437" spans="7:7">
      <c r="G1437" s="25"/>
    </row>
    <row r="1438" spans="7:7">
      <c r="G1438" s="25"/>
    </row>
    <row r="1439" spans="7:7">
      <c r="G1439" s="25"/>
    </row>
    <row r="1440" spans="7:7">
      <c r="G1440" s="25"/>
    </row>
    <row r="1441" spans="7:7">
      <c r="G1441" s="25"/>
    </row>
    <row r="1442" spans="7:7">
      <c r="G1442" s="25"/>
    </row>
    <row r="1443" spans="7:7">
      <c r="G1443" s="25"/>
    </row>
    <row r="1444" spans="7:7">
      <c r="G1444" s="25"/>
    </row>
    <row r="1445" spans="7:7">
      <c r="G1445" s="25"/>
    </row>
    <row r="1446" spans="7:7">
      <c r="G1446" s="25"/>
    </row>
    <row r="1447" spans="7:7">
      <c r="G1447" s="25"/>
    </row>
    <row r="1448" spans="7:7">
      <c r="G1448" s="25"/>
    </row>
    <row r="1449" spans="7:7">
      <c r="G1449" s="25"/>
    </row>
    <row r="1450" spans="7:7">
      <c r="G1450" s="25"/>
    </row>
    <row r="1451" spans="7:7">
      <c r="G1451" s="25"/>
    </row>
    <row r="1452" spans="7:7">
      <c r="G1452" s="25"/>
    </row>
    <row r="1453" spans="7:7">
      <c r="G1453" s="25"/>
    </row>
    <row r="1454" spans="7:7">
      <c r="G1454" s="25"/>
    </row>
    <row r="1455" spans="7:7">
      <c r="G1455" s="25"/>
    </row>
    <row r="1456" spans="7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</sheetData>
  <sortState xmlns:xlrd2="http://schemas.microsoft.com/office/spreadsheetml/2017/richdata2" ref="I212:I368">
    <sortCondition ref="I21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2025-11-14T01:07:05Z</dcterms:modified>
</cp:coreProperties>
</file>