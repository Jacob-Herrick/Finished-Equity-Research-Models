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OneDrive\Desktop\Equity Research\Models\Technology\"/>
    </mc:Choice>
  </mc:AlternateContent>
  <xr:revisionPtr revIDLastSave="0" documentId="13_ncr:1_{51B08586-B090-42BF-AFC5-8D0AFEE325F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in" sheetId="1" r:id="rId1"/>
    <sheet name="Model" sheetId="2" r:id="rId2"/>
    <sheet name="Notes | Quant Analysis" sheetId="3" r:id="rId3"/>
    <sheet name="Product Lines" sheetId="5" r:id="rId4"/>
    <sheet name="Management" sheetId="6" r:id="rId5"/>
    <sheet name="Table Formatting" sheetId="4" r:id="rId6"/>
  </sheets>
  <externalReferences>
    <externalReference r:id="rId7"/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55" i="3" l="1"/>
  <c r="G1454" i="3"/>
  <c r="G1453" i="3"/>
  <c r="G1452" i="3"/>
  <c r="G1451" i="3"/>
  <c r="G1450" i="3"/>
  <c r="G1449" i="3"/>
  <c r="G1448" i="3"/>
  <c r="G1447" i="3"/>
  <c r="G1446" i="3"/>
  <c r="G1445" i="3"/>
  <c r="G1444" i="3"/>
  <c r="G1443" i="3"/>
  <c r="G1442" i="3"/>
  <c r="G1441" i="3"/>
  <c r="G1440" i="3"/>
  <c r="G1439" i="3"/>
  <c r="G1438" i="3"/>
  <c r="G1437" i="3"/>
  <c r="G1436" i="3"/>
  <c r="G1435" i="3"/>
  <c r="G1434" i="3"/>
  <c r="G1433" i="3"/>
  <c r="G1432" i="3"/>
  <c r="G1431" i="3"/>
  <c r="G1430" i="3"/>
  <c r="G1429" i="3"/>
  <c r="G1428" i="3"/>
  <c r="G1427" i="3"/>
  <c r="G1426" i="3"/>
  <c r="G1425" i="3"/>
  <c r="G1424" i="3"/>
  <c r="G1423" i="3"/>
  <c r="G1422" i="3"/>
  <c r="G1421" i="3"/>
  <c r="G1420" i="3"/>
  <c r="G1419" i="3"/>
  <c r="G1418" i="3"/>
  <c r="G1417" i="3"/>
  <c r="G1416" i="3"/>
  <c r="G1415" i="3"/>
  <c r="G1414" i="3"/>
  <c r="G1413" i="3"/>
  <c r="G1412" i="3"/>
  <c r="G1411" i="3"/>
  <c r="G1410" i="3"/>
  <c r="G1409" i="3"/>
  <c r="G1408" i="3"/>
  <c r="G1407" i="3"/>
  <c r="G1406" i="3"/>
  <c r="G1405" i="3"/>
  <c r="G1404" i="3"/>
  <c r="G1403" i="3"/>
  <c r="G1402" i="3"/>
  <c r="G1401" i="3"/>
  <c r="G1400" i="3"/>
  <c r="G1399" i="3"/>
  <c r="G1398" i="3"/>
  <c r="G1397" i="3"/>
  <c r="G1396" i="3"/>
  <c r="G1395" i="3"/>
  <c r="G1394" i="3"/>
  <c r="G1393" i="3"/>
  <c r="G1392" i="3"/>
  <c r="G1391" i="3"/>
  <c r="G1390" i="3"/>
  <c r="G1389" i="3"/>
  <c r="G1388" i="3"/>
  <c r="G1387" i="3"/>
  <c r="G1386" i="3"/>
  <c r="G1385" i="3"/>
  <c r="G1384" i="3"/>
  <c r="G1383" i="3"/>
  <c r="G1382" i="3"/>
  <c r="G1381" i="3"/>
  <c r="G1380" i="3"/>
  <c r="G1379" i="3"/>
  <c r="G1378" i="3"/>
  <c r="G1377" i="3"/>
  <c r="G1376" i="3"/>
  <c r="G1375" i="3"/>
  <c r="G1374" i="3"/>
  <c r="G1373" i="3"/>
  <c r="G1372" i="3"/>
  <c r="G1371" i="3"/>
  <c r="G1370" i="3"/>
  <c r="G1369" i="3"/>
  <c r="G1368" i="3"/>
  <c r="G1367" i="3"/>
  <c r="G1366" i="3"/>
  <c r="G1365" i="3"/>
  <c r="G1364" i="3"/>
  <c r="G1363" i="3"/>
  <c r="G1362" i="3"/>
  <c r="G1361" i="3"/>
  <c r="G1360" i="3"/>
  <c r="G1359" i="3"/>
  <c r="G1358" i="3"/>
  <c r="G1357" i="3"/>
  <c r="G1356" i="3"/>
  <c r="G1355" i="3"/>
  <c r="G1354" i="3"/>
  <c r="G1353" i="3"/>
  <c r="G1352" i="3"/>
  <c r="G1351" i="3"/>
  <c r="G1350" i="3"/>
  <c r="G1349" i="3"/>
  <c r="G1348" i="3"/>
  <c r="G1347" i="3"/>
  <c r="G1346" i="3"/>
  <c r="G1345" i="3"/>
  <c r="G1344" i="3"/>
  <c r="G1343" i="3"/>
  <c r="G1342" i="3"/>
  <c r="G1341" i="3"/>
  <c r="G1340" i="3"/>
  <c r="G1339" i="3"/>
  <c r="G1338" i="3"/>
  <c r="G1337" i="3"/>
  <c r="G1336" i="3"/>
  <c r="G1335" i="3"/>
  <c r="G1334" i="3"/>
  <c r="G1333" i="3"/>
  <c r="G1332" i="3"/>
  <c r="G1331" i="3"/>
  <c r="G1330" i="3"/>
  <c r="G1329" i="3"/>
  <c r="G1328" i="3"/>
  <c r="G1327" i="3"/>
  <c r="G1326" i="3"/>
  <c r="G1325" i="3"/>
  <c r="G1324" i="3"/>
  <c r="G1323" i="3"/>
  <c r="G1322" i="3"/>
  <c r="G1321" i="3"/>
  <c r="G1320" i="3"/>
  <c r="G1319" i="3"/>
  <c r="G1318" i="3"/>
  <c r="G1317" i="3"/>
  <c r="G1316" i="3"/>
  <c r="G1315" i="3"/>
  <c r="G1314" i="3"/>
  <c r="G1313" i="3"/>
  <c r="G1312" i="3"/>
  <c r="G1311" i="3"/>
  <c r="G1310" i="3"/>
  <c r="G1309" i="3"/>
  <c r="G1308" i="3"/>
  <c r="G1307" i="3"/>
  <c r="G1306" i="3"/>
  <c r="G1305" i="3"/>
  <c r="G1304" i="3"/>
  <c r="G1303" i="3"/>
  <c r="G1302" i="3"/>
  <c r="G1301" i="3"/>
  <c r="G1300" i="3"/>
  <c r="G1299" i="3"/>
  <c r="G1298" i="3"/>
  <c r="G1297" i="3"/>
  <c r="G1296" i="3"/>
  <c r="G1295" i="3"/>
  <c r="G1294" i="3"/>
  <c r="G1293" i="3"/>
  <c r="G1292" i="3"/>
  <c r="G1291" i="3"/>
  <c r="G1290" i="3"/>
  <c r="G1289" i="3"/>
  <c r="G1288" i="3"/>
  <c r="G1287" i="3"/>
  <c r="G1286" i="3"/>
  <c r="G1285" i="3"/>
  <c r="G1284" i="3"/>
  <c r="G1283" i="3"/>
  <c r="G1282" i="3"/>
  <c r="G1281" i="3"/>
  <c r="G1280" i="3"/>
  <c r="G1279" i="3"/>
  <c r="G1278" i="3"/>
  <c r="G1277" i="3"/>
  <c r="G1276" i="3"/>
  <c r="G1275" i="3"/>
  <c r="G1274" i="3"/>
  <c r="G1273" i="3"/>
  <c r="G1272" i="3"/>
  <c r="G1271" i="3"/>
  <c r="G1270" i="3"/>
  <c r="G1269" i="3"/>
  <c r="G1268" i="3"/>
  <c r="G1267" i="3"/>
  <c r="G1266" i="3"/>
  <c r="G1265" i="3"/>
  <c r="G1264" i="3"/>
  <c r="G1263" i="3"/>
  <c r="G1262" i="3"/>
  <c r="G1261" i="3"/>
  <c r="G1260" i="3"/>
  <c r="G1259" i="3"/>
  <c r="G1258" i="3"/>
  <c r="G1257" i="3"/>
  <c r="G1256" i="3"/>
  <c r="G1255" i="3"/>
  <c r="G1254" i="3"/>
  <c r="G1253" i="3"/>
  <c r="G1252" i="3"/>
  <c r="G1251" i="3"/>
  <c r="G1250" i="3"/>
  <c r="G1249" i="3"/>
  <c r="G1248" i="3"/>
  <c r="G1247" i="3"/>
  <c r="G1246" i="3"/>
  <c r="G1245" i="3"/>
  <c r="G1244" i="3"/>
  <c r="G1243" i="3"/>
  <c r="G1242" i="3"/>
  <c r="G1241" i="3"/>
  <c r="G1240" i="3"/>
  <c r="G1239" i="3"/>
  <c r="G1238" i="3"/>
  <c r="G1237" i="3"/>
  <c r="G1236" i="3"/>
  <c r="G1235" i="3"/>
  <c r="G1234" i="3"/>
  <c r="G1233" i="3"/>
  <c r="G1232" i="3"/>
  <c r="G1231" i="3"/>
  <c r="G1230" i="3"/>
  <c r="G1229" i="3"/>
  <c r="G1228" i="3"/>
  <c r="G1227" i="3"/>
  <c r="G1226" i="3"/>
  <c r="G1225" i="3"/>
  <c r="G1224" i="3"/>
  <c r="G1223" i="3"/>
  <c r="G1222" i="3"/>
  <c r="G1221" i="3"/>
  <c r="G1220" i="3"/>
  <c r="G1219" i="3"/>
  <c r="G1218" i="3"/>
  <c r="G1217" i="3"/>
  <c r="G1216" i="3"/>
  <c r="G1215" i="3"/>
  <c r="G1214" i="3"/>
  <c r="G1213" i="3"/>
  <c r="G1212" i="3"/>
  <c r="G1211" i="3"/>
  <c r="G1210" i="3"/>
  <c r="G1209" i="3"/>
  <c r="G1208" i="3"/>
  <c r="G1207" i="3"/>
  <c r="G1206" i="3"/>
  <c r="G1205" i="3"/>
  <c r="G1204" i="3"/>
  <c r="G1203" i="3"/>
  <c r="G1202" i="3"/>
  <c r="G1201" i="3"/>
  <c r="G1200" i="3"/>
  <c r="G1199" i="3"/>
  <c r="G1198" i="3"/>
  <c r="G1197" i="3"/>
  <c r="G1196" i="3"/>
  <c r="G1195" i="3"/>
  <c r="G1194" i="3"/>
  <c r="G1193" i="3"/>
  <c r="G1192" i="3"/>
  <c r="G1191" i="3"/>
  <c r="G1190" i="3"/>
  <c r="G1189" i="3"/>
  <c r="G1188" i="3"/>
  <c r="G1187" i="3"/>
  <c r="G1186" i="3"/>
  <c r="G1185" i="3"/>
  <c r="G1184" i="3"/>
  <c r="G1183" i="3"/>
  <c r="G1182" i="3"/>
  <c r="G1181" i="3"/>
  <c r="G1180" i="3"/>
  <c r="G1179" i="3"/>
  <c r="G1178" i="3"/>
  <c r="G1177" i="3"/>
  <c r="G1176" i="3"/>
  <c r="G1175" i="3"/>
  <c r="G1174" i="3"/>
  <c r="G1173" i="3"/>
  <c r="G1172" i="3"/>
  <c r="G1171" i="3"/>
  <c r="G1170" i="3"/>
  <c r="G1169" i="3"/>
  <c r="G1168" i="3"/>
  <c r="G1167" i="3"/>
  <c r="G1166" i="3"/>
  <c r="G1165" i="3"/>
  <c r="G1164" i="3"/>
  <c r="G1163" i="3"/>
  <c r="G1162" i="3"/>
  <c r="G1161" i="3"/>
  <c r="G1160" i="3"/>
  <c r="G1159" i="3"/>
  <c r="G1158" i="3"/>
  <c r="G1157" i="3"/>
  <c r="G1156" i="3"/>
  <c r="G1155" i="3"/>
  <c r="G1154" i="3"/>
  <c r="G1153" i="3"/>
  <c r="G1152" i="3"/>
  <c r="G1151" i="3"/>
  <c r="G1150" i="3"/>
  <c r="G1149" i="3"/>
  <c r="G1148" i="3"/>
  <c r="G1147" i="3"/>
  <c r="G1146" i="3"/>
  <c r="G1145" i="3"/>
  <c r="G1144" i="3"/>
  <c r="G1143" i="3"/>
  <c r="G1142" i="3"/>
  <c r="G1141" i="3"/>
  <c r="G1140" i="3"/>
  <c r="G1139" i="3"/>
  <c r="G1138" i="3"/>
  <c r="G1137" i="3"/>
  <c r="G1136" i="3"/>
  <c r="G1135" i="3"/>
  <c r="G1134" i="3"/>
  <c r="G1133" i="3"/>
  <c r="G1132" i="3"/>
  <c r="G1131" i="3"/>
  <c r="G1130" i="3"/>
  <c r="G1129" i="3"/>
  <c r="G1128" i="3"/>
  <c r="G1127" i="3"/>
  <c r="G1126" i="3"/>
  <c r="G1125" i="3"/>
  <c r="G1124" i="3"/>
  <c r="G1123" i="3"/>
  <c r="G1122" i="3"/>
  <c r="G1121" i="3"/>
  <c r="G1120" i="3"/>
  <c r="G1119" i="3"/>
  <c r="G1118" i="3"/>
  <c r="G1117" i="3"/>
  <c r="G1116" i="3"/>
  <c r="G1115" i="3"/>
  <c r="G1114" i="3"/>
  <c r="G1113" i="3"/>
  <c r="G1112" i="3"/>
  <c r="G1111" i="3"/>
  <c r="G1110" i="3"/>
  <c r="G1109" i="3"/>
  <c r="G1108" i="3"/>
  <c r="G1107" i="3"/>
  <c r="G1106" i="3"/>
  <c r="G1105" i="3"/>
  <c r="G1104" i="3"/>
  <c r="G1103" i="3"/>
  <c r="G1102" i="3"/>
  <c r="G1101" i="3"/>
  <c r="G1100" i="3"/>
  <c r="G1099" i="3"/>
  <c r="G1098" i="3"/>
  <c r="G1097" i="3"/>
  <c r="G1096" i="3"/>
  <c r="G1095" i="3"/>
  <c r="G1094" i="3"/>
  <c r="G1093" i="3"/>
  <c r="G1092" i="3"/>
  <c r="G1091" i="3"/>
  <c r="G1090" i="3"/>
  <c r="G1089" i="3"/>
  <c r="G1088" i="3"/>
  <c r="G1087" i="3"/>
  <c r="G1086" i="3"/>
  <c r="G1085" i="3"/>
  <c r="G1084" i="3"/>
  <c r="G1083" i="3"/>
  <c r="G1082" i="3"/>
  <c r="G1081" i="3"/>
  <c r="G1080" i="3"/>
  <c r="G1079" i="3"/>
  <c r="G1078" i="3"/>
  <c r="G1077" i="3"/>
  <c r="G1076" i="3"/>
  <c r="G1075" i="3"/>
  <c r="G1074" i="3"/>
  <c r="G1073" i="3"/>
  <c r="G1072" i="3"/>
  <c r="G1071" i="3"/>
  <c r="G1070" i="3"/>
  <c r="G1069" i="3"/>
  <c r="G1068" i="3"/>
  <c r="G1067" i="3"/>
  <c r="G1066" i="3"/>
  <c r="G1065" i="3"/>
  <c r="G1064" i="3"/>
  <c r="G1063" i="3"/>
  <c r="G1062" i="3"/>
  <c r="G1061" i="3"/>
  <c r="G1060" i="3"/>
  <c r="G1059" i="3"/>
  <c r="G1058" i="3"/>
  <c r="G1057" i="3"/>
  <c r="G1056" i="3"/>
  <c r="G1055" i="3"/>
  <c r="G1054" i="3"/>
  <c r="G1053" i="3"/>
  <c r="G1052" i="3"/>
  <c r="G1051" i="3"/>
  <c r="G1050" i="3"/>
  <c r="G1049" i="3"/>
  <c r="G1048" i="3"/>
  <c r="G1047" i="3"/>
  <c r="G1046" i="3"/>
  <c r="G1045" i="3"/>
  <c r="G1044" i="3"/>
  <c r="G1043" i="3"/>
  <c r="G1042" i="3"/>
  <c r="G1041" i="3"/>
  <c r="G1040" i="3"/>
  <c r="G1039" i="3"/>
  <c r="G1038" i="3"/>
  <c r="G1037" i="3"/>
  <c r="G1036" i="3"/>
  <c r="G1035" i="3"/>
  <c r="G1034" i="3"/>
  <c r="G1033" i="3"/>
  <c r="G1032" i="3"/>
  <c r="G1031" i="3"/>
  <c r="G1030" i="3"/>
  <c r="G1029" i="3"/>
  <c r="G1028" i="3"/>
  <c r="G1027" i="3"/>
  <c r="G1026" i="3"/>
  <c r="G1025" i="3"/>
  <c r="G1024" i="3"/>
  <c r="G1023" i="3"/>
  <c r="G1022" i="3"/>
  <c r="G1021" i="3"/>
  <c r="G1020" i="3"/>
  <c r="G1019" i="3"/>
  <c r="G1018" i="3"/>
  <c r="G1017" i="3"/>
  <c r="G1016" i="3"/>
  <c r="G1015" i="3"/>
  <c r="G1014" i="3"/>
  <c r="G1013" i="3"/>
  <c r="G1012" i="3"/>
  <c r="G1011" i="3"/>
  <c r="G1010" i="3"/>
  <c r="G1009" i="3"/>
  <c r="G1008" i="3"/>
  <c r="G1007" i="3"/>
  <c r="G1006" i="3"/>
  <c r="G1005" i="3"/>
  <c r="G1004" i="3"/>
  <c r="G1003" i="3"/>
  <c r="G1002" i="3"/>
  <c r="G1001" i="3"/>
  <c r="G1000" i="3"/>
  <c r="G999" i="3"/>
  <c r="G998" i="3"/>
  <c r="G997" i="3"/>
  <c r="G996" i="3"/>
  <c r="G995" i="3"/>
  <c r="G994" i="3"/>
  <c r="G993" i="3"/>
  <c r="G992" i="3"/>
  <c r="G991" i="3"/>
  <c r="G990" i="3"/>
  <c r="G989" i="3"/>
  <c r="G988" i="3"/>
  <c r="G987" i="3"/>
  <c r="G986" i="3"/>
  <c r="G985" i="3"/>
  <c r="G984" i="3"/>
  <c r="G983" i="3"/>
  <c r="G982" i="3"/>
  <c r="G981" i="3"/>
  <c r="G980" i="3"/>
  <c r="G979" i="3"/>
  <c r="G978" i="3"/>
  <c r="G977" i="3"/>
  <c r="G976" i="3"/>
  <c r="G975" i="3"/>
  <c r="G974" i="3"/>
  <c r="G973" i="3"/>
  <c r="G972" i="3"/>
  <c r="G971" i="3"/>
  <c r="G970" i="3"/>
  <c r="G969" i="3"/>
  <c r="G968" i="3"/>
  <c r="G967" i="3"/>
  <c r="G966" i="3"/>
  <c r="G965" i="3"/>
  <c r="G964" i="3"/>
  <c r="G963" i="3"/>
  <c r="G962" i="3"/>
  <c r="G961" i="3"/>
  <c r="G960" i="3"/>
  <c r="G959" i="3"/>
  <c r="G958" i="3"/>
  <c r="G957" i="3"/>
  <c r="G956" i="3"/>
  <c r="G955" i="3"/>
  <c r="G954" i="3"/>
  <c r="G953" i="3"/>
  <c r="G952" i="3"/>
  <c r="G951" i="3"/>
  <c r="G950" i="3"/>
  <c r="G949" i="3"/>
  <c r="G948" i="3"/>
  <c r="G947" i="3"/>
  <c r="G946" i="3"/>
  <c r="G945" i="3"/>
  <c r="G944" i="3"/>
  <c r="G943" i="3"/>
  <c r="G942" i="3"/>
  <c r="G941" i="3"/>
  <c r="G940" i="3"/>
  <c r="G939" i="3"/>
  <c r="G938" i="3"/>
  <c r="G937" i="3"/>
  <c r="G936" i="3"/>
  <c r="G935" i="3"/>
  <c r="G934" i="3"/>
  <c r="G933" i="3"/>
  <c r="G932" i="3"/>
  <c r="G931" i="3"/>
  <c r="G930" i="3"/>
  <c r="G929" i="3"/>
  <c r="G928" i="3"/>
  <c r="G927" i="3"/>
  <c r="G926" i="3"/>
  <c r="G925" i="3"/>
  <c r="G924" i="3"/>
  <c r="G923" i="3"/>
  <c r="G922" i="3"/>
  <c r="G921" i="3"/>
  <c r="G920" i="3"/>
  <c r="G919" i="3"/>
  <c r="G918" i="3"/>
  <c r="G917" i="3"/>
  <c r="G916" i="3"/>
  <c r="G915" i="3"/>
  <c r="G914" i="3"/>
  <c r="G913" i="3"/>
  <c r="G912" i="3"/>
  <c r="G911" i="3"/>
  <c r="G910" i="3"/>
  <c r="G909" i="3"/>
  <c r="G908" i="3"/>
  <c r="G907" i="3"/>
  <c r="G906" i="3"/>
  <c r="G905" i="3"/>
  <c r="G904" i="3"/>
  <c r="G903" i="3"/>
  <c r="G902" i="3"/>
  <c r="G901" i="3"/>
  <c r="G900" i="3"/>
  <c r="G899" i="3"/>
  <c r="G898" i="3"/>
  <c r="G897" i="3"/>
  <c r="G896" i="3"/>
  <c r="G895" i="3"/>
  <c r="G894" i="3"/>
  <c r="G893" i="3"/>
  <c r="G892" i="3"/>
  <c r="G891" i="3"/>
  <c r="G890" i="3"/>
  <c r="G889" i="3"/>
  <c r="G888" i="3"/>
  <c r="G887" i="3"/>
  <c r="G886" i="3"/>
  <c r="G885" i="3"/>
  <c r="G884" i="3"/>
  <c r="G883" i="3"/>
  <c r="G882" i="3"/>
  <c r="G881" i="3"/>
  <c r="G880" i="3"/>
  <c r="G879" i="3"/>
  <c r="G878" i="3"/>
  <c r="G877" i="3"/>
  <c r="G876" i="3"/>
  <c r="G875" i="3"/>
  <c r="G874" i="3"/>
  <c r="G873" i="3"/>
  <c r="G872" i="3"/>
  <c r="G871" i="3"/>
  <c r="G870" i="3"/>
  <c r="G869" i="3"/>
  <c r="G868" i="3"/>
  <c r="G867" i="3"/>
  <c r="G866" i="3"/>
  <c r="G865" i="3"/>
  <c r="G864" i="3"/>
  <c r="G863" i="3"/>
  <c r="G862" i="3"/>
  <c r="G861" i="3"/>
  <c r="G860" i="3"/>
  <c r="G859" i="3"/>
  <c r="G858" i="3"/>
  <c r="G857" i="3"/>
  <c r="G856" i="3"/>
  <c r="G855" i="3"/>
  <c r="G854" i="3"/>
  <c r="G853" i="3"/>
  <c r="G852" i="3"/>
  <c r="G851" i="3"/>
  <c r="G850" i="3"/>
  <c r="G849" i="3"/>
  <c r="G848" i="3"/>
  <c r="G847" i="3"/>
  <c r="G846" i="3"/>
  <c r="G845" i="3"/>
  <c r="G844" i="3"/>
  <c r="G843" i="3"/>
  <c r="G842" i="3"/>
  <c r="G841" i="3"/>
  <c r="G840" i="3"/>
  <c r="G839" i="3"/>
  <c r="G838" i="3"/>
  <c r="G837" i="3"/>
  <c r="G836" i="3"/>
  <c r="G835" i="3"/>
  <c r="G834" i="3"/>
  <c r="G833" i="3"/>
  <c r="G832" i="3"/>
  <c r="G831" i="3"/>
  <c r="G830" i="3"/>
  <c r="G829" i="3"/>
  <c r="G828" i="3"/>
  <c r="G827" i="3"/>
  <c r="G826" i="3"/>
  <c r="G825" i="3"/>
  <c r="G824" i="3"/>
  <c r="G823" i="3"/>
  <c r="G822" i="3"/>
  <c r="G821" i="3"/>
  <c r="G820" i="3"/>
  <c r="G819" i="3"/>
  <c r="G818" i="3"/>
  <c r="G817" i="3"/>
  <c r="G816" i="3"/>
  <c r="G815" i="3"/>
  <c r="G814" i="3"/>
  <c r="G813" i="3"/>
  <c r="G812" i="3"/>
  <c r="G811" i="3"/>
  <c r="G810" i="3"/>
  <c r="G809" i="3"/>
  <c r="G808" i="3"/>
  <c r="G807" i="3"/>
  <c r="G806" i="3"/>
  <c r="G805" i="3"/>
  <c r="G804" i="3"/>
  <c r="G803" i="3"/>
  <c r="G802" i="3"/>
  <c r="G801" i="3"/>
  <c r="G800" i="3"/>
  <c r="G799" i="3"/>
  <c r="G798" i="3"/>
  <c r="G797" i="3"/>
  <c r="G796" i="3"/>
  <c r="G795" i="3"/>
  <c r="G794" i="3"/>
  <c r="G793" i="3"/>
  <c r="G792" i="3"/>
  <c r="G791" i="3"/>
  <c r="G790" i="3"/>
  <c r="G789" i="3"/>
  <c r="G788" i="3"/>
  <c r="G787" i="3"/>
  <c r="G786" i="3"/>
  <c r="G785" i="3"/>
  <c r="G784" i="3"/>
  <c r="G783" i="3"/>
  <c r="G782" i="3"/>
  <c r="G781" i="3"/>
  <c r="G780" i="3"/>
  <c r="G779" i="3"/>
  <c r="G778" i="3"/>
  <c r="G777" i="3"/>
  <c r="G776" i="3"/>
  <c r="G775" i="3"/>
  <c r="G774" i="3"/>
  <c r="G773" i="3"/>
  <c r="G772" i="3"/>
  <c r="G771" i="3"/>
  <c r="G770" i="3"/>
  <c r="G769" i="3"/>
  <c r="G768" i="3"/>
  <c r="G767" i="3"/>
  <c r="G766" i="3"/>
  <c r="G765" i="3"/>
  <c r="G764" i="3"/>
  <c r="G763" i="3"/>
  <c r="G762" i="3"/>
  <c r="G761" i="3"/>
  <c r="G760" i="3"/>
  <c r="G759" i="3"/>
  <c r="G758" i="3"/>
  <c r="G757" i="3"/>
  <c r="G756" i="3"/>
  <c r="G755" i="3"/>
  <c r="G754" i="3"/>
  <c r="G753" i="3"/>
  <c r="G752" i="3"/>
  <c r="G751" i="3"/>
  <c r="G750" i="3"/>
  <c r="G749" i="3"/>
  <c r="G748" i="3"/>
  <c r="G747" i="3"/>
  <c r="G746" i="3"/>
  <c r="G745" i="3"/>
  <c r="G744" i="3"/>
  <c r="G743" i="3"/>
  <c r="G742" i="3"/>
  <c r="G741" i="3"/>
  <c r="G740" i="3"/>
  <c r="G739" i="3"/>
  <c r="G738" i="3"/>
  <c r="G737" i="3"/>
  <c r="G736" i="3"/>
  <c r="G735" i="3"/>
  <c r="G734" i="3"/>
  <c r="G733" i="3"/>
  <c r="G732" i="3"/>
  <c r="G731" i="3"/>
  <c r="G730" i="3"/>
  <c r="G729" i="3"/>
  <c r="G728" i="3"/>
  <c r="G727" i="3"/>
  <c r="G726" i="3"/>
  <c r="G725" i="3"/>
  <c r="G724" i="3"/>
  <c r="G723" i="3"/>
  <c r="G722" i="3"/>
  <c r="G721" i="3"/>
  <c r="G720" i="3"/>
  <c r="G719" i="3"/>
  <c r="G718" i="3"/>
  <c r="G717" i="3"/>
  <c r="G716" i="3"/>
  <c r="G715" i="3"/>
  <c r="G714" i="3"/>
  <c r="G713" i="3"/>
  <c r="G712" i="3"/>
  <c r="G711" i="3"/>
  <c r="G710" i="3"/>
  <c r="G709" i="3"/>
  <c r="G708" i="3"/>
  <c r="G707" i="3"/>
  <c r="G706" i="3"/>
  <c r="G705" i="3"/>
  <c r="G704" i="3"/>
  <c r="G703" i="3"/>
  <c r="G702" i="3"/>
  <c r="G701" i="3"/>
  <c r="G700" i="3"/>
  <c r="G699" i="3"/>
  <c r="G698" i="3"/>
  <c r="G697" i="3"/>
  <c r="G696" i="3"/>
  <c r="G695" i="3"/>
  <c r="G694" i="3"/>
  <c r="G693" i="3"/>
  <c r="G692" i="3"/>
  <c r="G691" i="3"/>
  <c r="G690" i="3"/>
  <c r="G689" i="3"/>
  <c r="G688" i="3"/>
  <c r="G687" i="3"/>
  <c r="G686" i="3"/>
  <c r="G685" i="3"/>
  <c r="G684" i="3"/>
  <c r="G683" i="3"/>
  <c r="G682" i="3"/>
  <c r="G681" i="3"/>
  <c r="G680" i="3"/>
  <c r="G679" i="3"/>
  <c r="G678" i="3"/>
  <c r="G677" i="3"/>
  <c r="G676" i="3"/>
  <c r="G675" i="3"/>
  <c r="G674" i="3"/>
  <c r="G673" i="3"/>
  <c r="G672" i="3"/>
  <c r="G671" i="3"/>
  <c r="G670" i="3"/>
  <c r="G669" i="3"/>
  <c r="G668" i="3"/>
  <c r="G667" i="3"/>
  <c r="G666" i="3"/>
  <c r="G665" i="3"/>
  <c r="G664" i="3"/>
  <c r="G663" i="3"/>
  <c r="G662" i="3"/>
  <c r="G661" i="3"/>
  <c r="G660" i="3"/>
  <c r="G659" i="3"/>
  <c r="G658" i="3"/>
  <c r="G657" i="3"/>
  <c r="G656" i="3"/>
  <c r="G655" i="3"/>
  <c r="G654" i="3"/>
  <c r="G653" i="3"/>
  <c r="G652" i="3"/>
  <c r="G651" i="3"/>
  <c r="G650" i="3"/>
  <c r="G649" i="3"/>
  <c r="G648" i="3"/>
  <c r="G647" i="3"/>
  <c r="G646" i="3"/>
  <c r="G645" i="3"/>
  <c r="G644" i="3"/>
  <c r="G643" i="3"/>
  <c r="G642" i="3"/>
  <c r="G641" i="3"/>
  <c r="G640" i="3"/>
  <c r="G639" i="3"/>
  <c r="G638" i="3"/>
  <c r="G637" i="3"/>
  <c r="G636" i="3"/>
  <c r="G635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CJ3" i="2"/>
  <c r="CK3" i="2" s="1"/>
  <c r="CL3" i="2" s="1"/>
  <c r="CM3" i="2" s="1"/>
  <c r="CN3" i="2" s="1"/>
  <c r="CO3" i="2" s="1"/>
  <c r="CP3" i="2" s="1"/>
  <c r="CQ3" i="2" s="1"/>
  <c r="CR3" i="2" s="1"/>
  <c r="CS3" i="2" s="1"/>
  <c r="CT3" i="2" s="1"/>
  <c r="CU3" i="2" s="1"/>
  <c r="CV3" i="2" s="1"/>
  <c r="CW3" i="2" s="1"/>
  <c r="CX3" i="2" s="1"/>
  <c r="CY3" i="2" s="1"/>
  <c r="CZ3" i="2" s="1"/>
  <c r="DA3" i="2" s="1"/>
  <c r="DB3" i="2" s="1"/>
  <c r="DC3" i="2" s="1"/>
  <c r="DD3" i="2" s="1"/>
  <c r="DE3" i="2" s="1"/>
  <c r="DF3" i="2" s="1"/>
  <c r="DG3" i="2" s="1"/>
  <c r="DH3" i="2" s="1"/>
  <c r="DI3" i="2" s="1"/>
  <c r="DJ3" i="2" s="1"/>
  <c r="DK3" i="2" s="1"/>
  <c r="DL3" i="2" s="1"/>
  <c r="DM3" i="2" s="1"/>
  <c r="DN3" i="2" s="1"/>
  <c r="DO3" i="2" s="1"/>
  <c r="DP3" i="2" s="1"/>
  <c r="DQ3" i="2" s="1"/>
  <c r="DR3" i="2" s="1"/>
  <c r="DS3" i="2" s="1"/>
  <c r="DT3" i="2" s="1"/>
  <c r="DU3" i="2" s="1"/>
  <c r="DV3" i="2" s="1"/>
  <c r="DW3" i="2" s="1"/>
  <c r="DX3" i="2" s="1"/>
  <c r="DY3" i="2" s="1"/>
  <c r="DZ3" i="2" s="1"/>
  <c r="EA3" i="2" s="1"/>
  <c r="EB3" i="2" s="1"/>
  <c r="EC3" i="2" s="1"/>
  <c r="ED3" i="2" s="1"/>
  <c r="EE3" i="2" s="1"/>
  <c r="EF3" i="2" s="1"/>
  <c r="EG3" i="2" s="1"/>
  <c r="EH3" i="2" s="1"/>
  <c r="EI3" i="2" s="1"/>
  <c r="EJ3" i="2" s="1"/>
  <c r="EK3" i="2" s="1"/>
  <c r="EL3" i="2" s="1"/>
  <c r="EM3" i="2" s="1"/>
  <c r="EN3" i="2" s="1"/>
  <c r="EO3" i="2" s="1"/>
  <c r="EP3" i="2" s="1"/>
  <c r="EQ3" i="2" s="1"/>
  <c r="ER3" i="2" s="1"/>
  <c r="ES3" i="2" s="1"/>
  <c r="ET3" i="2" s="1"/>
  <c r="EU3" i="2" s="1"/>
  <c r="EV3" i="2" s="1"/>
  <c r="EW3" i="2" s="1"/>
  <c r="EX3" i="2" s="1"/>
  <c r="EY3" i="2" s="1"/>
  <c r="EZ3" i="2" s="1"/>
  <c r="FA3" i="2" s="1"/>
  <c r="FB3" i="2" s="1"/>
  <c r="FC3" i="2" s="1"/>
  <c r="FD3" i="2" s="1"/>
  <c r="FE3" i="2" s="1"/>
  <c r="FF3" i="2" s="1"/>
  <c r="FG3" i="2" s="1"/>
  <c r="G199" i="3"/>
  <c r="C5" i="1"/>
  <c r="C8" i="1" s="1"/>
  <c r="K212" i="3" l="1"/>
  <c r="K213" i="3" s="1"/>
  <c r="K208" i="3"/>
  <c r="K209" i="3"/>
  <c r="K210" i="3"/>
  <c r="K211" i="3"/>
  <c r="S231" i="3" l="1"/>
  <c r="S221" i="3"/>
  <c r="S220" i="3"/>
  <c r="S223" i="3"/>
  <c r="S230" i="3"/>
  <c r="S222" i="3"/>
  <c r="S233" i="3"/>
  <c r="S229" i="3"/>
  <c r="S225" i="3"/>
  <c r="S228" i="3"/>
  <c r="S232" i="3"/>
  <c r="S227" i="3"/>
  <c r="S224" i="3"/>
  <c r="S226" i="3"/>
</calcChain>
</file>

<file path=xl/sharedStrings.xml><?xml version="1.0" encoding="utf-8"?>
<sst xmlns="http://schemas.openxmlformats.org/spreadsheetml/2006/main" count="1525" uniqueCount="1496">
  <si>
    <t xml:space="preserve">Price </t>
  </si>
  <si>
    <t>SO</t>
  </si>
  <si>
    <t>MC</t>
  </si>
  <si>
    <t>Cash</t>
  </si>
  <si>
    <t>Debt</t>
  </si>
  <si>
    <t>EV</t>
  </si>
  <si>
    <t>Date</t>
  </si>
  <si>
    <t>Quarter</t>
  </si>
  <si>
    <t>[Company Name]</t>
  </si>
  <si>
    <t>Founded:</t>
  </si>
  <si>
    <t>Headquarters:</t>
  </si>
  <si>
    <t>Current CEO:</t>
  </si>
  <si>
    <t>Employees:</t>
  </si>
  <si>
    <t>Registered Exchange:</t>
  </si>
  <si>
    <t>Investor Relations Contact:</t>
  </si>
  <si>
    <t>SEC filings</t>
  </si>
  <si>
    <t>Godel Terminal</t>
  </si>
  <si>
    <t>[Insert Sources Here]</t>
  </si>
  <si>
    <t>Company Overview:</t>
  </si>
  <si>
    <t>[description of business, markets, products, employees, initiatives etc.] (general)</t>
  </si>
  <si>
    <t>[Bold Title]</t>
  </si>
  <si>
    <t>Line Titles</t>
  </si>
  <si>
    <t>&lt;-- General</t>
  </si>
  <si>
    <t>&lt;-- Info</t>
  </si>
  <si>
    <t>Revenue Breakdown by Segment (Build graph for this section if applicable…. See example below)</t>
  </si>
  <si>
    <t>Notes:</t>
  </si>
  <si>
    <t>[X]</t>
  </si>
  <si>
    <t>[Y]</t>
  </si>
  <si>
    <t>[Z]</t>
  </si>
  <si>
    <t>Total Revenues, Net Income, FCF</t>
  </si>
  <si>
    <t>Close</t>
  </si>
  <si>
    <t>High</t>
  </si>
  <si>
    <t>Low</t>
  </si>
  <si>
    <t>Open</t>
  </si>
  <si>
    <t>Volume</t>
  </si>
  <si>
    <t>UTC Date</t>
  </si>
  <si>
    <t>Change</t>
  </si>
  <si>
    <t xml:space="preserve">[Ticker] Historical Return Histogram (Date Built) </t>
  </si>
  <si>
    <t>Min</t>
  </si>
  <si>
    <t>Max</t>
  </si>
  <si>
    <t>Mean μ</t>
  </si>
  <si>
    <t>Median</t>
  </si>
  <si>
    <t>SD σ</t>
  </si>
  <si>
    <t xml:space="preserve">  3σ 1-Day Δ: ±</t>
  </si>
  <si>
    <t>β (1-year avg.)</t>
  </si>
  <si>
    <t>&lt;- Sortino Ratio (Downside Risk Adjusted Return)</t>
  </si>
  <si>
    <r>
      <rPr>
        <i/>
        <sz val="11"/>
        <color theme="1"/>
        <rFont val="Calibre"/>
      </rPr>
      <t>n</t>
    </r>
    <r>
      <rPr>
        <sz val="11"/>
        <color theme="1"/>
        <rFont val="Calibre"/>
      </rPr>
      <t xml:space="preserve"> =</t>
    </r>
  </si>
  <si>
    <t>Histogram Data</t>
  </si>
  <si>
    <t>Distribution Overlay</t>
  </si>
  <si>
    <t>SD Lines</t>
  </si>
  <si>
    <t>Bin</t>
  </si>
  <si>
    <t>Frequency</t>
  </si>
  <si>
    <r>
      <t xml:space="preserve"> (X) 1-Day</t>
    </r>
    <r>
      <rPr>
        <b/>
        <i/>
        <sz val="11"/>
        <color theme="1"/>
        <rFont val="Calibri"/>
        <family val="2"/>
        <scheme val="minor"/>
      </rPr>
      <t xml:space="preserve"> Δ </t>
    </r>
    <r>
      <rPr>
        <i/>
        <sz val="11"/>
        <color theme="1"/>
        <rFont val="Calibri"/>
        <family val="2"/>
        <scheme val="minor"/>
      </rPr>
      <t xml:space="preserve"> </t>
    </r>
  </si>
  <si>
    <t xml:space="preserve">(Y) Pop. Density </t>
  </si>
  <si>
    <t>X</t>
  </si>
  <si>
    <t>Y</t>
  </si>
  <si>
    <t>Q2 2008</t>
  </si>
  <si>
    <t>Q3 2008</t>
  </si>
  <si>
    <t>Q1 2009</t>
  </si>
  <si>
    <t>Q2 2009</t>
  </si>
  <si>
    <t>Q3 2009</t>
  </si>
  <si>
    <t>Q4 2009</t>
  </si>
  <si>
    <t>Q1 2010</t>
  </si>
  <si>
    <t>Q2 2010</t>
  </si>
  <si>
    <t>Q3 2010</t>
  </si>
  <si>
    <t>Q4 2010</t>
  </si>
  <si>
    <t>Q1 2011</t>
  </si>
  <si>
    <t>Q2 2011</t>
  </si>
  <si>
    <t>Q3 2011</t>
  </si>
  <si>
    <t>Q4 2011</t>
  </si>
  <si>
    <t>Q1 2012</t>
  </si>
  <si>
    <t>Q2 2012</t>
  </si>
  <si>
    <t>Q3 2012</t>
  </si>
  <si>
    <t>Q4 2012</t>
  </si>
  <si>
    <t>Q1 2013</t>
  </si>
  <si>
    <t>Q2 2013</t>
  </si>
  <si>
    <t>Q3 2013</t>
  </si>
  <si>
    <t>Q4 2013</t>
  </si>
  <si>
    <t>Q1 2014</t>
  </si>
  <si>
    <t>Q2 2014</t>
  </si>
  <si>
    <t>Q3 2014</t>
  </si>
  <si>
    <t>Q4 2014</t>
  </si>
  <si>
    <t>Q1 2015</t>
  </si>
  <si>
    <t>Q2 2015</t>
  </si>
  <si>
    <t>Q3 2015</t>
  </si>
  <si>
    <t>Q4 2015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</si>
  <si>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</si>
  <si>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</si>
  <si>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</si>
  <si>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</si>
  <si>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</si>
  <si>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</si>
  <si>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</si>
  <si>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</si>
  <si>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</si>
  <si>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</si>
  <si>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</si>
  <si>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</si>
  <si>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</si>
  <si>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</si>
  <si>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</si>
  <si>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</si>
  <si>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</si>
  <si>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</si>
  <si>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</si>
  <si>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</si>
  <si>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</si>
  <si>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</si>
  <si>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</si>
  <si>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</si>
  <si>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</si>
  <si>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</si>
  <si>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</si>
  <si>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</si>
  <si>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</si>
  <si>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</si>
  <si>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</si>
  <si>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</si>
  <si>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</si>
  <si>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</si>
  <si>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</si>
  <si>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</si>
  <si>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</si>
  <si>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</si>
  <si>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</si>
  <si>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</si>
  <si>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</t>
  </si>
  <si>
    <t>Q2 2026</t>
  </si>
  <si>
    <t>Q3 2026</t>
  </si>
  <si>
    <t>Q4 2026</t>
  </si>
  <si>
    <t>[Use for Graphing]</t>
  </si>
  <si>
    <t>Quarterly</t>
  </si>
  <si>
    <t>Revenues</t>
  </si>
  <si>
    <t>Ttl Revenues</t>
  </si>
  <si>
    <t>Q1 2008</t>
  </si>
  <si>
    <t>Q4 2008</t>
  </si>
  <si>
    <t>[Segement A] Ttl Revenues</t>
  </si>
  <si>
    <t>Product D</t>
  </si>
  <si>
    <t>[Segement B] Ttl Revenues</t>
  </si>
  <si>
    <t>Product A</t>
  </si>
  <si>
    <t>Product B</t>
  </si>
  <si>
    <t>Product C</t>
  </si>
  <si>
    <t>Product E</t>
  </si>
  <si>
    <t>Product F</t>
  </si>
  <si>
    <t>Product G</t>
  </si>
  <si>
    <t>Product H</t>
  </si>
  <si>
    <t>Product I</t>
  </si>
  <si>
    <t>Product J</t>
  </si>
  <si>
    <t>[Segment A] % of Ttl Revenues</t>
  </si>
  <si>
    <t>[Segment B] % of Ttl Revenues</t>
  </si>
  <si>
    <t>Product A Growth Y/y</t>
  </si>
  <si>
    <t>Product B Growth Y/y</t>
  </si>
  <si>
    <t>Product C Growth Y/y</t>
  </si>
  <si>
    <t>Product D Growth Y/y</t>
  </si>
  <si>
    <t>Product E Growth Y/y</t>
  </si>
  <si>
    <t>Product F Growth Y/y</t>
  </si>
  <si>
    <t>Product J Growth Y/y</t>
  </si>
  <si>
    <t>Product H Growth Y/y</t>
  </si>
  <si>
    <t>Product G Growth Y/y</t>
  </si>
  <si>
    <t>Product I Growth Y/y</t>
  </si>
  <si>
    <t>U.S. Revenues</t>
  </si>
  <si>
    <t>[Region C] Revenues</t>
  </si>
  <si>
    <t>[Region B] Revenues</t>
  </si>
  <si>
    <t>[Region A] Revenues</t>
  </si>
  <si>
    <t>U.S. % of Revenues</t>
  </si>
  <si>
    <t>[Region A] Revenues % of Revenues</t>
  </si>
  <si>
    <t>[Region B] Revenues % of Revenues</t>
  </si>
  <si>
    <t>[Region C] Revenues % of Revenues</t>
  </si>
  <si>
    <t>[Region A] Revenue Growth Y/y</t>
  </si>
  <si>
    <t>[Region B] Revenue Growth Y/y</t>
  </si>
  <si>
    <t>U.S. Revenue Growth Y/y</t>
  </si>
  <si>
    <t>[Region C] Revenue Growth Y/y</t>
  </si>
  <si>
    <t>COGS</t>
  </si>
  <si>
    <t>GP</t>
  </si>
  <si>
    <t>Gross Profit Margin</t>
  </si>
  <si>
    <t>R&amp;D as % of Revenue</t>
  </si>
  <si>
    <t>SG&amp;A as % of Revenue</t>
  </si>
  <si>
    <t>Operating Profit Margin</t>
  </si>
  <si>
    <t>Effective Tax Rate</t>
  </si>
  <si>
    <t>Net Profit Margin</t>
  </si>
  <si>
    <t xml:space="preserve">Cash &amp; CEs </t>
  </si>
  <si>
    <t>ST Investments</t>
  </si>
  <si>
    <t>Marketable Securities</t>
  </si>
  <si>
    <t>Current Ratio</t>
  </si>
  <si>
    <t>Quick Ratio</t>
  </si>
  <si>
    <t>Cash Ratio</t>
  </si>
  <si>
    <t>Ttl Asset Turnover</t>
  </si>
  <si>
    <t>Inventory Turnover Ratio</t>
  </si>
  <si>
    <t>Return on Assets</t>
  </si>
  <si>
    <t>Return on Equity</t>
  </si>
  <si>
    <t>Net Income</t>
  </si>
  <si>
    <t>CFFO</t>
  </si>
  <si>
    <t>CapEx, net</t>
  </si>
  <si>
    <t>FCF</t>
  </si>
  <si>
    <t>SC</t>
  </si>
  <si>
    <t>FCF per Share</t>
  </si>
  <si>
    <t>General Notes/Observations (Updated Q1'25)</t>
  </si>
  <si>
    <t>Financial Stmts. Notes/Observations (Updated Q1'25)</t>
  </si>
  <si>
    <t>Revenues:</t>
  </si>
  <si>
    <t>[Godel Snapshot of projected sales]</t>
  </si>
  <si>
    <t>Earnings Scope:</t>
  </si>
  <si>
    <t>[Godel Snapshot of projected earnings/EPS]</t>
  </si>
  <si>
    <t>Balance Sheet Scope:</t>
  </si>
  <si>
    <t>[Godel Snapshot of projected balances (assets, liabilities, equity)]</t>
  </si>
  <si>
    <t>[Equity Preformance Compared to Peers]</t>
  </si>
  <si>
    <t>Use Godel CMS command</t>
  </si>
  <si>
    <t>Mean</t>
  </si>
  <si>
    <t>-3σ</t>
  </si>
  <si>
    <t>-2σ</t>
  </si>
  <si>
    <t>-1σ</t>
  </si>
  <si>
    <t>1σ</t>
  </si>
  <si>
    <t>2σ</t>
  </si>
  <si>
    <t>3σ</t>
  </si>
  <si>
    <t>Phone:</t>
  </si>
  <si>
    <t xml:space="preserve">Email: </t>
  </si>
  <si>
    <t>EPS Growth</t>
  </si>
  <si>
    <t>&lt;- Sharpe Ratio (Risk Adjusted Return)</t>
  </si>
  <si>
    <t xml:space="preserve">Sector: </t>
  </si>
  <si>
    <t xml:space="preserve">Industry: </t>
  </si>
  <si>
    <t>https://www.sec.gov/edgar/browse/?CIK=310764&amp;owner=exclude</t>
  </si>
  <si>
    <t>Alphabet IR Page</t>
  </si>
  <si>
    <t>https://abc.xyz/investor/</t>
  </si>
  <si>
    <t>Earnings Calls</t>
  </si>
  <si>
    <t>https://seekingalpha.com/symbol/GOOGL/earnings/transcripts</t>
  </si>
  <si>
    <t>Equity Analysis</t>
  </si>
  <si>
    <t>https://stockanalysis.com/stocks/googl/</t>
  </si>
  <si>
    <t>https://app.godelterminal.com/</t>
  </si>
  <si>
    <t>[Change for specific company]</t>
  </si>
  <si>
    <t>IPO:</t>
  </si>
  <si>
    <t>Address:</t>
  </si>
  <si>
    <t>Founder(s):</t>
  </si>
  <si>
    <t>Investors Relation Department</t>
  </si>
  <si>
    <t>Business Segments and Geographical Info:</t>
  </si>
  <si>
    <t xml:space="preserve">[Begin researching fundamentals / core business … begin with SEC filings, but expand and use all public resources available] </t>
  </si>
  <si>
    <t>Employee Scope:</t>
  </si>
  <si>
    <t>Resources:</t>
  </si>
  <si>
    <t>Thu, 12 Jun 2025 00:00:00 GMT</t>
  </si>
  <si>
    <t>Wed, 11 Jun 2025 00:00:00 GMT</t>
  </si>
  <si>
    <t>Tue, 10 Jun 2025 00:00:00 GMT</t>
  </si>
  <si>
    <t>Mon, 09 Jun 2025 00:00:00 GMT</t>
  </si>
  <si>
    <t>Fri, 06 Jun 2025 00:00:00 GMT</t>
  </si>
  <si>
    <t>Thu, 05 Jun 2025 00:00:00 GMT</t>
  </si>
  <si>
    <t>Wed, 04 Jun 2025 00:00:00 GMT</t>
  </si>
  <si>
    <t>Tue, 03 Jun 2025 00:00:00 GMT</t>
  </si>
  <si>
    <t>Mon, 02 Jun 2025 00:00:00 GMT</t>
  </si>
  <si>
    <t>Fri, 30 May 2025 00:00:00 GMT</t>
  </si>
  <si>
    <t>Thu, 29 May 2025 00:00:00 GMT</t>
  </si>
  <si>
    <t>Wed, 28 May 2025 00:00:00 GMT</t>
  </si>
  <si>
    <t>Tue, 27 May 2025 00:00:00 GMT</t>
  </si>
  <si>
    <t>Fri, 23 May 2025 00:00:00 GMT</t>
  </si>
  <si>
    <t>Thu, 22 May 2025 00:00:00 GMT</t>
  </si>
  <si>
    <t>Wed, 21 May 2025 00:00:00 GMT</t>
  </si>
  <si>
    <t>Tue, 20 May 2025 00:00:00 GMT</t>
  </si>
  <si>
    <t>Mon, 19 May 2025 00:00:00 GMT</t>
  </si>
  <si>
    <t>Fri, 16 May 2025 00:00:00 GMT</t>
  </si>
  <si>
    <t>Thu, 15 May 2025 00:00:00 GMT</t>
  </si>
  <si>
    <t>Wed, 14 May 2025 00:00:00 GMT</t>
  </si>
  <si>
    <t>Tue, 13 May 2025 00:00:00 GMT</t>
  </si>
  <si>
    <t>Mon, 12 May 2025 00:00:00 GMT</t>
  </si>
  <si>
    <t>Fri, 09 May 2025 00:00:00 GMT</t>
  </si>
  <si>
    <t>Thu, 08 May 2025 00:00:00 GMT</t>
  </si>
  <si>
    <t>Wed, 07 May 2025 00:00:00 GMT</t>
  </si>
  <si>
    <t>Tue, 06 May 2025 00:00:00 GMT</t>
  </si>
  <si>
    <t>Mon, 05 May 2025 00:00:00 GMT</t>
  </si>
  <si>
    <t>Fri, 02 May 2025 00:00:00 GMT</t>
  </si>
  <si>
    <t>Thu, 01 May 2025 00:00:00 GMT</t>
  </si>
  <si>
    <t>Wed, 30 Apr 2025 00:00:00 GMT</t>
  </si>
  <si>
    <t>Tue, 29 Apr 2025 00:00:00 GMT</t>
  </si>
  <si>
    <t>Mon, 28 Apr 2025 00:00:00 GMT</t>
  </si>
  <si>
    <t>Fri, 25 Apr 2025 00:00:00 GMT</t>
  </si>
  <si>
    <t>Thu, 24 Apr 2025 00:00:00 GMT</t>
  </si>
  <si>
    <t>Wed, 23 Apr 2025 00:00:00 GMT</t>
  </si>
  <si>
    <t>Tue, 22 Apr 2025 00:00:00 GMT</t>
  </si>
  <si>
    <t>Mon, 21 Apr 2025 00:00:00 GMT</t>
  </si>
  <si>
    <t>Thu, 17 Apr 2025 00:00:00 GMT</t>
  </si>
  <si>
    <t>Wed, 16 Apr 2025 00:00:00 GMT</t>
  </si>
  <si>
    <t>Tue, 15 Apr 2025 00:00:00 GMT</t>
  </si>
  <si>
    <t>Mon, 14 Apr 2025 00:00:00 GMT</t>
  </si>
  <si>
    <t>Fri, 11 Apr 2025 00:00:00 GMT</t>
  </si>
  <si>
    <t>Thu, 10 Apr 2025 00:00:00 GMT</t>
  </si>
  <si>
    <t>Wed, 09 Apr 2025 00:00:00 GMT</t>
  </si>
  <si>
    <t>Tue, 08 Apr 2025 00:00:00 GMT</t>
  </si>
  <si>
    <t>Mon, 07 Apr 2025 00:00:00 GMT</t>
  </si>
  <si>
    <t>Fri, 04 Apr 2025 00:00:00 GMT</t>
  </si>
  <si>
    <t>Thu, 03 Apr 2025 00:00:00 GMT</t>
  </si>
  <si>
    <t>Wed, 02 Apr 2025 00:00:00 GMT</t>
  </si>
  <si>
    <t>Tue, 01 Apr 2025 00:00:00 GMT</t>
  </si>
  <si>
    <t>Mon, 31 Mar 2025 00:00:00 GMT</t>
  </si>
  <si>
    <t>Fri, 28 Mar 2025 00:00:00 GMT</t>
  </si>
  <si>
    <t>Thu, 27 Mar 2025 00:00:00 GMT</t>
  </si>
  <si>
    <t>Wed, 26 Mar 2025 00:00:00 GMT</t>
  </si>
  <si>
    <t>Tue, 25 Mar 2025 00:00:00 GMT</t>
  </si>
  <si>
    <t>Mon, 24 Mar 2025 00:00:00 GMT</t>
  </si>
  <si>
    <t>Fri, 21 Mar 2025 00:00:00 GMT</t>
  </si>
  <si>
    <t>Thu, 20 Mar 2025 00:00:00 GMT</t>
  </si>
  <si>
    <t>Wed, 19 Mar 2025 00:00:00 GMT</t>
  </si>
  <si>
    <t>Tue, 18 Mar 2025 00:00:00 GMT</t>
  </si>
  <si>
    <t>Mon, 17 Mar 2025 00:00:00 GMT</t>
  </si>
  <si>
    <t>Fri, 14 Mar 2025 00:00:00 GMT</t>
  </si>
  <si>
    <t>Thu, 13 Mar 2025 00:00:00 GMT</t>
  </si>
  <si>
    <t>Wed, 12 Mar 2025 00:00:00 GMT</t>
  </si>
  <si>
    <t>Tue, 11 Mar 2025 00:00:00 GMT</t>
  </si>
  <si>
    <t>Mon, 10 Mar 2025 00:00:00 GMT</t>
  </si>
  <si>
    <t>Fri, 07 Mar 2025 00:00:00 GMT</t>
  </si>
  <si>
    <t>Thu, 06 Mar 2025 00:00:00 GMT</t>
  </si>
  <si>
    <t>Wed, 05 Mar 2025 00:00:00 GMT</t>
  </si>
  <si>
    <t>Tue, 04 Mar 2025 00:00:00 GMT</t>
  </si>
  <si>
    <t>Mon, 03 Mar 2025 00:00:00 GMT</t>
  </si>
  <si>
    <t>Fri, 28 Feb 2025 00:00:00 GMT</t>
  </si>
  <si>
    <t>Thu, 27 Feb 2025 00:00:00 GMT</t>
  </si>
  <si>
    <t>Wed, 26 Feb 2025 00:00:00 GMT</t>
  </si>
  <si>
    <t>Tue, 25 Feb 2025 00:00:00 GMT</t>
  </si>
  <si>
    <t>Mon, 24 Feb 2025 00:00:00 GMT</t>
  </si>
  <si>
    <t>Fri, 21 Feb 2025 00:00:00 GMT</t>
  </si>
  <si>
    <t>Thu, 20 Feb 2025 00:00:00 GMT</t>
  </si>
  <si>
    <t>Wed, 19 Feb 2025 00:00:00 GMT</t>
  </si>
  <si>
    <t>Tue, 18 Feb 2025 00:00:00 GMT</t>
  </si>
  <si>
    <t>Fri, 14 Feb 2025 00:00:00 GMT</t>
  </si>
  <si>
    <t>Thu, 13 Feb 2025 00:00:00 GMT</t>
  </si>
  <si>
    <t>Wed, 12 Feb 2025 00:00:00 GMT</t>
  </si>
  <si>
    <t>Tue, 11 Feb 2025 00:00:00 GMT</t>
  </si>
  <si>
    <t>Mon, 10 Feb 2025 00:00:00 GMT</t>
  </si>
  <si>
    <t>Fri, 07 Feb 2025 00:00:00 GMT</t>
  </si>
  <si>
    <t>Thu, 06 Feb 2025 00:00:00 GMT</t>
  </si>
  <si>
    <t>Wed, 05 Feb 2025 00:00:00 GMT</t>
  </si>
  <si>
    <t>Tue, 04 Feb 2025 00:00:00 GMT</t>
  </si>
  <si>
    <t>Mon, 03 Feb 2025 00:00:00 GMT</t>
  </si>
  <si>
    <t>Fri, 31 Jan 2025 00:00:00 GMT</t>
  </si>
  <si>
    <t>Thu, 30 Jan 2025 00:00:00 GMT</t>
  </si>
  <si>
    <t>Wed, 29 Jan 2025 00:00:00 GMT</t>
  </si>
  <si>
    <t>Tue, 28 Jan 2025 00:00:00 GMT</t>
  </si>
  <si>
    <t>Mon, 27 Jan 2025 00:00:00 GMT</t>
  </si>
  <si>
    <t>Fri, 24 Jan 2025 00:00:00 GMT</t>
  </si>
  <si>
    <t>Thu, 23 Jan 2025 00:00:00 GMT</t>
  </si>
  <si>
    <t>Wed, 22 Jan 2025 00:00:00 GMT</t>
  </si>
  <si>
    <t>Tue, 21 Jan 2025 00:00:00 GMT</t>
  </si>
  <si>
    <t>Fri, 17 Jan 2025 00:00:00 GMT</t>
  </si>
  <si>
    <t>Thu, 16 Jan 2025 00:00:00 GMT</t>
  </si>
  <si>
    <t>Wed, 15 Jan 2025 00:00:00 GMT</t>
  </si>
  <si>
    <t>Tue, 14 Jan 2025 00:00:00 GMT</t>
  </si>
  <si>
    <t>Mon, 13 Jan 2025 00:00:00 GMT</t>
  </si>
  <si>
    <t>Fri, 10 Jan 2025 00:00:00 GMT</t>
  </si>
  <si>
    <t>Wed, 08 Jan 2025 00:00:00 GMT</t>
  </si>
  <si>
    <t>Tue, 07 Jan 2025 00:00:00 GMT</t>
  </si>
  <si>
    <t>Mon, 06 Jan 2025 00:00:00 GMT</t>
  </si>
  <si>
    <t>Fri, 03 Jan 2025 00:00:00 GMT</t>
  </si>
  <si>
    <t>Thu, 02 Jan 2025 00:00:00 GMT</t>
  </si>
  <si>
    <t>Tue, 31 Dec 2024 00:00:00 GMT</t>
  </si>
  <si>
    <t>Mon, 30 Dec 2024 00:00:00 GMT</t>
  </si>
  <si>
    <t>Fri, 27 Dec 2024 00:00:00 GMT</t>
  </si>
  <si>
    <t>Thu, 26 Dec 2024 00:00:00 GMT</t>
  </si>
  <si>
    <t>Tue, 24 Dec 2024 00:00:00 GMT</t>
  </si>
  <si>
    <t>Mon, 23 Dec 2024 00:00:00 GMT</t>
  </si>
  <si>
    <t>Fri, 20 Dec 2024 00:00:00 GMT</t>
  </si>
  <si>
    <t>Thu, 19 Dec 2024 00:00:00 GMT</t>
  </si>
  <si>
    <t>Wed, 18 Dec 2024 00:00:00 GMT</t>
  </si>
  <si>
    <t>Tue, 17 Dec 2024 00:00:00 GMT</t>
  </si>
  <si>
    <t>Mon, 16 Dec 2024 00:00:00 GMT</t>
  </si>
  <si>
    <t>Fri, 13 Dec 2024 00:00:00 GMT</t>
  </si>
  <si>
    <t>Thu, 12 Dec 2024 00:00:00 GMT</t>
  </si>
  <si>
    <t>Wed, 11 Dec 2024 00:00:00 GMT</t>
  </si>
  <si>
    <t>Tue, 10 Dec 2024 00:00:00 GMT</t>
  </si>
  <si>
    <t>Mon, 09 Dec 2024 00:00:00 GMT</t>
  </si>
  <si>
    <t>Fri, 06 Dec 2024 00:00:00 GMT</t>
  </si>
  <si>
    <t>Thu, 05 Dec 2024 00:00:00 GMT</t>
  </si>
  <si>
    <t>Wed, 04 Dec 2024 00:00:00 GMT</t>
  </si>
  <si>
    <t>Tue, 03 Dec 2024 00:00:00 GMT</t>
  </si>
  <si>
    <t>Mon, 02 Dec 2024 00:00:00 GMT</t>
  </si>
  <si>
    <t>Fri, 29 Nov 2024 00:00:00 GMT</t>
  </si>
  <si>
    <t>Wed, 27 Nov 2024 00:00:00 GMT</t>
  </si>
  <si>
    <t>Tue, 26 Nov 2024 00:00:00 GMT</t>
  </si>
  <si>
    <t>Mon, 25 Nov 2024 00:00:00 GMT</t>
  </si>
  <si>
    <t>Fri, 22 Nov 2024 00:00:00 GMT</t>
  </si>
  <si>
    <t>Thu, 21 Nov 2024 00:00:00 GMT</t>
  </si>
  <si>
    <t>Wed, 20 Nov 2024 00:00:00 GMT</t>
  </si>
  <si>
    <t>Tue, 19 Nov 2024 00:00:00 GMT</t>
  </si>
  <si>
    <t>Mon, 18 Nov 2024 00:00:00 GMT</t>
  </si>
  <si>
    <t>Fri, 15 Nov 2024 00:00:00 GMT</t>
  </si>
  <si>
    <t>Thu, 14 Nov 2024 00:00:00 GMT</t>
  </si>
  <si>
    <t>Wed, 13 Nov 2024 00:00:00 GMT</t>
  </si>
  <si>
    <t>Tue, 12 Nov 2024 00:00:00 GMT</t>
  </si>
  <si>
    <t>Mon, 11 Nov 2024 00:00:00 GMT</t>
  </si>
  <si>
    <t>Fri, 08 Nov 2024 00:00:00 GMT</t>
  </si>
  <si>
    <t>Thu, 07 Nov 2024 00:00:00 GMT</t>
  </si>
  <si>
    <t>Wed, 06 Nov 2024 00:00:00 GMT</t>
  </si>
  <si>
    <t>Tue, 05 Nov 2024 00:00:00 GMT</t>
  </si>
  <si>
    <t>Mon, 04 Nov 2024 00:00:00 GMT</t>
  </si>
  <si>
    <t>Fri, 01 Nov 2024 00:00:00 GMT</t>
  </si>
  <si>
    <t>Thu, 31 Oct 2024 00:00:00 GMT</t>
  </si>
  <si>
    <t>Wed, 30 Oct 2024 00:00:00 GMT</t>
  </si>
  <si>
    <t>Tue, 29 Oct 2024 00:00:00 GMT</t>
  </si>
  <si>
    <t>Mon, 28 Oct 2024 00:00:00 GMT</t>
  </si>
  <si>
    <t>Fri, 25 Oct 2024 00:00:00 GMT</t>
  </si>
  <si>
    <t>Thu, 24 Oct 2024 00:00:00 GMT</t>
  </si>
  <si>
    <t>Wed, 23 Oct 2024 00:00:00 GMT</t>
  </si>
  <si>
    <t>Tue, 22 Oct 2024 00:00:00 GMT</t>
  </si>
  <si>
    <t>Mon, 21 Oct 2024 00:00:00 GMT</t>
  </si>
  <si>
    <t>Fri, 18 Oct 2024 00:00:00 GMT</t>
  </si>
  <si>
    <t>Thu, 17 Oct 2024 00:00:00 GMT</t>
  </si>
  <si>
    <t>Wed, 16 Oct 2024 00:00:00 GMT</t>
  </si>
  <si>
    <t>Tue, 15 Oct 2024 00:00:00 GMT</t>
  </si>
  <si>
    <t>Mon, 14 Oct 2024 00:00:00 GMT</t>
  </si>
  <si>
    <t>Fri, 11 Oct 2024 00:00:00 GMT</t>
  </si>
  <si>
    <t>Thu, 10 Oct 2024 00:00:00 GMT</t>
  </si>
  <si>
    <t>Wed, 09 Oct 2024 00:00:00 GMT</t>
  </si>
  <si>
    <t>Tue, 08 Oct 2024 00:00:00 GMT</t>
  </si>
  <si>
    <t>Mon, 07 Oct 2024 00:00:00 GMT</t>
  </si>
  <si>
    <t>Fri, 04 Oct 2024 00:00:00 GMT</t>
  </si>
  <si>
    <t>Thu, 03 Oct 2024 00:00:00 GMT</t>
  </si>
  <si>
    <t>Wed, 02 Oct 2024 00:00:00 GMT</t>
  </si>
  <si>
    <t>Tue, 01 Oct 2024 00:00:00 GMT</t>
  </si>
  <si>
    <t>Mon, 30 Sep 2024 00:00:00 GMT</t>
  </si>
  <si>
    <t>Fri, 27 Sep 2024 00:00:00 GMT</t>
  </si>
  <si>
    <t>Thu, 26 Sep 2024 00:00:00 GMT</t>
  </si>
  <si>
    <t>Wed, 25 Sep 2024 00:00:00 GMT</t>
  </si>
  <si>
    <t>Tue, 24 Sep 2024 00:00:00 GMT</t>
  </si>
  <si>
    <t>Mon, 23 Sep 2024 00:00:00 GMT</t>
  </si>
  <si>
    <t>Fri, 20 Sep 2024 00:00:00 GMT</t>
  </si>
  <si>
    <t>Thu, 19 Sep 2024 00:00:00 GMT</t>
  </si>
  <si>
    <t>Wed, 18 Sep 2024 00:00:00 GMT</t>
  </si>
  <si>
    <t>Tue, 17 Sep 2024 00:00:00 GMT</t>
  </si>
  <si>
    <t>Mon, 16 Sep 2024 00:00:00 GMT</t>
  </si>
  <si>
    <t>Fri, 13 Sep 2024 00:00:00 GMT</t>
  </si>
  <si>
    <t>Thu, 12 Sep 2024 00:00:00 GMT</t>
  </si>
  <si>
    <t>Wed, 11 Sep 2024 00:00:00 GMT</t>
  </si>
  <si>
    <t>Tue, 10 Sep 2024 00:00:00 GMT</t>
  </si>
  <si>
    <t>Mon, 09 Sep 2024 00:00:00 GMT</t>
  </si>
  <si>
    <t>Fri, 06 Sep 2024 00:00:00 GMT</t>
  </si>
  <si>
    <t>Thu, 05 Sep 2024 00:00:00 GMT</t>
  </si>
  <si>
    <t>Wed, 04 Sep 2024 00:00:00 GMT</t>
  </si>
  <si>
    <t>Tue, 03 Sep 2024 00:00:00 GMT</t>
  </si>
  <si>
    <t>Fri, 30 Aug 2024 00:00:00 GMT</t>
  </si>
  <si>
    <t>Thu, 29 Aug 2024 00:00:00 GMT</t>
  </si>
  <si>
    <t>Wed, 28 Aug 2024 00:00:00 GMT</t>
  </si>
  <si>
    <t>Tue, 27 Aug 2024 00:00:00 GMT</t>
  </si>
  <si>
    <t>Mon, 26 Aug 2024 00:00:00 GMT</t>
  </si>
  <si>
    <t>Fri, 23 Aug 2024 00:00:00 GMT</t>
  </si>
  <si>
    <t>Thu, 22 Aug 2024 00:00:00 GMT</t>
  </si>
  <si>
    <t>Wed, 21 Aug 2024 00:00:00 GMT</t>
  </si>
  <si>
    <t>Tue, 20 Aug 2024 00:00:00 GMT</t>
  </si>
  <si>
    <t>Mon, 19 Aug 2024 00:00:00 GMT</t>
  </si>
  <si>
    <t>Fri, 16 Aug 2024 00:00:00 GMT</t>
  </si>
  <si>
    <t>Thu, 15 Aug 2024 00:00:00 GMT</t>
  </si>
  <si>
    <t>Wed, 14 Aug 2024 00:00:00 GMT</t>
  </si>
  <si>
    <t>Tue, 13 Aug 2024 00:00:00 GMT</t>
  </si>
  <si>
    <t>Mon, 12 Aug 2024 00:00:00 GMT</t>
  </si>
  <si>
    <t>Fri, 09 Aug 2024 00:00:00 GMT</t>
  </si>
  <si>
    <t>Thu, 08 Aug 2024 00:00:00 GMT</t>
  </si>
  <si>
    <t>Wed, 07 Aug 2024 00:00:00 GMT</t>
  </si>
  <si>
    <t>Tue, 06 Aug 2024 00:00:00 GMT</t>
  </si>
  <si>
    <t>Mon, 05 Aug 2024 00:00:00 GMT</t>
  </si>
  <si>
    <t>Fri, 02 Aug 2024 00:00:00 GMT</t>
  </si>
  <si>
    <t>Thu, 01 Aug 2024 00:00:00 GMT</t>
  </si>
  <si>
    <t>Wed, 31 Jul 2024 00:00:00 GMT</t>
  </si>
  <si>
    <t>Tue, 30 Jul 2024 00:00:00 GMT</t>
  </si>
  <si>
    <t>Mon, 29 Jul 2024 00:00:00 GMT</t>
  </si>
  <si>
    <t>Fri, 26 Jul 2024 00:00:00 GMT</t>
  </si>
  <si>
    <t>Thu, 25 Jul 2024 00:00:00 GMT</t>
  </si>
  <si>
    <t>Wed, 24 Jul 2024 00:00:00 GMT</t>
  </si>
  <si>
    <t>Tue, 23 Jul 2024 00:00:00 GMT</t>
  </si>
  <si>
    <t>Mon, 22 Jul 2024 00:00:00 GMT</t>
  </si>
  <si>
    <t>Fri, 19 Jul 2024 00:00:00 GMT</t>
  </si>
  <si>
    <t>Thu, 18 Jul 2024 00:00:00 GMT</t>
  </si>
  <si>
    <t>Wed, 17 Jul 2024 00:00:00 GMT</t>
  </si>
  <si>
    <t>Tue, 16 Jul 2024 00:00:00 GMT</t>
  </si>
  <si>
    <t>Mon, 15 Jul 2024 00:00:00 GMT</t>
  </si>
  <si>
    <t>Fri, 12 Jul 2024 00:00:00 GMT</t>
  </si>
  <si>
    <t>Thu, 11 Jul 2024 00:00:00 GMT</t>
  </si>
  <si>
    <t>Wed, 10 Jul 2024 00:00:00 GMT</t>
  </si>
  <si>
    <t>Tue, 09 Jul 2024 00:00:00 GMT</t>
  </si>
  <si>
    <t>Mon, 08 Jul 2024 00:00:00 GMT</t>
  </si>
  <si>
    <t>Fri, 05 Jul 2024 00:00:00 GMT</t>
  </si>
  <si>
    <t>Wed, 03 Jul 2024 00:00:00 GMT</t>
  </si>
  <si>
    <t>Tue, 02 Jul 2024 00:00:00 GMT</t>
  </si>
  <si>
    <t>Mon, 01 Jul 2024 00:00:00 GMT</t>
  </si>
  <si>
    <t>Fri, 28 Jun 2024 00:00:00 GMT</t>
  </si>
  <si>
    <t>Thu, 27 Jun 2024 00:00:00 GMT</t>
  </si>
  <si>
    <t>Wed, 26 Jun 2024 00:00:00 GMT</t>
  </si>
  <si>
    <t>Tue, 25 Jun 2024 00:00:00 GMT</t>
  </si>
  <si>
    <t>Mon, 24 Jun 2024 00:00:00 GMT</t>
  </si>
  <si>
    <t>Fri, 21 Jun 2024 00:00:00 GMT</t>
  </si>
  <si>
    <t>Thu, 20 Jun 2024 00:00:00 GMT</t>
  </si>
  <si>
    <t>Tue, 18 Jun 2024 00:00:00 GMT</t>
  </si>
  <si>
    <t>Mon, 17 Jun 2024 00:00:00 GMT</t>
  </si>
  <si>
    <t>Fri, 14 Jun 2024 00:00:00 GMT</t>
  </si>
  <si>
    <t>Thu, 13 Jun 2024 00:00:00 GMT</t>
  </si>
  <si>
    <t>Wed, 12 Jun 2024 00:00:00 GMT</t>
  </si>
  <si>
    <t>Tue, 11 Jun 2024 00:00:00 GMT</t>
  </si>
  <si>
    <t>Mon, 10 Jun 2024 00:00:00 GMT</t>
  </si>
  <si>
    <t>Fri, 07 Jun 2024 00:00:00 GMT</t>
  </si>
  <si>
    <t>Thu, 06 Jun 2024 00:00:00 GMT</t>
  </si>
  <si>
    <t>Wed, 05 Jun 2024 00:00:00 GMT</t>
  </si>
  <si>
    <t>Tue, 04 Jun 2024 00:00:00 GMT</t>
  </si>
  <si>
    <t>Mon, 03 Jun 2024 00:00:00 GMT</t>
  </si>
  <si>
    <t>Fri, 31 May 2024 00:00:00 GMT</t>
  </si>
  <si>
    <t>Thu, 30 May 2024 00:00:00 GMT</t>
  </si>
  <si>
    <t>Wed, 29 May 2024 00:00:00 GMT</t>
  </si>
  <si>
    <t>Tue, 28 May 2024 00:00:00 GMT</t>
  </si>
  <si>
    <t>Fri, 24 May 2024 00:00:00 GMT</t>
  </si>
  <si>
    <t>Thu, 23 May 2024 00:00:00 GMT</t>
  </si>
  <si>
    <t>Wed, 22 May 2024 00:00:00 GMT</t>
  </si>
  <si>
    <t>Tue, 21 May 2024 00:00:00 GMT</t>
  </si>
  <si>
    <t>Mon, 20 May 2024 00:00:00 GMT</t>
  </si>
  <si>
    <t>Fri, 17 May 2024 00:00:00 GMT</t>
  </si>
  <si>
    <t>Thu, 16 May 2024 00:00:00 GMT</t>
  </si>
  <si>
    <t>Wed, 15 May 2024 00:00:00 GMT</t>
  </si>
  <si>
    <t>Tue, 14 May 2024 00:00:00 GMT</t>
  </si>
  <si>
    <t>Mon, 13 May 2024 00:00:00 GMT</t>
  </si>
  <si>
    <t>Fri, 10 May 2024 00:00:00 GMT</t>
  </si>
  <si>
    <t>Thu, 09 May 2024 00:00:00 GMT</t>
  </si>
  <si>
    <t>Wed, 08 May 2024 00:00:00 GMT</t>
  </si>
  <si>
    <t>Tue, 07 May 2024 00:00:00 GMT</t>
  </si>
  <si>
    <t>Mon, 06 May 2024 00:00:00 GMT</t>
  </si>
  <si>
    <t>Fri, 03 May 2024 00:00:00 GMT</t>
  </si>
  <si>
    <t>Thu, 02 May 2024 00:00:00 GMT</t>
  </si>
  <si>
    <t>Wed, 01 May 2024 00:00:00 GMT</t>
  </si>
  <si>
    <t>Tue, 30 Apr 2024 00:00:00 GMT</t>
  </si>
  <si>
    <t>Mon, 29 Apr 2024 00:00:00 GMT</t>
  </si>
  <si>
    <t>Fri, 26 Apr 2024 00:00:00 GMT</t>
  </si>
  <si>
    <t>Thu, 25 Apr 2024 00:00:00 GMT</t>
  </si>
  <si>
    <t>Wed, 24 Apr 2024 00:00:00 GMT</t>
  </si>
  <si>
    <t>Tue, 23 Apr 2024 00:00:00 GMT</t>
  </si>
  <si>
    <t>Mon, 22 Apr 2024 00:00:00 GMT</t>
  </si>
  <si>
    <t>Fri, 19 Apr 2024 00:00:00 GMT</t>
  </si>
  <si>
    <t>Thu, 18 Apr 2024 00:00:00 GMT</t>
  </si>
  <si>
    <t>Wed, 17 Apr 2024 00:00:00 GMT</t>
  </si>
  <si>
    <t>Tue, 16 Apr 2024 00:00:00 GMT</t>
  </si>
  <si>
    <t>Mon, 15 Apr 2024 00:00:00 GMT</t>
  </si>
  <si>
    <t>Fri, 12 Apr 2024 00:00:00 GMT</t>
  </si>
  <si>
    <t>Thu, 11 Apr 2024 00:00:00 GMT</t>
  </si>
  <si>
    <t>Wed, 10 Apr 2024 00:00:00 GMT</t>
  </si>
  <si>
    <t>Tue, 09 Apr 2024 00:00:00 GMT</t>
  </si>
  <si>
    <t>Mon, 08 Apr 2024 00:00:00 GMT</t>
  </si>
  <si>
    <t>Fri, 05 Apr 2024 00:00:00 GMT</t>
  </si>
  <si>
    <t>Thu, 04 Apr 2024 00:00:00 GMT</t>
  </si>
  <si>
    <t>Wed, 03 Apr 2024 00:00:00 GMT</t>
  </si>
  <si>
    <t>Tue, 02 Apr 2024 00:00:00 GMT</t>
  </si>
  <si>
    <t>Mon, 01 Apr 2024 00:00:00 GMT</t>
  </si>
  <si>
    <t>Thu, 28 Mar 2024 00:00:00 GMT</t>
  </si>
  <si>
    <t>Wed, 27 Mar 2024 00:00:00 GMT</t>
  </si>
  <si>
    <t>Tue, 26 Mar 2024 00:00:00 GMT</t>
  </si>
  <si>
    <t>Mon, 25 Mar 2024 00:00:00 GMT</t>
  </si>
  <si>
    <t>Fri, 22 Mar 2024 00:00:00 GMT</t>
  </si>
  <si>
    <t>Thu, 21 Mar 2024 00:00:00 GMT</t>
  </si>
  <si>
    <t>Wed, 20 Mar 2024 00:00:00 GMT</t>
  </si>
  <si>
    <t>Tue, 19 Mar 2024 00:00:00 GMT</t>
  </si>
  <si>
    <t>Mon, 18 Mar 2024 00:00:00 GMT</t>
  </si>
  <si>
    <t>Fri, 15 Mar 2024 00:00:00 GMT</t>
  </si>
  <si>
    <t>Thu, 14 Mar 2024 00:00:00 GMT</t>
  </si>
  <si>
    <t>Wed, 13 Mar 2024 00:00:00 GMT</t>
  </si>
  <si>
    <t>Tue, 12 Mar 2024 00:00:00 GMT</t>
  </si>
  <si>
    <t>Mon, 11 Mar 2024 00:00:00 GMT</t>
  </si>
  <si>
    <t>Fri, 08 Mar 2024 00:00:00 GMT</t>
  </si>
  <si>
    <t>Thu, 07 Mar 2024 00:00:00 GMT</t>
  </si>
  <si>
    <t>Wed, 06 Mar 2024 00:00:00 GMT</t>
  </si>
  <si>
    <t>Tue, 05 Mar 2024 00:00:00 GMT</t>
  </si>
  <si>
    <t>Mon, 04 Mar 2024 00:00:00 GMT</t>
  </si>
  <si>
    <t>Fri, 01 Mar 2024 00:00:00 GMT</t>
  </si>
  <si>
    <t>Thu, 29 Feb 2024 00:00:00 GMT</t>
  </si>
  <si>
    <t>Wed, 28 Feb 2024 00:00:00 GMT</t>
  </si>
  <si>
    <t>Tue, 27 Feb 2024 00:00:00 GMT</t>
  </si>
  <si>
    <t>Mon, 26 Feb 2024 00:00:00 GMT</t>
  </si>
  <si>
    <t>Fri, 23 Feb 2024 00:00:00 GMT</t>
  </si>
  <si>
    <t>Thu, 22 Feb 2024 00:00:00 GMT</t>
  </si>
  <si>
    <t>Wed, 21 Feb 2024 00:00:00 GMT</t>
  </si>
  <si>
    <t>Tue, 20 Feb 2024 00:00:00 GMT</t>
  </si>
  <si>
    <t>Fri, 16 Feb 2024 00:00:00 GMT</t>
  </si>
  <si>
    <t>Thu, 15 Feb 2024 00:00:00 GMT</t>
  </si>
  <si>
    <t>Wed, 14 Feb 2024 00:00:00 GMT</t>
  </si>
  <si>
    <t>Tue, 13 Feb 2024 00:00:00 GMT</t>
  </si>
  <si>
    <t>Mon, 12 Feb 2024 00:00:00 GMT</t>
  </si>
  <si>
    <t>Fri, 09 Feb 2024 00:00:00 GMT</t>
  </si>
  <si>
    <t>Thu, 08 Feb 2024 00:00:00 GMT</t>
  </si>
  <si>
    <t>Wed, 07 Feb 2024 00:00:00 GMT</t>
  </si>
  <si>
    <t>Tue, 06 Feb 2024 00:00:00 GMT</t>
  </si>
  <si>
    <t>Mon, 05 Feb 2024 00:00:00 GMT</t>
  </si>
  <si>
    <t>Fri, 02 Feb 2024 00:00:00 GMT</t>
  </si>
  <si>
    <t>Thu, 01 Feb 2024 00:00:00 GMT</t>
  </si>
  <si>
    <t>Wed, 31 Jan 2024 00:00:00 GMT</t>
  </si>
  <si>
    <t>Tue, 30 Jan 2024 00:00:00 GMT</t>
  </si>
  <si>
    <t>Mon, 29 Jan 2024 00:00:00 GMT</t>
  </si>
  <si>
    <t>Fri, 26 Jan 2024 00:00:00 GMT</t>
  </si>
  <si>
    <t>Thu, 25 Jan 2024 00:00:00 GMT</t>
  </si>
  <si>
    <t>Wed, 24 Jan 2024 00:00:00 GMT</t>
  </si>
  <si>
    <t>Tue, 23 Jan 2024 00:00:00 GMT</t>
  </si>
  <si>
    <t>Mon, 22 Jan 2024 00:00:00 GMT</t>
  </si>
  <si>
    <t>Fri, 19 Jan 2024 00:00:00 GMT</t>
  </si>
  <si>
    <t>Thu, 18 Jan 2024 00:00:00 GMT</t>
  </si>
  <si>
    <t>Wed, 17 Jan 2024 00:00:00 GMT</t>
  </si>
  <si>
    <t>Tue, 16 Jan 2024 00:00:00 GMT</t>
  </si>
  <si>
    <t>Fri, 12 Jan 2024 00:00:00 GMT</t>
  </si>
  <si>
    <t>Thu, 11 Jan 2024 00:00:00 GMT</t>
  </si>
  <si>
    <t>Wed, 10 Jan 2024 00:00:00 GMT</t>
  </si>
  <si>
    <t>Tue, 09 Jan 2024 00:00:00 GMT</t>
  </si>
  <si>
    <t>Mon, 08 Jan 2024 00:00:00 GMT</t>
  </si>
  <si>
    <t>Fri, 05 Jan 2024 00:00:00 GMT</t>
  </si>
  <si>
    <t>Thu, 04 Jan 2024 00:00:00 GMT</t>
  </si>
  <si>
    <t>Wed, 03 Jan 2024 00:00:00 GMT</t>
  </si>
  <si>
    <t>Tue, 02 Jan 2024 00:00:00 GMT</t>
  </si>
  <si>
    <t>Fri, 29 Dec 2023 00:00:00 GMT</t>
  </si>
  <si>
    <t>Thu, 28 Dec 2023 00:00:00 GMT</t>
  </si>
  <si>
    <t>Wed, 27 Dec 2023 00:00:00 GMT</t>
  </si>
  <si>
    <t>Tue, 26 Dec 2023 00:00:00 GMT</t>
  </si>
  <si>
    <t>Fri, 22 Dec 2023 00:00:00 GMT</t>
  </si>
  <si>
    <t>Thu, 21 Dec 2023 00:00:00 GMT</t>
  </si>
  <si>
    <t>Wed, 20 Dec 2023 00:00:00 GMT</t>
  </si>
  <si>
    <t>Tue, 19 Dec 2023 00:00:00 GMT</t>
  </si>
  <si>
    <t>Mon, 18 Dec 2023 00:00:00 GMT</t>
  </si>
  <si>
    <t>Fri, 15 Dec 2023 00:00:00 GMT</t>
  </si>
  <si>
    <t>Thu, 14 Dec 2023 00:00:00 GMT</t>
  </si>
  <si>
    <t>Wed, 13 Dec 2023 00:00:00 GMT</t>
  </si>
  <si>
    <t>Tue, 12 Dec 2023 00:00:00 GMT</t>
  </si>
  <si>
    <t>Mon, 11 Dec 2023 00:00:00 GMT</t>
  </si>
  <si>
    <t>Fri, 08 Dec 2023 00:00:00 GMT</t>
  </si>
  <si>
    <t>Thu, 07 Dec 2023 00:00:00 GMT</t>
  </si>
  <si>
    <t>Wed, 06 Dec 2023 00:00:00 GMT</t>
  </si>
  <si>
    <t>Tue, 05 Dec 2023 00:00:00 GMT</t>
  </si>
  <si>
    <t>Mon, 04 Dec 2023 00:00:00 GMT</t>
  </si>
  <si>
    <t>Fri, 01 Dec 2023 00:00:00 GMT</t>
  </si>
  <si>
    <t>Thu, 30 Nov 2023 00:00:00 GMT</t>
  </si>
  <si>
    <t>Wed, 29 Nov 2023 00:00:00 GMT</t>
  </si>
  <si>
    <t>Tue, 28 Nov 2023 00:00:00 GMT</t>
  </si>
  <si>
    <t>Mon, 27 Nov 2023 00:00:00 GMT</t>
  </si>
  <si>
    <t>Fri, 24 Nov 2023 00:00:00 GMT</t>
  </si>
  <si>
    <t>Wed, 22 Nov 2023 00:00:00 GMT</t>
  </si>
  <si>
    <t>Tue, 21 Nov 2023 00:00:00 GMT</t>
  </si>
  <si>
    <t>Mon, 20 Nov 2023 00:00:00 GMT</t>
  </si>
  <si>
    <t>Fri, 17 Nov 2023 00:00:00 GMT</t>
  </si>
  <si>
    <t>Thu, 16 Nov 2023 00:00:00 GMT</t>
  </si>
  <si>
    <t>Wed, 15 Nov 2023 00:00:00 GMT</t>
  </si>
  <si>
    <t>Tue, 14 Nov 2023 00:00:00 GMT</t>
  </si>
  <si>
    <t>Mon, 13 Nov 2023 00:00:00 GMT</t>
  </si>
  <si>
    <t>Fri, 10 Nov 2023 00:00:00 GMT</t>
  </si>
  <si>
    <t>Thu, 09 Nov 2023 00:00:00 GMT</t>
  </si>
  <si>
    <t>Wed, 08 Nov 2023 00:00:00 GMT</t>
  </si>
  <si>
    <t>Tue, 07 Nov 2023 00:00:00 GMT</t>
  </si>
  <si>
    <t>Mon, 06 Nov 2023 00:00:00 GMT</t>
  </si>
  <si>
    <t>Fri, 03 Nov 2023 00:00:00 GMT</t>
  </si>
  <si>
    <t>Thu, 02 Nov 2023 00:00:00 GMT</t>
  </si>
  <si>
    <t>Wed, 01 Nov 2023 00:00:00 GMT</t>
  </si>
  <si>
    <t>Tue, 31 Oct 2023 00:00:00 GMT</t>
  </si>
  <si>
    <t>Mon, 30 Oct 2023 00:00:00 GMT</t>
  </si>
  <si>
    <t>Fri, 27 Oct 2023 00:00:00 GMT</t>
  </si>
  <si>
    <t>Thu, 26 Oct 2023 00:00:00 GMT</t>
  </si>
  <si>
    <t>Wed, 25 Oct 2023 00:00:00 GMT</t>
  </si>
  <si>
    <t>Tue, 24 Oct 2023 00:00:00 GMT</t>
  </si>
  <si>
    <t>Mon, 23 Oct 2023 00:00:00 GMT</t>
  </si>
  <si>
    <t>Fri, 20 Oct 2023 00:00:00 GMT</t>
  </si>
  <si>
    <t>Thu, 19 Oct 2023 00:00:00 GMT</t>
  </si>
  <si>
    <t>Wed, 18 Oct 2023 00:00:00 GMT</t>
  </si>
  <si>
    <t>Tue, 17 Oct 2023 00:00:00 GMT</t>
  </si>
  <si>
    <t>Mon, 16 Oct 2023 00:00:00 GMT</t>
  </si>
  <si>
    <t>Fri, 13 Oct 2023 00:00:00 GMT</t>
  </si>
  <si>
    <t>Thu, 12 Oct 2023 00:00:00 GMT</t>
  </si>
  <si>
    <t>Wed, 11 Oct 2023 00:00:00 GMT</t>
  </si>
  <si>
    <t>Tue, 10 Oct 2023 00:00:00 GMT</t>
  </si>
  <si>
    <t>Mon, 09 Oct 2023 00:00:00 GMT</t>
  </si>
  <si>
    <t>Fri, 06 Oct 2023 00:00:00 GMT</t>
  </si>
  <si>
    <t>Thu, 05 Oct 2023 00:00:00 GMT</t>
  </si>
  <si>
    <t>Wed, 04 Oct 2023 00:00:00 GMT</t>
  </si>
  <si>
    <t>Tue, 03 Oct 2023 00:00:00 GMT</t>
  </si>
  <si>
    <t>Mon, 02 Oct 2023 00:00:00 GMT</t>
  </si>
  <si>
    <t>Fri, 29 Sep 2023 00:00:00 GMT</t>
  </si>
  <si>
    <t>Thu, 28 Sep 2023 00:00:00 GMT</t>
  </si>
  <si>
    <t>Wed, 27 Sep 2023 00:00:00 GMT</t>
  </si>
  <si>
    <t>Tue, 26 Sep 2023 00:00:00 GMT</t>
  </si>
  <si>
    <t>Mon, 25 Sep 2023 00:00:00 GMT</t>
  </si>
  <si>
    <t>Fri, 22 Sep 2023 00:00:00 GMT</t>
  </si>
  <si>
    <t>Thu, 21 Sep 2023 00:00:00 GMT</t>
  </si>
  <si>
    <t>Wed, 20 Sep 2023 00:00:00 GMT</t>
  </si>
  <si>
    <t>Tue, 19 Sep 2023 00:00:00 GMT</t>
  </si>
  <si>
    <t>Mon, 18 Sep 2023 00:00:00 GMT</t>
  </si>
  <si>
    <t>Fri, 15 Sep 2023 00:00:00 GMT</t>
  </si>
  <si>
    <t>Thu, 14 Sep 2023 00:00:00 GMT</t>
  </si>
  <si>
    <t>Wed, 13 Sep 2023 00:00:00 GMT</t>
  </si>
  <si>
    <t>Tue, 12 Sep 2023 00:00:00 GMT</t>
  </si>
  <si>
    <t>Mon, 11 Sep 2023 00:00:00 GMT</t>
  </si>
  <si>
    <t>Fri, 08 Sep 2023 00:00:00 GMT</t>
  </si>
  <si>
    <t>Thu, 07 Sep 2023 00:00:00 GMT</t>
  </si>
  <si>
    <t>Wed, 06 Sep 2023 00:00:00 GMT</t>
  </si>
  <si>
    <t>Tue, 05 Sep 2023 00:00:00 GMT</t>
  </si>
  <si>
    <t>Fri, 01 Sep 2023 00:00:00 GMT</t>
  </si>
  <si>
    <t>Thu, 31 Aug 2023 00:00:00 GMT</t>
  </si>
  <si>
    <t>Wed, 30 Aug 2023 00:00:00 GMT</t>
  </si>
  <si>
    <t>Tue, 29 Aug 2023 00:00:00 GMT</t>
  </si>
  <si>
    <t>Mon, 28 Aug 2023 00:00:00 GMT</t>
  </si>
  <si>
    <t>Fri, 25 Aug 2023 00:00:00 GMT</t>
  </si>
  <si>
    <t>Thu, 24 Aug 2023 00:00:00 GMT</t>
  </si>
  <si>
    <t>Wed, 23 Aug 2023 00:00:00 GMT</t>
  </si>
  <si>
    <t>Tue, 22 Aug 2023 00:00:00 GMT</t>
  </si>
  <si>
    <t>Mon, 21 Aug 2023 00:00:00 GMT</t>
  </si>
  <si>
    <t>Fri, 18 Aug 2023 00:00:00 GMT</t>
  </si>
  <si>
    <t>Thu, 17 Aug 2023 00:00:00 GMT</t>
  </si>
  <si>
    <t>Wed, 16 Aug 2023 00:00:00 GMT</t>
  </si>
  <si>
    <t>Tue, 15 Aug 2023 00:00:00 GMT</t>
  </si>
  <si>
    <t>Mon, 14 Aug 2023 00:00:00 GMT</t>
  </si>
  <si>
    <t>Fri, 11 Aug 2023 00:00:00 GMT</t>
  </si>
  <si>
    <t>Thu, 10 Aug 2023 00:00:00 GMT</t>
  </si>
  <si>
    <t>Wed, 09 Aug 2023 00:00:00 GMT</t>
  </si>
  <si>
    <t>Tue, 08 Aug 2023 00:00:00 GMT</t>
  </si>
  <si>
    <t>Mon, 07 Aug 2023 00:00:00 GMT</t>
  </si>
  <si>
    <t>Fri, 04 Aug 2023 00:00:00 GMT</t>
  </si>
  <si>
    <t>Thu, 03 Aug 2023 00:00:00 GMT</t>
  </si>
  <si>
    <t>Wed, 02 Aug 2023 00:00:00 GMT</t>
  </si>
  <si>
    <t>Tue, 01 Aug 2023 00:00:00 GMT</t>
  </si>
  <si>
    <t>Mon, 31 Jul 2023 00:00:00 GMT</t>
  </si>
  <si>
    <t>Fri, 28 Jul 2023 00:00:00 GMT</t>
  </si>
  <si>
    <t>Thu, 27 Jul 2023 00:00:00 GMT</t>
  </si>
  <si>
    <t>Wed, 26 Jul 2023 00:00:00 GMT</t>
  </si>
  <si>
    <t>Tue, 25 Jul 2023 00:00:00 GMT</t>
  </si>
  <si>
    <t>Mon, 24 Jul 2023 00:00:00 GMT</t>
  </si>
  <si>
    <t>Fri, 21 Jul 2023 00:00:00 GMT</t>
  </si>
  <si>
    <t>Thu, 20 Jul 2023 00:00:00 GMT</t>
  </si>
  <si>
    <t>Wed, 19 Jul 2023 00:00:00 GMT</t>
  </si>
  <si>
    <t>Tue, 18 Jul 2023 00:00:00 GMT</t>
  </si>
  <si>
    <t>Mon, 17 Jul 2023 00:00:00 GMT</t>
  </si>
  <si>
    <t>Fri, 14 Jul 2023 00:00:00 GMT</t>
  </si>
  <si>
    <t>Thu, 13 Jul 2023 00:00:00 GMT</t>
  </si>
  <si>
    <t>Wed, 12 Jul 2023 00:00:00 GMT</t>
  </si>
  <si>
    <t>Tue, 11 Jul 2023 00:00:00 GMT</t>
  </si>
  <si>
    <t>Mon, 10 Jul 2023 00:00:00 GMT</t>
  </si>
  <si>
    <t>Fri, 07 Jul 2023 00:00:00 GMT</t>
  </si>
  <si>
    <t>Thu, 06 Jul 2023 00:00:00 GMT</t>
  </si>
  <si>
    <t>Wed, 05 Jul 2023 00:00:00 GMT</t>
  </si>
  <si>
    <t>Mon, 03 Jul 2023 00:00:00 GMT</t>
  </si>
  <si>
    <t>Fri, 30 Jun 2023 00:00:00 GMT</t>
  </si>
  <si>
    <t>Thu, 29 Jun 2023 00:00:00 GMT</t>
  </si>
  <si>
    <t>Wed, 28 Jun 2023 00:00:00 GMT</t>
  </si>
  <si>
    <t>Tue, 27 Jun 2023 00:00:00 GMT</t>
  </si>
  <si>
    <t>Mon, 26 Jun 2023 00:00:00 GMT</t>
  </si>
  <si>
    <t>Fri, 23 Jun 2023 00:00:00 GMT</t>
  </si>
  <si>
    <t>Thu, 22 Jun 2023 00:00:00 GMT</t>
  </si>
  <si>
    <t>Wed, 21 Jun 2023 00:00:00 GMT</t>
  </si>
  <si>
    <t>Tue, 20 Jun 2023 00:00:00 GMT</t>
  </si>
  <si>
    <t>Fri, 16 Jun 2023 00:00:00 GMT</t>
  </si>
  <si>
    <t>Thu, 15 Jun 2023 00:00:00 GMT</t>
  </si>
  <si>
    <t>Wed, 14 Jun 2023 00:00:00 GMT</t>
  </si>
  <si>
    <t>Tue, 13 Jun 2023 00:00:00 GMT</t>
  </si>
  <si>
    <t>Mon, 12 Jun 2023 00:00:00 GMT</t>
  </si>
  <si>
    <t>Fri, 09 Jun 2023 00:00:00 GMT</t>
  </si>
  <si>
    <t>Thu, 08 Jun 2023 00:00:00 GMT</t>
  </si>
  <si>
    <t>Wed, 07 Jun 2023 00:00:00 GMT</t>
  </si>
  <si>
    <t>Tue, 06 Jun 2023 00:00:00 GMT</t>
  </si>
  <si>
    <t>Mon, 05 Jun 2023 00:00:00 GMT</t>
  </si>
  <si>
    <t>Fri, 02 Jun 2023 00:00:00 GMT</t>
  </si>
  <si>
    <t>Thu, 01 Jun 2023 00:00:00 GMT</t>
  </si>
  <si>
    <t>Wed, 31 May 2023 00:00:00 GMT</t>
  </si>
  <si>
    <t>Tue, 30 May 2023 00:00:00 GMT</t>
  </si>
  <si>
    <t>Fri, 26 May 2023 00:00:00 GMT</t>
  </si>
  <si>
    <t>Thu, 25 May 2023 00:00:00 GMT</t>
  </si>
  <si>
    <t>Wed, 24 May 2023 00:00:00 GMT</t>
  </si>
  <si>
    <t>Tue, 23 May 2023 00:00:00 GMT</t>
  </si>
  <si>
    <t>Mon, 22 May 2023 00:00:00 GMT</t>
  </si>
  <si>
    <t>Fri, 19 May 2023 00:00:00 GMT</t>
  </si>
  <si>
    <t>Thu, 18 May 2023 00:00:00 GMT</t>
  </si>
  <si>
    <t>Wed, 17 May 2023 00:00:00 GMT</t>
  </si>
  <si>
    <t>Tue, 16 May 2023 00:00:00 GMT</t>
  </si>
  <si>
    <t>Mon, 15 May 2023 00:00:00 GMT</t>
  </si>
  <si>
    <t>Fri, 12 May 2023 00:00:00 GMT</t>
  </si>
  <si>
    <t>Thu, 11 May 2023 00:00:00 GMT</t>
  </si>
  <si>
    <t>Wed, 10 May 2023 00:00:00 GMT</t>
  </si>
  <si>
    <t>Tue, 09 May 2023 00:00:00 GMT</t>
  </si>
  <si>
    <t>Mon, 08 May 2023 00:00:00 GMT</t>
  </si>
  <si>
    <t>Fri, 05 May 2023 00:00:00 GMT</t>
  </si>
  <si>
    <t>Thu, 04 May 2023 00:00:00 GMT</t>
  </si>
  <si>
    <t>Wed, 03 May 2023 00:00:00 GMT</t>
  </si>
  <si>
    <t>Tue, 02 May 2023 00:00:00 GMT</t>
  </si>
  <si>
    <t>Mon, 01 May 2023 00:00:00 GMT</t>
  </si>
  <si>
    <t>Fri, 28 Apr 2023 00:00:00 GMT</t>
  </si>
  <si>
    <t>Thu, 27 Apr 2023 00:00:00 GMT</t>
  </si>
  <si>
    <t>Wed, 26 Apr 2023 00:00:00 GMT</t>
  </si>
  <si>
    <t>Tue, 25 Apr 2023 00:00:00 GMT</t>
  </si>
  <si>
    <t>Mon, 24 Apr 2023 00:00:00 GMT</t>
  </si>
  <si>
    <t>Fri, 21 Apr 2023 00:00:00 GMT</t>
  </si>
  <si>
    <t>Thu, 20 Apr 2023 00:00:00 GMT</t>
  </si>
  <si>
    <t>Wed, 19 Apr 2023 00:00:00 GMT</t>
  </si>
  <si>
    <t>Tue, 18 Apr 2023 00:00:00 GMT</t>
  </si>
  <si>
    <t>Mon, 17 Apr 2023 00:00:00 GMT</t>
  </si>
  <si>
    <t>Fri, 14 Apr 2023 00:00:00 GMT</t>
  </si>
  <si>
    <t>Thu, 13 Apr 2023 00:00:00 GMT</t>
  </si>
  <si>
    <t>Wed, 12 Apr 2023 00:00:00 GMT</t>
  </si>
  <si>
    <t>Tue, 11 Apr 2023 00:00:00 GMT</t>
  </si>
  <si>
    <t>Mon, 10 Apr 2023 00:00:00 GMT</t>
  </si>
  <si>
    <t>Thu, 06 Apr 2023 00:00:00 GMT</t>
  </si>
  <si>
    <t>Wed, 05 Apr 2023 00:00:00 GMT</t>
  </si>
  <si>
    <t>Tue, 04 Apr 2023 00:00:00 GMT</t>
  </si>
  <si>
    <t>Mon, 03 Apr 2023 00:00:00 GMT</t>
  </si>
  <si>
    <t>Fri, 31 Mar 2023 00:00:00 GMT</t>
  </si>
  <si>
    <t>Thu, 30 Mar 2023 00:00:00 GMT</t>
  </si>
  <si>
    <t>Wed, 29 Mar 2023 00:00:00 GMT</t>
  </si>
  <si>
    <t>Tue, 28 Mar 2023 00:00:00 GMT</t>
  </si>
  <si>
    <t>Mon, 27 Mar 2023 00:00:00 GMT</t>
  </si>
  <si>
    <t>Fri, 24 Mar 2023 00:00:00 GMT</t>
  </si>
  <si>
    <t>Thu, 23 Mar 2023 00:00:00 GMT</t>
  </si>
  <si>
    <t>Wed, 22 Mar 2023 00:00:00 GMT</t>
  </si>
  <si>
    <t>Tue, 21 Mar 2023 00:00:00 GMT</t>
  </si>
  <si>
    <t>Mon, 20 Mar 2023 00:00:00 GMT</t>
  </si>
  <si>
    <t>Fri, 17 Mar 2023 00:00:00 GMT</t>
  </si>
  <si>
    <t>Thu, 16 Mar 2023 00:00:00 GMT</t>
  </si>
  <si>
    <t>Wed, 15 Mar 2023 00:00:00 GMT</t>
  </si>
  <si>
    <t>Tue, 14 Mar 2023 00:00:00 GMT</t>
  </si>
  <si>
    <t>Mon, 13 Mar 2023 00:00:00 GMT</t>
  </si>
  <si>
    <t>Fri, 10 Mar 2023 00:00:00 GMT</t>
  </si>
  <si>
    <t>Thu, 09 Mar 2023 00:00:00 GMT</t>
  </si>
  <si>
    <t>Wed, 08 Mar 2023 00:00:00 GMT</t>
  </si>
  <si>
    <t>Tue, 07 Mar 2023 00:00:00 GMT</t>
  </si>
  <si>
    <t>Mon, 06 Mar 2023 00:00:00 GMT</t>
  </si>
  <si>
    <t>Fri, 03 Mar 2023 00:00:00 GMT</t>
  </si>
  <si>
    <t>Thu, 02 Mar 2023 00:00:00 GMT</t>
  </si>
  <si>
    <t>Wed, 01 Mar 2023 00:00:00 GMT</t>
  </si>
  <si>
    <t>Tue, 28 Feb 2023 00:00:00 GMT</t>
  </si>
  <si>
    <t>Mon, 27 Feb 2023 00:00:00 GMT</t>
  </si>
  <si>
    <t>Fri, 24 Feb 2023 00:00:00 GMT</t>
  </si>
  <si>
    <t>Thu, 23 Feb 2023 00:00:00 GMT</t>
  </si>
  <si>
    <t>Wed, 22 Feb 2023 00:00:00 GMT</t>
  </si>
  <si>
    <t>Tue, 21 Feb 2023 00:00:00 GMT</t>
  </si>
  <si>
    <t>Fri, 17 Feb 2023 00:00:00 GMT</t>
  </si>
  <si>
    <t>Thu, 16 Feb 2023 00:00:00 GMT</t>
  </si>
  <si>
    <t>Wed, 15 Feb 2023 00:00:00 GMT</t>
  </si>
  <si>
    <t>Tue, 14 Feb 2023 00:00:00 GMT</t>
  </si>
  <si>
    <t>Mon, 13 Feb 2023 00:00:00 GMT</t>
  </si>
  <si>
    <t>Fri, 10 Feb 2023 00:00:00 GMT</t>
  </si>
  <si>
    <t>Thu, 09 Feb 2023 00:00:00 GMT</t>
  </si>
  <si>
    <t>Wed, 08 Feb 2023 00:00:00 GMT</t>
  </si>
  <si>
    <t>Tue, 07 Feb 2023 00:00:00 GMT</t>
  </si>
  <si>
    <t>Mon, 06 Feb 2023 00:00:00 GMT</t>
  </si>
  <si>
    <t>Fri, 03 Feb 2023 00:00:00 GMT</t>
  </si>
  <si>
    <t>Thu, 02 Feb 2023 00:00:00 GMT</t>
  </si>
  <si>
    <t>Wed, 01 Feb 2023 00:00:00 GMT</t>
  </si>
  <si>
    <t>Tue, 31 Jan 2023 00:00:00 GMT</t>
  </si>
  <si>
    <t>Mon, 30 Jan 2023 00:00:00 GMT</t>
  </si>
  <si>
    <t>Fri, 27 Jan 2023 00:00:00 GMT</t>
  </si>
  <si>
    <t>Thu, 26 Jan 2023 00:00:00 GMT</t>
  </si>
  <si>
    <t>Wed, 25 Jan 2023 00:00:00 GMT</t>
  </si>
  <si>
    <t>Tue, 24 Jan 2023 00:00:00 GMT</t>
  </si>
  <si>
    <t>Mon, 23 Jan 2023 00:00:00 GMT</t>
  </si>
  <si>
    <t>Fri, 20 Jan 2023 00:00:00 GMT</t>
  </si>
  <si>
    <t>Thu, 19 Jan 2023 00:00:00 GMT</t>
  </si>
  <si>
    <t>Wed, 18 Jan 2023 00:00:00 GMT</t>
  </si>
  <si>
    <t>Tue, 17 Jan 2023 00:00:00 GMT</t>
  </si>
  <si>
    <t>Fri, 13 Jan 2023 00:00:00 GMT</t>
  </si>
  <si>
    <t>Thu, 12 Jan 2023 00:00:00 GMT</t>
  </si>
  <si>
    <t>Wed, 11 Jan 2023 00:00:00 GMT</t>
  </si>
  <si>
    <t>Tue, 10 Jan 2023 00:00:00 GMT</t>
  </si>
  <si>
    <t>Mon, 09 Jan 2023 00:00:00 GMT</t>
  </si>
  <si>
    <t>Fri, 06 Jan 2023 00:00:00 GMT</t>
  </si>
  <si>
    <t>Thu, 05 Jan 2023 00:00:00 GMT</t>
  </si>
  <si>
    <t>Wed, 04 Jan 2023 00:00:00 GMT</t>
  </si>
  <si>
    <t>Tue, 03 Jan 2023 00:00:00 GMT</t>
  </si>
  <si>
    <t>Fri, 30 Dec 2022 00:00:00 GMT</t>
  </si>
  <si>
    <t>Thu, 29 Dec 2022 00:00:00 GMT</t>
  </si>
  <si>
    <t>Wed, 28 Dec 2022 00:00:00 GMT</t>
  </si>
  <si>
    <t>Tue, 27 Dec 2022 00:00:00 GMT</t>
  </si>
  <si>
    <t>Fri, 23 Dec 2022 00:00:00 GMT</t>
  </si>
  <si>
    <t>Thu, 22 Dec 2022 00:00:00 GMT</t>
  </si>
  <si>
    <t>Wed, 21 Dec 2022 00:00:00 GMT</t>
  </si>
  <si>
    <t>Tue, 20 Dec 2022 00:00:00 GMT</t>
  </si>
  <si>
    <t>Mon, 19 Dec 2022 00:00:00 GMT</t>
  </si>
  <si>
    <t>Fri, 16 Dec 2022 00:00:00 GMT</t>
  </si>
  <si>
    <t>Thu, 15 Dec 2022 00:00:00 GMT</t>
  </si>
  <si>
    <t>Wed, 14 Dec 2022 00:00:00 GMT</t>
  </si>
  <si>
    <t>Tue, 13 Dec 2022 00:00:00 GMT</t>
  </si>
  <si>
    <t>Mon, 12 Dec 2022 00:00:00 GMT</t>
  </si>
  <si>
    <t>Fri, 09 Dec 2022 00:00:00 GMT</t>
  </si>
  <si>
    <t>Thu, 08 Dec 2022 00:00:00 GMT</t>
  </si>
  <si>
    <t>Wed, 07 Dec 2022 00:00:00 GMT</t>
  </si>
  <si>
    <t>Tue, 06 Dec 2022 00:00:00 GMT</t>
  </si>
  <si>
    <t>Mon, 05 Dec 2022 00:00:00 GMT</t>
  </si>
  <si>
    <t>Fri, 02 Dec 2022 00:00:00 GMT</t>
  </si>
  <si>
    <t>Thu, 01 Dec 2022 00:00:00 GMT</t>
  </si>
  <si>
    <t>Wed, 30 Nov 2022 00:00:00 GMT</t>
  </si>
  <si>
    <t>Tue, 29 Nov 2022 00:00:00 GMT</t>
  </si>
  <si>
    <t>Mon, 28 Nov 2022 00:00:00 GMT</t>
  </si>
  <si>
    <t>Fri, 25 Nov 2022 00:00:00 GMT</t>
  </si>
  <si>
    <t>Wed, 23 Nov 2022 00:00:00 GMT</t>
  </si>
  <si>
    <t>Tue, 22 Nov 2022 00:00:00 GMT</t>
  </si>
  <si>
    <t>Mon, 21 Nov 2022 00:00:00 GMT</t>
  </si>
  <si>
    <t>Fri, 18 Nov 2022 00:00:00 GMT</t>
  </si>
  <si>
    <t>Thu, 17 Nov 2022 00:00:00 GMT</t>
  </si>
  <si>
    <t>Wed, 16 Nov 2022 00:00:00 GMT</t>
  </si>
  <si>
    <t>Tue, 15 Nov 2022 00:00:00 GMT</t>
  </si>
  <si>
    <t>Mon, 14 Nov 2022 00:00:00 GMT</t>
  </si>
  <si>
    <t>Fri, 11 Nov 2022 00:00:00 GMT</t>
  </si>
  <si>
    <t>Thu, 10 Nov 2022 00:00:00 GMT</t>
  </si>
  <si>
    <t>Wed, 09 Nov 2022 00:00:00 GMT</t>
  </si>
  <si>
    <t>Tue, 08 Nov 2022 00:00:00 GMT</t>
  </si>
  <si>
    <t>Mon, 07 Nov 2022 00:00:00 GMT</t>
  </si>
  <si>
    <t>Fri, 04 Nov 2022 00:00:00 GMT</t>
  </si>
  <si>
    <t>Thu, 03 Nov 2022 00:00:00 GMT</t>
  </si>
  <si>
    <t>Wed, 02 Nov 2022 00:00:00 GMT</t>
  </si>
  <si>
    <t>Tue, 01 Nov 2022 00:00:00 GMT</t>
  </si>
  <si>
    <t>Mon, 31 Oct 2022 00:00:00 GMT</t>
  </si>
  <si>
    <t>Fri, 28 Oct 2022 00:00:00 GMT</t>
  </si>
  <si>
    <t>Thu, 27 Oct 2022 00:00:00 GMT</t>
  </si>
  <si>
    <t>Wed, 26 Oct 2022 00:00:00 GMT</t>
  </si>
  <si>
    <t>Tue, 25 Oct 2022 00:00:00 GMT</t>
  </si>
  <si>
    <t>Mon, 24 Oct 2022 00:00:00 GMT</t>
  </si>
  <si>
    <t>Fri, 21 Oct 2022 00:00:00 GMT</t>
  </si>
  <si>
    <t>Thu, 20 Oct 2022 00:00:00 GMT</t>
  </si>
  <si>
    <t>Wed, 19 Oct 2022 00:00:00 GMT</t>
  </si>
  <si>
    <t>Tue, 18 Oct 2022 00:00:00 GMT</t>
  </si>
  <si>
    <t>Mon, 17 Oct 2022 00:00:00 GMT</t>
  </si>
  <si>
    <t>Fri, 14 Oct 2022 00:00:00 GMT</t>
  </si>
  <si>
    <t>Thu, 13 Oct 2022 00:00:00 GMT</t>
  </si>
  <si>
    <t>Wed, 12 Oct 2022 00:00:00 GMT</t>
  </si>
  <si>
    <t>Tue, 11 Oct 2022 00:00:00 GMT</t>
  </si>
  <si>
    <t>Mon, 10 Oct 2022 00:00:00 GMT</t>
  </si>
  <si>
    <t>Fri, 07 Oct 2022 00:00:00 GMT</t>
  </si>
  <si>
    <t>Thu, 06 Oct 2022 00:00:00 GMT</t>
  </si>
  <si>
    <t>Wed, 05 Oct 2022 00:00:00 GMT</t>
  </si>
  <si>
    <t>Tue, 04 Oct 2022 00:00:00 GMT</t>
  </si>
  <si>
    <t>Mon, 03 Oct 2022 00:00:00 GMT</t>
  </si>
  <si>
    <t>Fri, 30 Sep 2022 00:00:00 GMT</t>
  </si>
  <si>
    <t>Thu, 29 Sep 2022 00:00:00 GMT</t>
  </si>
  <si>
    <t>Wed, 28 Sep 2022 00:00:00 GMT</t>
  </si>
  <si>
    <t>Tue, 27 Sep 2022 00:00:00 GMT</t>
  </si>
  <si>
    <t>Mon, 26 Sep 2022 00:00:00 GMT</t>
  </si>
  <si>
    <t>Fri, 23 Sep 2022 00:00:00 GMT</t>
  </si>
  <si>
    <t>Thu, 22 Sep 2022 00:00:00 GMT</t>
  </si>
  <si>
    <t>Wed, 21 Sep 2022 00:00:00 GMT</t>
  </si>
  <si>
    <t>Tue, 20 Sep 2022 00:00:00 GMT</t>
  </si>
  <si>
    <t>Mon, 19 Sep 2022 00:00:00 GMT</t>
  </si>
  <si>
    <t>Fri, 16 Sep 2022 00:00:00 GMT</t>
  </si>
  <si>
    <t>Thu, 15 Sep 2022 00:00:00 GMT</t>
  </si>
  <si>
    <t>Wed, 14 Sep 2022 00:00:00 GMT</t>
  </si>
  <si>
    <t>Tue, 13 Sep 2022 00:00:00 GMT</t>
  </si>
  <si>
    <t>Mon, 12 Sep 2022 00:00:00 GMT</t>
  </si>
  <si>
    <t>Fri, 09 Sep 2022 00:00:00 GMT</t>
  </si>
  <si>
    <t>Thu, 08 Sep 2022 00:00:00 GMT</t>
  </si>
  <si>
    <t>Wed, 07 Sep 2022 00:00:00 GMT</t>
  </si>
  <si>
    <t>Tue, 06 Sep 2022 00:00:00 GMT</t>
  </si>
  <si>
    <t>Fri, 02 Sep 2022 00:00:00 GMT</t>
  </si>
  <si>
    <t>Thu, 01 Sep 2022 00:00:00 GMT</t>
  </si>
  <si>
    <t>Wed, 31 Aug 2022 00:00:00 GMT</t>
  </si>
  <si>
    <t>Tue, 30 Aug 2022 00:00:00 GMT</t>
  </si>
  <si>
    <t>Mon, 29 Aug 2022 00:00:00 GMT</t>
  </si>
  <si>
    <t>Fri, 26 Aug 2022 00:00:00 GMT</t>
  </si>
  <si>
    <t>Thu, 25 Aug 2022 00:00:00 GMT</t>
  </si>
  <si>
    <t>Wed, 24 Aug 2022 00:00:00 GMT</t>
  </si>
  <si>
    <t>Tue, 23 Aug 2022 00:00:00 GMT</t>
  </si>
  <si>
    <t>Mon, 22 Aug 2022 00:00:00 GMT</t>
  </si>
  <si>
    <t>Fri, 19 Aug 2022 00:00:00 GMT</t>
  </si>
  <si>
    <t>Thu, 18 Aug 2022 00:00:00 GMT</t>
  </si>
  <si>
    <t>Wed, 17 Aug 2022 00:00:00 GMT</t>
  </si>
  <si>
    <t>Tue, 16 Aug 2022 00:00:00 GMT</t>
  </si>
  <si>
    <t>Mon, 15 Aug 2022 00:00:00 GMT</t>
  </si>
  <si>
    <t>Fri, 12 Aug 2022 00:00:00 GMT</t>
  </si>
  <si>
    <t>Thu, 11 Aug 2022 00:00:00 GMT</t>
  </si>
  <si>
    <t>Wed, 10 Aug 2022 00:00:00 GMT</t>
  </si>
  <si>
    <t>Tue, 09 Aug 2022 00:00:00 GMT</t>
  </si>
  <si>
    <t>Mon, 08 Aug 2022 00:00:00 GMT</t>
  </si>
  <si>
    <t>Fri, 05 Aug 2022 00:00:00 GMT</t>
  </si>
  <si>
    <t>Thu, 04 Aug 2022 00:00:00 GMT</t>
  </si>
  <si>
    <t>Wed, 03 Aug 2022 00:00:00 GMT</t>
  </si>
  <si>
    <t>Tue, 02 Aug 2022 00:00:00 GMT</t>
  </si>
  <si>
    <t>Mon, 01 Aug 2022 00:00:00 GMT</t>
  </si>
  <si>
    <t>Fri, 29 Jul 2022 00:00:00 GMT</t>
  </si>
  <si>
    <t>Thu, 28 Jul 2022 00:00:00 GMT</t>
  </si>
  <si>
    <t>Wed, 27 Jul 2022 00:00:00 GMT</t>
  </si>
  <si>
    <t>Tue, 26 Jul 2022 00:00:00 GMT</t>
  </si>
  <si>
    <t>Mon, 25 Jul 2022 00:00:00 GMT</t>
  </si>
  <si>
    <t>Fri, 22 Jul 2022 00:00:00 GMT</t>
  </si>
  <si>
    <t>Thu, 21 Jul 2022 00:00:00 GMT</t>
  </si>
  <si>
    <t>Wed, 20 Jul 2022 00:00:00 GMT</t>
  </si>
  <si>
    <t>Tue, 19 Jul 2022 00:00:00 GMT</t>
  </si>
  <si>
    <t>Mon, 18 Jul 2022 00:00:00 GMT</t>
  </si>
  <si>
    <t>Fri, 15 Jul 2022 00:00:00 GMT</t>
  </si>
  <si>
    <t>Thu, 14 Jul 2022 00:00:00 GMT</t>
  </si>
  <si>
    <t>Wed, 13 Jul 2022 00:00:00 GMT</t>
  </si>
  <si>
    <t>Tue, 12 Jul 2022 00:00:00 GMT</t>
  </si>
  <si>
    <t>Mon, 11 Jul 2022 00:00:00 GMT</t>
  </si>
  <si>
    <t>Fri, 08 Jul 2022 00:00:00 GMT</t>
  </si>
  <si>
    <t>Thu, 07 Jul 2022 00:00:00 GMT</t>
  </si>
  <si>
    <t>Wed, 06 Jul 2022 00:00:00 GMT</t>
  </si>
  <si>
    <t>Tue, 05 Jul 2022 00:00:00 GMT</t>
  </si>
  <si>
    <t>Fri, 01 Jul 2022 00:00:00 GMT</t>
  </si>
  <si>
    <t>Thu, 30 Jun 2022 00:00:00 GMT</t>
  </si>
  <si>
    <t>Wed, 29 Jun 2022 00:00:00 GMT</t>
  </si>
  <si>
    <t>Tue, 28 Jun 2022 00:00:00 GMT</t>
  </si>
  <si>
    <t>Mon, 27 Jun 2022 00:00:00 GMT</t>
  </si>
  <si>
    <t>Fri, 24 Jun 2022 00:00:00 GMT</t>
  </si>
  <si>
    <t>Thu, 23 Jun 2022 00:00:00 GMT</t>
  </si>
  <si>
    <t>Wed, 22 Jun 2022 00:00:00 GMT</t>
  </si>
  <si>
    <t>Tue, 21 Jun 2022 00:00:00 GMT</t>
  </si>
  <si>
    <t>Fri, 17 Jun 2022 00:00:00 GMT</t>
  </si>
  <si>
    <t>Thu, 16 Jun 2022 00:00:00 GMT</t>
  </si>
  <si>
    <t>Wed, 15 Jun 2022 00:00:00 GMT</t>
  </si>
  <si>
    <t>Tue, 14 Jun 2022 00:00:00 GMT</t>
  </si>
  <si>
    <t>Mon, 13 Jun 2022 00:00:00 GMT</t>
  </si>
  <si>
    <t>Fri, 10 Jun 2022 00:00:00 GMT</t>
  </si>
  <si>
    <t>Thu, 09 Jun 2022 00:00:00 GMT</t>
  </si>
  <si>
    <t>Wed, 08 Jun 2022 00:00:00 GMT</t>
  </si>
  <si>
    <t>Tue, 07 Jun 2022 00:00:00 GMT</t>
  </si>
  <si>
    <t>Mon, 06 Jun 2022 00:00:00 GMT</t>
  </si>
  <si>
    <t>Fri, 03 Jun 2022 00:00:00 GMT</t>
  </si>
  <si>
    <t>Thu, 02 Jun 2022 00:00:00 GMT</t>
  </si>
  <si>
    <t>Wed, 01 Jun 2022 00:00:00 GMT</t>
  </si>
  <si>
    <t>Tue, 31 May 2022 00:00:00 GMT</t>
  </si>
  <si>
    <t>Fri, 27 May 2022 00:00:00 GMT</t>
  </si>
  <si>
    <t>Thu, 26 May 2022 00:00:00 GMT</t>
  </si>
  <si>
    <t>Wed, 25 May 2022 00:00:00 GMT</t>
  </si>
  <si>
    <t>Tue, 24 May 2022 00:00:00 GMT</t>
  </si>
  <si>
    <t>Mon, 23 May 2022 00:00:00 GMT</t>
  </si>
  <si>
    <t>Fri, 20 May 2022 00:00:00 GMT</t>
  </si>
  <si>
    <t>Thu, 19 May 2022 00:00:00 GMT</t>
  </si>
  <si>
    <t>Wed, 18 May 2022 00:00:00 GMT</t>
  </si>
  <si>
    <t>Tue, 17 May 2022 00:00:00 GMT</t>
  </si>
  <si>
    <t>Mon, 16 May 2022 00:00:00 GMT</t>
  </si>
  <si>
    <t>Fri, 13 May 2022 00:00:00 GMT</t>
  </si>
  <si>
    <t>Thu, 12 May 2022 00:00:00 GMT</t>
  </si>
  <si>
    <t>Wed, 11 May 2022 00:00:00 GMT</t>
  </si>
  <si>
    <t>Tue, 10 May 2022 00:00:00 GMT</t>
  </si>
  <si>
    <t>Mon, 09 May 2022 00:00:00 GMT</t>
  </si>
  <si>
    <t>Fri, 06 May 2022 00:00:00 GMT</t>
  </si>
  <si>
    <t>Thu, 05 May 2022 00:00:00 GMT</t>
  </si>
  <si>
    <t>Wed, 04 May 2022 00:00:00 GMT</t>
  </si>
  <si>
    <t>Tue, 03 May 2022 00:00:00 GMT</t>
  </si>
  <si>
    <t>Mon, 02 May 2022 00:00:00 GMT</t>
  </si>
  <si>
    <t>Fri, 29 Apr 2022 00:00:00 GMT</t>
  </si>
  <si>
    <t>Thu, 28 Apr 2022 00:00:00 GMT</t>
  </si>
  <si>
    <t>Wed, 27 Apr 2022 00:00:00 GMT</t>
  </si>
  <si>
    <t>Tue, 26 Apr 2022 00:00:00 GMT</t>
  </si>
  <si>
    <t>Mon, 25 Apr 2022 00:00:00 GMT</t>
  </si>
  <si>
    <t>Fri, 22 Apr 2022 00:00:00 GMT</t>
  </si>
  <si>
    <t>Thu, 21 Apr 2022 00:00:00 GMT</t>
  </si>
  <si>
    <t>Wed, 20 Apr 2022 00:00:00 GMT</t>
  </si>
  <si>
    <t>Tue, 19 Apr 2022 00:00:00 GMT</t>
  </si>
  <si>
    <t>Mon, 18 Apr 2022 00:00:00 GMT</t>
  </si>
  <si>
    <t>Thu, 14 Apr 2022 00:00:00 GMT</t>
  </si>
  <si>
    <t>Wed, 13 Apr 2022 00:00:00 GMT</t>
  </si>
  <si>
    <t>Tue, 12 Apr 2022 00:00:00 GMT</t>
  </si>
  <si>
    <t>Mon, 11 Apr 2022 00:00:00 GMT</t>
  </si>
  <si>
    <t>Fri, 08 Apr 2022 00:00:00 GMT</t>
  </si>
  <si>
    <t>Thu, 07 Apr 2022 00:00:00 GMT</t>
  </si>
  <si>
    <t>Wed, 06 Apr 2022 00:00:00 GMT</t>
  </si>
  <si>
    <t>Tue, 05 Apr 2022 00:00:00 GMT</t>
  </si>
  <si>
    <t>Mon, 04 Apr 2022 00:00:00 GMT</t>
  </si>
  <si>
    <t>Fri, 01 Apr 2022 00:00:00 GMT</t>
  </si>
  <si>
    <t>Thu, 31 Mar 2022 00:00:00 GMT</t>
  </si>
  <si>
    <t>Wed, 30 Mar 2022 00:00:00 GMT</t>
  </si>
  <si>
    <t>Tue, 29 Mar 2022 00:00:00 GMT</t>
  </si>
  <si>
    <t>Mon, 28 Mar 2022 00:00:00 GMT</t>
  </si>
  <si>
    <t>Fri, 25 Mar 2022 00:00:00 GMT</t>
  </si>
  <si>
    <t>Thu, 24 Mar 2022 00:00:00 GMT</t>
  </si>
  <si>
    <t>Wed, 23 Mar 2022 00:00:00 GMT</t>
  </si>
  <si>
    <t>Tue, 22 Mar 2022 00:00:00 GMT</t>
  </si>
  <si>
    <t>Mon, 21 Mar 2022 00:00:00 GMT</t>
  </si>
  <si>
    <t>Fri, 18 Mar 2022 00:00:00 GMT</t>
  </si>
  <si>
    <t>Thu, 17 Mar 2022 00:00:00 GMT</t>
  </si>
  <si>
    <t>Wed, 16 Mar 2022 00:00:00 GMT</t>
  </si>
  <si>
    <t>Tue, 15 Mar 2022 00:00:00 GMT</t>
  </si>
  <si>
    <t>Mon, 14 Mar 2022 00:00:00 GMT</t>
  </si>
  <si>
    <t>Fri, 11 Mar 2022 00:00:00 GMT</t>
  </si>
  <si>
    <t>Thu, 10 Mar 2022 00:00:00 GMT</t>
  </si>
  <si>
    <t>Wed, 09 Mar 2022 00:00:00 GMT</t>
  </si>
  <si>
    <t>Tue, 08 Mar 2022 00:00:00 GMT</t>
  </si>
  <si>
    <t>Mon, 07 Mar 2022 00:00:00 GMT</t>
  </si>
  <si>
    <t>Fri, 04 Mar 2022 00:00:00 GMT</t>
  </si>
  <si>
    <t>Thu, 03 Mar 2022 00:00:00 GMT</t>
  </si>
  <si>
    <t>Wed, 02 Mar 2022 00:00:00 GMT</t>
  </si>
  <si>
    <t>Tue, 01 Mar 2022 00:00:00 GMT</t>
  </si>
  <si>
    <t>Mon, 28 Feb 2022 00:00:00 GMT</t>
  </si>
  <si>
    <t>Fri, 25 Feb 2022 00:00:00 GMT</t>
  </si>
  <si>
    <t>Thu, 24 Feb 2022 00:00:00 GMT</t>
  </si>
  <si>
    <t>Wed, 23 Feb 2022 00:00:00 GMT</t>
  </si>
  <si>
    <t>Tue, 22 Feb 2022 00:00:00 GMT</t>
  </si>
  <si>
    <t>Fri, 18 Feb 2022 00:00:00 GMT</t>
  </si>
  <si>
    <t>Thu, 17 Feb 2022 00:00:00 GMT</t>
  </si>
  <si>
    <t>Wed, 16 Feb 2022 00:00:00 GMT</t>
  </si>
  <si>
    <t>Tue, 15 Feb 2022 00:00:00 GMT</t>
  </si>
  <si>
    <t>Mon, 14 Feb 2022 00:00:00 GMT</t>
  </si>
  <si>
    <t>Fri, 11 Feb 2022 00:00:00 GMT</t>
  </si>
  <si>
    <t>Thu, 10 Feb 2022 00:00:00 GMT</t>
  </si>
  <si>
    <t>Wed, 09 Feb 2022 00:00:00 GMT</t>
  </si>
  <si>
    <t>Tue, 08 Feb 2022 00:00:00 GMT</t>
  </si>
  <si>
    <t>Mon, 07 Feb 2022 00:00:00 GMT</t>
  </si>
  <si>
    <t>Fri, 04 Feb 2022 00:00:00 GMT</t>
  </si>
  <si>
    <t>Thu, 03 Feb 2022 00:00:00 GMT</t>
  </si>
  <si>
    <t>Wed, 02 Feb 2022 00:00:00 GMT</t>
  </si>
  <si>
    <t>Tue, 01 Feb 2022 00:00:00 GMT</t>
  </si>
  <si>
    <t>Mon, 31 Jan 2022 00:00:00 GMT</t>
  </si>
  <si>
    <t>Fri, 28 Jan 2022 00:00:00 GMT</t>
  </si>
  <si>
    <t>Thu, 27 Jan 2022 00:00:00 GMT</t>
  </si>
  <si>
    <t>Wed, 26 Jan 2022 00:00:00 GMT</t>
  </si>
  <si>
    <t>Tue, 25 Jan 2022 00:00:00 GMT</t>
  </si>
  <si>
    <t>Mon, 24 Jan 2022 00:00:00 GMT</t>
  </si>
  <si>
    <t>Fri, 21 Jan 2022 00:00:00 GMT</t>
  </si>
  <si>
    <t>Thu, 20 Jan 2022 00:00:00 GMT</t>
  </si>
  <si>
    <t>Wed, 19 Jan 2022 00:00:00 GMT</t>
  </si>
  <si>
    <t>Tue, 18 Jan 2022 00:00:00 GMT</t>
  </si>
  <si>
    <t>Fri, 14 Jan 2022 00:00:00 GMT</t>
  </si>
  <si>
    <t>Thu, 13 Jan 2022 00:00:00 GMT</t>
  </si>
  <si>
    <t>Wed, 12 Jan 2022 00:00:00 GMT</t>
  </si>
  <si>
    <t>Tue, 11 Jan 2022 00:00:00 GMT</t>
  </si>
  <si>
    <t>Mon, 10 Jan 2022 00:00:00 GMT</t>
  </si>
  <si>
    <t>Fri, 07 Jan 2022 00:00:00 GMT</t>
  </si>
  <si>
    <t>Thu, 06 Jan 2022 00:00:00 GMT</t>
  </si>
  <si>
    <t>Wed, 05 Jan 2022 00:00:00 GMT</t>
  </si>
  <si>
    <t>Tue, 04 Jan 2022 00:00:00 GMT</t>
  </si>
  <si>
    <t>Mon, 03 Jan 2022 00:00:00 GMT</t>
  </si>
  <si>
    <t>Fri, 31 Dec 2021 00:00:00 GMT</t>
  </si>
  <si>
    <t>Thu, 30 Dec 2021 00:00:00 GMT</t>
  </si>
  <si>
    <t>Wed, 29 Dec 2021 00:00:00 GMT</t>
  </si>
  <si>
    <t>Tue, 28 Dec 2021 00:00:00 GMT</t>
  </si>
  <si>
    <t>Mon, 27 Dec 2021 00:00:00 GMT</t>
  </si>
  <si>
    <t>Thu, 23 Dec 2021 00:00:00 GMT</t>
  </si>
  <si>
    <t>Wed, 22 Dec 2021 00:00:00 GMT</t>
  </si>
  <si>
    <t>Tue, 21 Dec 2021 00:00:00 GMT</t>
  </si>
  <si>
    <t>Mon, 20 Dec 2021 00:00:00 GMT</t>
  </si>
  <si>
    <t>Fri, 17 Dec 2021 00:00:00 GMT</t>
  </si>
  <si>
    <t>Thu, 16 Dec 2021 00:00:00 GMT</t>
  </si>
  <si>
    <t>Wed, 15 Dec 2021 00:00:00 GMT</t>
  </si>
  <si>
    <t>Tue, 14 Dec 2021 00:00:00 GMT</t>
  </si>
  <si>
    <t>Mon, 13 Dec 2021 00:00:00 GMT</t>
  </si>
  <si>
    <t>Fri, 10 Dec 2021 00:00:00 GMT</t>
  </si>
  <si>
    <t>Thu, 09 Dec 2021 00:00:00 GMT</t>
  </si>
  <si>
    <t>Wed, 08 Dec 2021 00:00:00 GMT</t>
  </si>
  <si>
    <t>Tue, 07 Dec 2021 00:00:00 GMT</t>
  </si>
  <si>
    <t>Mon, 06 Dec 2021 00:00:00 GMT</t>
  </si>
  <si>
    <t>Fri, 03 Dec 2021 00:00:00 GMT</t>
  </si>
  <si>
    <t>Thu, 02 Dec 2021 00:00:00 GMT</t>
  </si>
  <si>
    <t>Wed, 01 Dec 2021 00:00:00 GMT</t>
  </si>
  <si>
    <t>Tue, 30 Nov 2021 00:00:00 GMT</t>
  </si>
  <si>
    <t>Mon, 29 Nov 2021 00:00:00 GMT</t>
  </si>
  <si>
    <t>Fri, 26 Nov 2021 00:00:00 GMT</t>
  </si>
  <si>
    <t>Wed, 24 Nov 2021 00:00:00 GMT</t>
  </si>
  <si>
    <t>Tue, 23 Nov 2021 00:00:00 GMT</t>
  </si>
  <si>
    <t>Mon, 22 Nov 2021 00:00:00 GMT</t>
  </si>
  <si>
    <t>Fri, 19 Nov 2021 00:00:00 GMT</t>
  </si>
  <si>
    <t>Thu, 18 Nov 2021 00:00:00 GMT</t>
  </si>
  <si>
    <t>Wed, 17 Nov 2021 00:00:00 GMT</t>
  </si>
  <si>
    <t>Tue, 16 Nov 2021 00:00:00 GMT</t>
  </si>
  <si>
    <t>Mon, 15 Nov 2021 00:00:00 GMT</t>
  </si>
  <si>
    <t>Fri, 12 Nov 2021 00:00:00 GMT</t>
  </si>
  <si>
    <t>Thu, 11 Nov 2021 00:00:00 GMT</t>
  </si>
  <si>
    <t>Wed, 10 Nov 2021 00:00:00 GMT</t>
  </si>
  <si>
    <t>Tue, 09 Nov 2021 00:00:00 GMT</t>
  </si>
  <si>
    <t>Mon, 08 Nov 2021 00:00:00 GMT</t>
  </si>
  <si>
    <t>Fri, 05 Nov 2021 00:00:00 GMT</t>
  </si>
  <si>
    <t>Thu, 04 Nov 2021 00:00:00 GMT</t>
  </si>
  <si>
    <t>Wed, 03 Nov 2021 00:00:00 GMT</t>
  </si>
  <si>
    <t>Tue, 02 Nov 2021 00:00:00 GMT</t>
  </si>
  <si>
    <t>Mon, 01 Nov 2021 00:00:00 GMT</t>
  </si>
  <si>
    <t>Fri, 29 Oct 2021 00:00:00 GMT</t>
  </si>
  <si>
    <t>Thu, 28 Oct 2021 00:00:00 GMT</t>
  </si>
  <si>
    <t>Wed, 27 Oct 2021 00:00:00 GMT</t>
  </si>
  <si>
    <t>Tue, 26 Oct 2021 00:00:00 GMT</t>
  </si>
  <si>
    <t>Mon, 25 Oct 2021 00:00:00 GMT</t>
  </si>
  <si>
    <t>Fri, 22 Oct 2021 00:00:00 GMT</t>
  </si>
  <si>
    <t>Thu, 21 Oct 2021 00:00:00 GMT</t>
  </si>
  <si>
    <t>Wed, 20 Oct 2021 00:00:00 GMT</t>
  </si>
  <si>
    <t>Tue, 19 Oct 2021 00:00:00 GMT</t>
  </si>
  <si>
    <t>Mon, 18 Oct 2021 00:00:00 GMT</t>
  </si>
  <si>
    <t>Fri, 15 Oct 2021 00:00:00 GMT</t>
  </si>
  <si>
    <t>Thu, 14 Oct 2021 00:00:00 GMT</t>
  </si>
  <si>
    <t>Wed, 13 Oct 2021 00:00:00 GMT</t>
  </si>
  <si>
    <t>Tue, 12 Oct 2021 00:00:00 GMT</t>
  </si>
  <si>
    <t>Mon, 11 Oct 2021 00:00:00 GMT</t>
  </si>
  <si>
    <t>Fri, 08 Oct 2021 00:00:00 GMT</t>
  </si>
  <si>
    <t>Thu, 07 Oct 2021 00:00:00 GMT</t>
  </si>
  <si>
    <t>Wed, 06 Oct 2021 00:00:00 GMT</t>
  </si>
  <si>
    <t>Tue, 05 Oct 2021 00:00:00 GMT</t>
  </si>
  <si>
    <t>Mon, 04 Oct 2021 00:00:00 GMT</t>
  </si>
  <si>
    <t>Fri, 01 Oct 2021 00:00:00 GMT</t>
  </si>
  <si>
    <t>Thu, 30 Sep 2021 00:00:00 GMT</t>
  </si>
  <si>
    <t>Wed, 29 Sep 2021 00:00:00 GMT</t>
  </si>
  <si>
    <t>Tue, 28 Sep 2021 00:00:00 GMT</t>
  </si>
  <si>
    <t>Mon, 27 Sep 2021 00:00:00 GMT</t>
  </si>
  <si>
    <t>Fri, 24 Sep 2021 00:00:00 GMT</t>
  </si>
  <si>
    <t>Thu, 23 Sep 2021 00:00:00 GMT</t>
  </si>
  <si>
    <t>Wed, 22 Sep 2021 00:00:00 GMT</t>
  </si>
  <si>
    <t>Tue, 21 Sep 2021 00:00:00 GMT</t>
  </si>
  <si>
    <t>Mon, 20 Sep 2021 00:00:00 GMT</t>
  </si>
  <si>
    <t>Fri, 17 Sep 2021 00:00:00 GMT</t>
  </si>
  <si>
    <t>Thu, 16 Sep 2021 00:00:00 GMT</t>
  </si>
  <si>
    <t>Wed, 15 Sep 2021 00:00:00 GMT</t>
  </si>
  <si>
    <t>Tue, 14 Sep 2021 00:00:00 GMT</t>
  </si>
  <si>
    <t>Mon, 13 Sep 2021 00:00:00 GMT</t>
  </si>
  <si>
    <t>Fri, 10 Sep 2021 00:00:00 GMT</t>
  </si>
  <si>
    <t>Thu, 09 Sep 2021 00:00:00 GMT</t>
  </si>
  <si>
    <t>Wed, 08 Sep 2021 00:00:00 GMT</t>
  </si>
  <si>
    <t>Tue, 07 Sep 2021 00:00:00 GMT</t>
  </si>
  <si>
    <t>Fri, 03 Sep 2021 00:00:00 GMT</t>
  </si>
  <si>
    <t>Thu, 02 Sep 2021 00:00:00 GMT</t>
  </si>
  <si>
    <t>Wed, 01 Sep 2021 00:00:00 GMT</t>
  </si>
  <si>
    <t>Tue, 31 Aug 2021 00:00:00 GMT</t>
  </si>
  <si>
    <t>Mon, 30 Aug 2021 00:00:00 GMT</t>
  </si>
  <si>
    <t>Fri, 27 Aug 2021 00:00:00 GMT</t>
  </si>
  <si>
    <t>Thu, 26 Aug 2021 00:00:00 GMT</t>
  </si>
  <si>
    <t>Wed, 25 Aug 2021 00:00:00 GMT</t>
  </si>
  <si>
    <t>Tue, 24 Aug 2021 00:00:00 GMT</t>
  </si>
  <si>
    <t>Mon, 23 Aug 2021 00:00:00 GMT</t>
  </si>
  <si>
    <t>Fri, 20 Aug 2021 00:00:00 GMT</t>
  </si>
  <si>
    <t>Thu, 19 Aug 2021 00:00:00 GMT</t>
  </si>
  <si>
    <t>Wed, 18 Aug 2021 00:00:00 GMT</t>
  </si>
  <si>
    <t>Tue, 17 Aug 2021 00:00:00 GMT</t>
  </si>
  <si>
    <t>Mon, 16 Aug 2021 00:00:00 GMT</t>
  </si>
  <si>
    <t>Fri, 13 Aug 2021 00:00:00 GMT</t>
  </si>
  <si>
    <t>Thu, 12 Aug 2021 00:00:00 GMT</t>
  </si>
  <si>
    <t>Wed, 11 Aug 2021 00:00:00 GMT</t>
  </si>
  <si>
    <t>Tue, 10 Aug 2021 00:00:00 GMT</t>
  </si>
  <si>
    <t>Mon, 09 Aug 2021 00:00:00 GMT</t>
  </si>
  <si>
    <t>Fri, 06 Aug 2021 00:00:00 GMT</t>
  </si>
  <si>
    <t>Thu, 05 Aug 2021 00:00:00 GMT</t>
  </si>
  <si>
    <t>Wed, 04 Aug 2021 00:00:00 GMT</t>
  </si>
  <si>
    <t>Tue, 03 Aug 2021 00:00:00 GMT</t>
  </si>
  <si>
    <t>Mon, 02 Aug 2021 00:00:00 GMT</t>
  </si>
  <si>
    <t>Fri, 30 Jul 2021 00:00:00 GMT</t>
  </si>
  <si>
    <t>Thu, 29 Jul 2021 00:00:00 GMT</t>
  </si>
  <si>
    <t>Wed, 28 Jul 2021 00:00:00 GMT</t>
  </si>
  <si>
    <t>Tue, 27 Jul 2021 00:00:00 GMT</t>
  </si>
  <si>
    <t>Mon, 26 Jul 2021 00:00:00 GMT</t>
  </si>
  <si>
    <t>Fri, 23 Jul 2021 00:00:00 GMT</t>
  </si>
  <si>
    <t>Thu, 22 Jul 2021 00:00:00 GMT</t>
  </si>
  <si>
    <t>Wed, 21 Jul 2021 00:00:00 GMT</t>
  </si>
  <si>
    <t>Tue, 20 Jul 2021 00:00:00 GMT</t>
  </si>
  <si>
    <t>Mon, 19 Jul 2021 00:00:00 GMT</t>
  </si>
  <si>
    <t>Fri, 16 Jul 2021 00:00:00 GMT</t>
  </si>
  <si>
    <t>Thu, 15 Jul 2021 00:00:00 GMT</t>
  </si>
  <si>
    <t>Wed, 14 Jul 2021 00:00:00 GMT</t>
  </si>
  <si>
    <t>Tue, 13 Jul 2021 00:00:00 GMT</t>
  </si>
  <si>
    <t>Mon, 12 Jul 2021 00:00:00 GMT</t>
  </si>
  <si>
    <t>Fri, 09 Jul 2021 00:00:00 GMT</t>
  </si>
  <si>
    <t>Thu, 08 Jul 2021 00:00:00 GMT</t>
  </si>
  <si>
    <t>Wed, 07 Jul 2021 00:00:00 GMT</t>
  </si>
  <si>
    <t>Tue, 06 Jul 2021 00:00:00 GMT</t>
  </si>
  <si>
    <t>Fri, 02 Jul 2021 00:00:00 GMT</t>
  </si>
  <si>
    <t>Thu, 01 Jul 2021 00:00:00 GMT</t>
  </si>
  <si>
    <t>Wed, 30 Jun 2021 00:00:00 GMT</t>
  </si>
  <si>
    <t>Tue, 29 Jun 2021 00:00:00 GMT</t>
  </si>
  <si>
    <t>Mon, 28 Jun 2021 00:00:00 GMT</t>
  </si>
  <si>
    <t>Fri, 25 Jun 2021 00:00:00 GMT</t>
  </si>
  <si>
    <t>Thu, 24 Jun 2021 00:00:00 GMT</t>
  </si>
  <si>
    <t>Wed, 23 Jun 2021 00:00:00 GMT</t>
  </si>
  <si>
    <t>Tue, 22 Jun 2021 00:00:00 GMT</t>
  </si>
  <si>
    <t>Mon, 21 Jun 2021 00:00:00 GMT</t>
  </si>
  <si>
    <t>Fri, 18 Jun 2021 00:00:00 GMT</t>
  </si>
  <si>
    <t>Thu, 17 Jun 2021 00:00:00 GMT</t>
  </si>
  <si>
    <t>Wed, 16 Jun 2021 00:00:00 GMT</t>
  </si>
  <si>
    <t>Tue, 15 Jun 2021 00:00:00 GMT</t>
  </si>
  <si>
    <t>Mon, 14 Jun 2021 00:00:00 GMT</t>
  </si>
  <si>
    <t>Fri, 11 Jun 2021 00:00:00 GMT</t>
  </si>
  <si>
    <t>Thu, 10 Jun 2021 00:00:00 GMT</t>
  </si>
  <si>
    <t>Wed, 09 Jun 2021 00:00:00 GMT</t>
  </si>
  <si>
    <t>Tue, 08 Jun 2021 00:00:00 GMT</t>
  </si>
  <si>
    <t>Mon, 07 Jun 2021 00:00:00 GMT</t>
  </si>
  <si>
    <t>Fri, 04 Jun 2021 00:00:00 GMT</t>
  </si>
  <si>
    <t>Thu, 03 Jun 2021 00:00:00 GMT</t>
  </si>
  <si>
    <t>Wed, 02 Jun 2021 00:00:00 GMT</t>
  </si>
  <si>
    <t>Tue, 01 Jun 2021 00:00:00 GMT</t>
  </si>
  <si>
    <t>Fri, 28 May 2021 00:00:00 GMT</t>
  </si>
  <si>
    <t>Thu, 27 May 2021 00:00:00 GMT</t>
  </si>
  <si>
    <t>Wed, 26 May 2021 00:00:00 GMT</t>
  </si>
  <si>
    <t>Tue, 25 May 2021 00:00:00 GMT</t>
  </si>
  <si>
    <t>Mon, 24 May 2021 00:00:00 GMT</t>
  </si>
  <si>
    <t>Fri, 21 May 2021 00:00:00 GMT</t>
  </si>
  <si>
    <t>Thu, 20 May 2021 00:00:00 GMT</t>
  </si>
  <si>
    <t>Wed, 19 May 2021 00:00:00 GMT</t>
  </si>
  <si>
    <t>Tue, 18 May 2021 00:00:00 GMT</t>
  </si>
  <si>
    <t>Mon, 17 May 2021 00:00:00 GMT</t>
  </si>
  <si>
    <t>Fri, 14 May 2021 00:00:00 GMT</t>
  </si>
  <si>
    <t>Thu, 13 May 2021 00:00:00 GMT</t>
  </si>
  <si>
    <t>Wed, 12 May 2021 00:00:00 GMT</t>
  </si>
  <si>
    <t>Tue, 11 May 2021 00:00:00 GMT</t>
  </si>
  <si>
    <t>Mon, 10 May 2021 00:00:00 GMT</t>
  </si>
  <si>
    <t>Fri, 07 May 2021 00:00:00 GMT</t>
  </si>
  <si>
    <t>Thu, 06 May 2021 00:00:00 GMT</t>
  </si>
  <si>
    <t>Wed, 05 May 2021 00:00:00 GMT</t>
  </si>
  <si>
    <t>Tue, 04 May 2021 00:00:00 GMT</t>
  </si>
  <si>
    <t>Mon, 03 May 2021 00:00:00 GMT</t>
  </si>
  <si>
    <t>Fri, 30 Apr 2021 00:00:00 GMT</t>
  </si>
  <si>
    <t>Thu, 29 Apr 2021 00:00:00 GMT</t>
  </si>
  <si>
    <t>Wed, 28 Apr 2021 00:00:00 GMT</t>
  </si>
  <si>
    <t>Tue, 27 Apr 2021 00:00:00 GMT</t>
  </si>
  <si>
    <t>Mon, 26 Apr 2021 00:00:00 GMT</t>
  </si>
  <si>
    <t>Fri, 23 Apr 2021 00:00:00 GMT</t>
  </si>
  <si>
    <t>Thu, 22 Apr 2021 00:00:00 GMT</t>
  </si>
  <si>
    <t>Wed, 21 Apr 2021 00:00:00 GMT</t>
  </si>
  <si>
    <t>Tue, 20 Apr 2021 00:00:00 GMT</t>
  </si>
  <si>
    <t>Mon, 19 Apr 2021 00:00:00 GMT</t>
  </si>
  <si>
    <t>Fri, 16 Apr 2021 00:00:00 GMT</t>
  </si>
  <si>
    <t>Thu, 15 Apr 2021 00:00:00 GMT</t>
  </si>
  <si>
    <t>Wed, 14 Apr 2021 00:00:00 GMT</t>
  </si>
  <si>
    <t>Tue, 13 Apr 2021 00:00:00 GMT</t>
  </si>
  <si>
    <t>Mon, 12 Apr 2021 00:00:00 GMT</t>
  </si>
  <si>
    <t>Fri, 09 Apr 2021 00:00:00 GMT</t>
  </si>
  <si>
    <t>Thu, 08 Apr 2021 00:00:00 GMT</t>
  </si>
  <si>
    <t>Wed, 07 Apr 2021 00:00:00 GMT</t>
  </si>
  <si>
    <t>Tue, 06 Apr 2021 00:00:00 GMT</t>
  </si>
  <si>
    <t>Mon, 05 Apr 2021 00:00:00 GMT</t>
  </si>
  <si>
    <t>Thu, 01 Apr 2021 00:00:00 GMT</t>
  </si>
  <si>
    <t>Wed, 31 Mar 2021 00:00:00 GMT</t>
  </si>
  <si>
    <t>Tue, 30 Mar 2021 00:00:00 GMT</t>
  </si>
  <si>
    <t>Mon, 29 Mar 2021 00:00:00 GMT</t>
  </si>
  <si>
    <t>Fri, 26 Mar 2021 00:00:00 GMT</t>
  </si>
  <si>
    <t>Thu, 25 Mar 2021 00:00:00 GMT</t>
  </si>
  <si>
    <t>Wed, 24 Mar 2021 00:00:00 GMT</t>
  </si>
  <si>
    <t>Tue, 23 Mar 2021 00:00:00 GMT</t>
  </si>
  <si>
    <t>Mon, 22 Mar 2021 00:00:00 GMT</t>
  </si>
  <si>
    <t>Fri, 19 Mar 2021 00:00:00 GMT</t>
  </si>
  <si>
    <t>Thu, 18 Mar 2021 00:00:00 GMT</t>
  </si>
  <si>
    <t>Wed, 17 Mar 2021 00:00:00 GMT</t>
  </si>
  <si>
    <t>Tue, 16 Mar 2021 00:00:00 GMT</t>
  </si>
  <si>
    <t>Mon, 15 Mar 2021 00:00:00 GMT</t>
  </si>
  <si>
    <t>Fri, 12 Mar 2021 00:00:00 GMT</t>
  </si>
  <si>
    <t>Thu, 11 Mar 2021 00:00:00 GMT</t>
  </si>
  <si>
    <t>Wed, 10 Mar 2021 00:00:00 GMT</t>
  </si>
  <si>
    <t>Tue, 09 Mar 2021 00:00:00 GMT</t>
  </si>
  <si>
    <t>Mon, 08 Mar 2021 00:00:00 GMT</t>
  </si>
  <si>
    <t>Fri, 05 Mar 2021 00:00:00 GMT</t>
  </si>
  <si>
    <t>Thu, 04 Mar 2021 00:00:00 GMT</t>
  </si>
  <si>
    <t>Wed, 03 Mar 2021 00:00:00 GMT</t>
  </si>
  <si>
    <t>Tue, 02 Mar 2021 00:00:00 GMT</t>
  </si>
  <si>
    <t>Mon, 01 Mar 2021 00:00:00 GMT</t>
  </si>
  <si>
    <t>Fri, 26 Feb 2021 00:00:00 GMT</t>
  </si>
  <si>
    <t>Thu, 25 Feb 2021 00:00:00 GMT</t>
  </si>
  <si>
    <t>Wed, 24 Feb 2021 00:00:00 GMT</t>
  </si>
  <si>
    <t>Tue, 23 Feb 2021 00:00:00 GMT</t>
  </si>
  <si>
    <t>Mon, 22 Feb 2021 00:00:00 GMT</t>
  </si>
  <si>
    <t>Fri, 19 Feb 2021 00:00:00 GMT</t>
  </si>
  <si>
    <t>Thu, 18 Feb 2021 00:00:00 GMT</t>
  </si>
  <si>
    <t>Wed, 17 Feb 2021 00:00:00 GMT</t>
  </si>
  <si>
    <t>Tue, 16 Feb 2021 00:00:00 GMT</t>
  </si>
  <si>
    <t>Fri, 12 Feb 2021 00:00:00 GMT</t>
  </si>
  <si>
    <t>Thu, 11 Feb 2021 00:00:00 GMT</t>
  </si>
  <si>
    <t>Wed, 10 Feb 2021 00:00:00 GMT</t>
  </si>
  <si>
    <t>Tue, 09 Feb 2021 00:00:00 GMT</t>
  </si>
  <si>
    <t>Mon, 08 Feb 2021 00:00:00 GMT</t>
  </si>
  <si>
    <t>Fri, 05 Feb 2021 00:00:00 GMT</t>
  </si>
  <si>
    <t>Thu, 04 Feb 2021 00:00:00 GMT</t>
  </si>
  <si>
    <t>Wed, 03 Feb 2021 00:00:00 GMT</t>
  </si>
  <si>
    <t>Tue, 02 Feb 2021 00:00:00 GMT</t>
  </si>
  <si>
    <t>Mon, 01 Feb 2021 00:00:00 GMT</t>
  </si>
  <si>
    <t>Fri, 29 Jan 2021 00:00:00 GMT</t>
  </si>
  <si>
    <t>Thu, 28 Jan 2021 00:00:00 GMT</t>
  </si>
  <si>
    <t>Wed, 27 Jan 2021 00:00:00 GMT</t>
  </si>
  <si>
    <t>Tue, 26 Jan 2021 00:00:00 GMT</t>
  </si>
  <si>
    <t>Mon, 25 Jan 2021 00:00:00 GMT</t>
  </si>
  <si>
    <t>Fri, 22 Jan 2021 00:00:00 GMT</t>
  </si>
  <si>
    <t>Thu, 21 Jan 2021 00:00:00 GMT</t>
  </si>
  <si>
    <t>Wed, 20 Jan 2021 00:00:00 GMT</t>
  </si>
  <si>
    <t>Tue, 19 Jan 2021 00:00:00 GMT</t>
  </si>
  <si>
    <t>Fri, 15 Jan 2021 00:00:00 GMT</t>
  </si>
  <si>
    <t>Thu, 14 Jan 2021 00:00:00 GMT</t>
  </si>
  <si>
    <t>Wed, 13 Jan 2021 00:00:00 GMT</t>
  </si>
  <si>
    <t>Tue, 12 Jan 2021 00:00:00 GMT</t>
  </si>
  <si>
    <t>Mon, 11 Jan 2021 00:00:00 GMT</t>
  </si>
  <si>
    <t>Fri, 08 Jan 2021 00:00:00 GMT</t>
  </si>
  <si>
    <t>Thu, 07 Jan 2021 00:00:00 GMT</t>
  </si>
  <si>
    <t>Wed, 06 Jan 2021 00:00:00 GMT</t>
  </si>
  <si>
    <t>Tue, 05 Jan 2021 00:00:00 GMT</t>
  </si>
  <si>
    <t>Mon, 04 Jan 2021 00:00:00 GMT</t>
  </si>
  <si>
    <t>Thu, 31 Dec 2020 00:00:00 GMT</t>
  </si>
  <si>
    <t>Wed, 30 Dec 2020 00:00:00 GMT</t>
  </si>
  <si>
    <t>Tue, 29 Dec 2020 00:00:00 GMT</t>
  </si>
  <si>
    <t>Mon, 28 Dec 2020 00:00:00 GMT</t>
  </si>
  <si>
    <t>Thu, 24 Dec 2020 00:00:00 GMT</t>
  </si>
  <si>
    <t>Wed, 23 Dec 2020 00:00:00 GMT</t>
  </si>
  <si>
    <t>Tue, 22 Dec 2020 00:00:00 GMT</t>
  </si>
  <si>
    <t>Mon, 21 Dec 2020 00:00:00 GMT</t>
  </si>
  <si>
    <t>Fri, 18 Dec 2020 00:00:00 GMT</t>
  </si>
  <si>
    <t>Thu, 17 Dec 2020 00:00:00 GMT</t>
  </si>
  <si>
    <t>Wed, 16 Dec 2020 00:00:00 GMT</t>
  </si>
  <si>
    <t>Tue, 15 Dec 2020 00:00:00 GMT</t>
  </si>
  <si>
    <t>Mon, 14 Dec 2020 00:00:00 GMT</t>
  </si>
  <si>
    <t>Fri, 11 Dec 2020 00:00:00 GMT</t>
  </si>
  <si>
    <t>Thu, 10 Dec 2020 00:00:00 GMT</t>
  </si>
  <si>
    <t>Wed, 09 Dec 2020 00:00:00 GMT</t>
  </si>
  <si>
    <t>Tue, 08 Dec 2020 00:00:00 GMT</t>
  </si>
  <si>
    <t>Mon, 07 Dec 2020 00:00:00 GMT</t>
  </si>
  <si>
    <t>Fri, 04 Dec 2020 00:00:00 GMT</t>
  </si>
  <si>
    <t>Thu, 03 Dec 2020 00:00:00 GMT</t>
  </si>
  <si>
    <t>Wed, 02 Dec 2020 00:00:00 GMT</t>
  </si>
  <si>
    <t>Tue, 01 Dec 2020 00:00:00 GMT</t>
  </si>
  <si>
    <t>Mon, 30 Nov 2020 00:00:00 GMT</t>
  </si>
  <si>
    <t>Fri, 27 Nov 2020 00:00:00 GMT</t>
  </si>
  <si>
    <t>Wed, 25 Nov 2020 00:00:00 GMT</t>
  </si>
  <si>
    <t>Tue, 24 Nov 2020 00:00:00 GMT</t>
  </si>
  <si>
    <t>Mon, 23 Nov 2020 00:00:00 GMT</t>
  </si>
  <si>
    <t>Fri, 20 Nov 2020 00:00:00 GMT</t>
  </si>
  <si>
    <t>Thu, 19 Nov 2020 00:00:00 GMT</t>
  </si>
  <si>
    <t>Wed, 18 Nov 2020 00:00:00 GMT</t>
  </si>
  <si>
    <t>Tue, 17 Nov 2020 00:00:00 GMT</t>
  </si>
  <si>
    <t>Mon, 16 Nov 2020 00:00:00 GMT</t>
  </si>
  <si>
    <t>Fri, 13 Nov 2020 00:00:00 GMT</t>
  </si>
  <si>
    <t>Thu, 12 Nov 2020 00:00:00 GMT</t>
  </si>
  <si>
    <t>Wed, 11 Nov 2020 00:00:00 GMT</t>
  </si>
  <si>
    <t>Tue, 10 Nov 2020 00:00:00 GMT</t>
  </si>
  <si>
    <t>Mon, 09 Nov 2020 00:00:00 GMT</t>
  </si>
  <si>
    <t>Fri, 06 Nov 2020 00:00:00 GMT</t>
  </si>
  <si>
    <t>Thu, 05 Nov 2020 00:00:00 GMT</t>
  </si>
  <si>
    <t>Wed, 04 Nov 2020 00:00:00 GMT</t>
  </si>
  <si>
    <t>Tue, 03 Nov 2020 00:00:00 GMT</t>
  </si>
  <si>
    <t>Mon, 02 Nov 2020 00:00:00 GMT</t>
  </si>
  <si>
    <t>Fri, 30 Oct 2020 00:00:00 GMT</t>
  </si>
  <si>
    <t>Thu, 29 Oct 2020 00:00:00 GMT</t>
  </si>
  <si>
    <t>Wed, 28 Oct 2020 00:00:00 GMT</t>
  </si>
  <si>
    <t>Tue, 27 Oct 2020 00:00:00 GMT</t>
  </si>
  <si>
    <t>Mon, 26 Oct 2020 00:00:00 GMT</t>
  </si>
  <si>
    <t>Fri, 23 Oct 2020 00:00:00 GMT</t>
  </si>
  <si>
    <t>Thu, 22 Oct 2020 00:00:00 GMT</t>
  </si>
  <si>
    <t>Wed, 21 Oct 2020 00:00:00 GMT</t>
  </si>
  <si>
    <t>Tue, 20 Oct 2020 00:00:00 GMT</t>
  </si>
  <si>
    <t>Mon, 19 Oct 2020 00:00:00 GMT</t>
  </si>
  <si>
    <t>Fri, 16 Oct 2020 00:00:00 GMT</t>
  </si>
  <si>
    <t>Thu, 15 Oct 2020 00:00:00 GMT</t>
  </si>
  <si>
    <t>Wed, 14 Oct 2020 00:00:00 GMT</t>
  </si>
  <si>
    <t>Tue, 13 Oct 2020 00:00:00 GMT</t>
  </si>
  <si>
    <t>Mon, 12 Oct 2020 00:00:00 GMT</t>
  </si>
  <si>
    <t>Fri, 09 Oct 2020 00:00:00 GMT</t>
  </si>
  <si>
    <t>Thu, 08 Oct 2020 00:00:00 GMT</t>
  </si>
  <si>
    <t>Wed, 07 Oct 2020 00:00:00 GMT</t>
  </si>
  <si>
    <t>Tue, 06 Oct 2020 00:00:00 GMT</t>
  </si>
  <si>
    <t>Mon, 05 Oct 2020 00:00:00 GMT</t>
  </si>
  <si>
    <t>Fri, 02 Oct 2020 00:00:00 GMT</t>
  </si>
  <si>
    <t>Thu, 01 Oct 2020 00:00:00 GMT</t>
  </si>
  <si>
    <t>Wed, 30 Sep 2020 00:00:00 GMT</t>
  </si>
  <si>
    <t>Tue, 29 Sep 2020 00:00:00 GMT</t>
  </si>
  <si>
    <t>Mon, 28 Sep 2020 00:00:00 GMT</t>
  </si>
  <si>
    <t>Fri, 25 Sep 2020 00:00:00 GMT</t>
  </si>
  <si>
    <t>Thu, 24 Sep 2020 00:00:00 GMT</t>
  </si>
  <si>
    <t>Wed, 23 Sep 2020 00:00:00 GMT</t>
  </si>
  <si>
    <t>Tue, 22 Sep 2020 00:00:00 GMT</t>
  </si>
  <si>
    <t>Mon, 21 Sep 2020 00:00:00 GMT</t>
  </si>
  <si>
    <t>Fri, 18 Sep 2020 00:00:00 GMT</t>
  </si>
  <si>
    <t>Thu, 17 Sep 2020 00:00:00 GMT</t>
  </si>
  <si>
    <t>Wed, 16 Sep 2020 00:00:00 GMT</t>
  </si>
  <si>
    <t>Tue, 15 Sep 2020 00:00:00 GMT</t>
  </si>
  <si>
    <t>Mon, 14 Sep 2020 00:00:00 GMT</t>
  </si>
  <si>
    <t>Fri, 11 Sep 2020 00:00:00 GMT</t>
  </si>
  <si>
    <t>Thu, 10 Sep 2020 00:00:00 GMT</t>
  </si>
  <si>
    <t>Wed, 09 Sep 2020 00:00:00 GMT</t>
  </si>
  <si>
    <t>Tue, 08 Sep 2020 00:00:00 GMT</t>
  </si>
  <si>
    <t>Fri, 04 Sep 2020 00:00:00 GMT</t>
  </si>
  <si>
    <t>Thu, 03 Sep 2020 00:00:00 GMT</t>
  </si>
  <si>
    <t>Wed, 02 Sep 2020 00:00:00 GMT</t>
  </si>
  <si>
    <t>Tue, 01 Sep 2020 00:00:00 GMT</t>
  </si>
  <si>
    <t>Mon, 31 Aug 2020 00:00:00 GMT</t>
  </si>
  <si>
    <t>Fri, 28 Aug 2020 00:00:00 GMT</t>
  </si>
  <si>
    <t>Thu, 27 Aug 2020 00:00:00 GMT</t>
  </si>
  <si>
    <t>Wed, 26 Aug 2020 00:00:00 GMT</t>
  </si>
  <si>
    <t>Tue, 25 Aug 2020 00:00:00 GMT</t>
  </si>
  <si>
    <t>Mon, 24 Aug 2020 00:00:00 GMT</t>
  </si>
  <si>
    <t>Fri, 21 Aug 2020 00:00:00 GMT</t>
  </si>
  <si>
    <t>Thu, 20 Aug 2020 00:00:00 GMT</t>
  </si>
  <si>
    <t>Wed, 19 Aug 2020 00:00:00 GMT</t>
  </si>
  <si>
    <t>Tue, 18 Aug 2020 00:00:00 GMT</t>
  </si>
  <si>
    <t>Mon, 17 Aug 2020 00:00:00 GMT</t>
  </si>
  <si>
    <t>Fri, 14 Aug 2020 00:00:00 GMT</t>
  </si>
  <si>
    <t>Thu, 13 Aug 2020 00:00:00 GMT</t>
  </si>
  <si>
    <t>Wed, 12 Aug 2020 00:00:00 GMT</t>
  </si>
  <si>
    <t>Tue, 11 Aug 2020 00:00:00 GMT</t>
  </si>
  <si>
    <t>Mon, 10 Aug 2020 00:00:00 GMT</t>
  </si>
  <si>
    <t>Fri, 07 Aug 2020 00:00:00 GMT</t>
  </si>
  <si>
    <t>Thu, 06 Aug 2020 00:00:00 GMT</t>
  </si>
  <si>
    <t>Wed, 05 Aug 2020 00:00:00 GMT</t>
  </si>
  <si>
    <t>Tue, 04 Aug 2020 00:00:00 GMT</t>
  </si>
  <si>
    <t>Mon, 03 Aug 2020 00:00:00 GMT</t>
  </si>
  <si>
    <t>Fri, 31 Jul 2020 00:00:00 GMT</t>
  </si>
  <si>
    <t>Thu, 30 Jul 2020 00:00:00 GMT</t>
  </si>
  <si>
    <t>Wed, 29 Jul 2020 00:00:00 GMT</t>
  </si>
  <si>
    <t>Tue, 28 Jul 2020 00:00:00 GMT</t>
  </si>
  <si>
    <t>Mon, 27 Jul 2020 00:00:00 GMT</t>
  </si>
  <si>
    <t>Fri, 24 Jul 2020 00:00:00 GMT</t>
  </si>
  <si>
    <t>Thu, 23 Jul 2020 00:00:00 GMT</t>
  </si>
  <si>
    <t>Wed, 22 Jul 2020 00:00:00 GMT</t>
  </si>
  <si>
    <t>Tue, 21 Jul 2020 00:00:00 GMT</t>
  </si>
  <si>
    <t>Mon, 20 Jul 2020 00:00:00 GMT</t>
  </si>
  <si>
    <t>Fri, 17 Jul 2020 00:00:00 GMT</t>
  </si>
  <si>
    <t>Thu, 16 Jul 2020 00:00:00 GMT</t>
  </si>
  <si>
    <t>Wed, 15 Jul 2020 00:00:00 GMT</t>
  </si>
  <si>
    <t>Tue, 14 Jul 2020 00:00:00 GMT</t>
  </si>
  <si>
    <t>Mon, 13 Jul 2020 00:00:00 GMT</t>
  </si>
  <si>
    <t>Fri, 10 Jul 2020 00:00:00 GMT</t>
  </si>
  <si>
    <t>Thu, 09 Jul 2020 00:00:00 GMT</t>
  </si>
  <si>
    <t>Wed, 08 Jul 2020 00:00:00 GMT</t>
  </si>
  <si>
    <t>Tue, 07 Jul 2020 00:00:00 GMT</t>
  </si>
  <si>
    <t>Mon, 06 Jul 2020 00:00:00 GMT</t>
  </si>
  <si>
    <t>Thu, 02 Jul 2020 00:00:00 GMT</t>
  </si>
  <si>
    <t>Wed, 01 Jul 2020 00:00:00 GMT</t>
  </si>
  <si>
    <t>Tue, 30 Jun 2020 00:00:00 GMT</t>
  </si>
  <si>
    <t>Mon, 29 Jun 2020 00:00:00 GMT</t>
  </si>
  <si>
    <t>Fri, 26 Jun 2020 00:00:00 GMT</t>
  </si>
  <si>
    <t>Thu, 25 Jun 2020 00:00:00 GMT</t>
  </si>
  <si>
    <t>Wed, 24 Jun 2020 00:00:00 GMT</t>
  </si>
  <si>
    <t>Tue, 23 Jun 2020 00:00:00 GMT</t>
  </si>
  <si>
    <t>Mon, 22 Jun 2020 00:00:00 GMT</t>
  </si>
  <si>
    <t>Fri, 19 Jun 2020 00:00:00 GMT</t>
  </si>
  <si>
    <t>Thu, 18 Jun 2020 00:00:00 GMT</t>
  </si>
  <si>
    <t>Wed, 17 Jun 2020 00:00:00 GMT</t>
  </si>
  <si>
    <t>Tue, 16 Jun 2020 00:00:00 GMT</t>
  </si>
  <si>
    <t>Mon, 15 Jun 2020 00:00:00 GMT</t>
  </si>
  <si>
    <t>Fri, 12 Jun 2020 00:00:00 GMT</t>
  </si>
  <si>
    <t>1257 Trading Days (From: 6/12/20 - 6/12/25)</t>
  </si>
  <si>
    <t>Institutional Ownership Snapshot (6/15/2025)</t>
  </si>
  <si>
    <t>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</si>
</sst>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e"/>
    </font>
    <font>
      <b/>
      <sz val="11"/>
      <color theme="1"/>
      <name val="Calibre"/>
    </font>
    <font>
      <b/>
      <sz val="11"/>
      <color theme="0"/>
      <name val="Calibre"/>
    </font>
    <font>
      <sz val="11"/>
      <color theme="0"/>
      <name val="Calibre"/>
    </font>
    <font>
      <b/>
      <sz val="10"/>
      <name val="Arial"/>
      <family val="2"/>
    </font>
    <font>
      <i/>
      <sz val="11"/>
      <color theme="1"/>
      <name val="Calibre"/>
    </font>
    <font>
      <b/>
      <sz val="10"/>
      <name val="Calibre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e"/>
    </font>
    <font>
      <b/>
      <sz val="11"/>
      <color rgb="FF0070C0"/>
      <name val="Calibre"/>
    </font>
    <font>
      <sz val="11"/>
      <color rgb="FF0070C0"/>
      <name val="Calibre"/>
    </font>
    <font>
      <sz val="11"/>
      <name val="Calibre"/>
    </font>
    <font>
      <u/>
      <sz val="11"/>
      <color theme="10"/>
      <name val="Calibri"/>
      <family val="2"/>
      <scheme val="minor"/>
    </font>
    <font>
      <u/>
      <sz val="11"/>
      <color rgb="FF00B0F0"/>
      <name val="Calibre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5F5F5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10" fontId="2" fillId="4" borderId="6" xfId="0" applyNumberFormat="1" applyFont="1" applyFill="1" applyBorder="1"/>
    <xf numFmtId="10" fontId="2" fillId="4" borderId="7" xfId="0" applyNumberFormat="1" applyFont="1" applyFill="1" applyBorder="1"/>
    <xf numFmtId="0" fontId="4" fillId="3" borderId="8" xfId="0" applyFont="1" applyFill="1" applyBorder="1" applyAlignment="1">
      <alignment horizontal="left"/>
    </xf>
    <xf numFmtId="0" fontId="5" fillId="3" borderId="0" xfId="0" applyFont="1" applyFill="1" applyAlignment="1">
      <alignment horizontal="center"/>
    </xf>
    <xf numFmtId="0" fontId="5" fillId="3" borderId="9" xfId="0" applyFont="1" applyFill="1" applyBorder="1" applyAlignment="1">
      <alignment horizontal="center"/>
    </xf>
    <xf numFmtId="10" fontId="2" fillId="0" borderId="10" xfId="0" applyNumberFormat="1" applyFont="1" applyBorder="1"/>
    <xf numFmtId="10" fontId="2" fillId="0" borderId="11" xfId="0" applyNumberFormat="1" applyFont="1" applyBorder="1"/>
    <xf numFmtId="10" fontId="2" fillId="4" borderId="10" xfId="0" applyNumberFormat="1" applyFont="1" applyFill="1" applyBorder="1"/>
    <xf numFmtId="10" fontId="2" fillId="4" borderId="11" xfId="0" applyNumberFormat="1" applyFont="1" applyFill="1" applyBorder="1"/>
    <xf numFmtId="0" fontId="4" fillId="3" borderId="12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10" fontId="2" fillId="0" borderId="15" xfId="0" applyNumberFormat="1" applyFont="1" applyBorder="1"/>
    <xf numFmtId="10" fontId="2" fillId="0" borderId="16" xfId="0" applyNumberFormat="1" applyFont="1" applyBorder="1"/>
    <xf numFmtId="0" fontId="6" fillId="5" borderId="0" xfId="0" applyFont="1" applyFill="1" applyAlignment="1">
      <alignment horizontal="center" vertical="center"/>
    </xf>
    <xf numFmtId="10" fontId="2" fillId="0" borderId="0" xfId="0" applyNumberFormat="1" applyFont="1"/>
    <xf numFmtId="0" fontId="8" fillId="5" borderId="0" xfId="0" applyFont="1" applyFill="1" applyAlignment="1">
      <alignment horizontal="center" vertical="center"/>
    </xf>
    <xf numFmtId="10" fontId="8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right" vertical="center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left"/>
    </xf>
    <xf numFmtId="0" fontId="9" fillId="0" borderId="17" xfId="0" applyFont="1" applyBorder="1" applyAlignment="1">
      <alignment horizontal="center"/>
    </xf>
    <xf numFmtId="0" fontId="9" fillId="0" borderId="17" xfId="0" applyFont="1" applyBorder="1" applyAlignment="1">
      <alignment horizontal="left"/>
    </xf>
    <xf numFmtId="0" fontId="9" fillId="0" borderId="17" xfId="0" applyFont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/>
    <xf numFmtId="0" fontId="14" fillId="0" borderId="0" xfId="0" applyFont="1" applyAlignment="1">
      <alignment horizontal="left"/>
    </xf>
    <xf numFmtId="2" fontId="2" fillId="0" borderId="0" xfId="1" quotePrefix="1" applyNumberFormat="1" applyFont="1"/>
    <xf numFmtId="2" fontId="2" fillId="0" borderId="0" xfId="0" applyNumberFormat="1" applyFont="1"/>
    <xf numFmtId="2" fontId="2" fillId="0" borderId="0" xfId="0" quotePrefix="1" applyNumberFormat="1" applyFont="1"/>
    <xf numFmtId="0" fontId="2" fillId="0" borderId="0" xfId="1" applyNumberFormat="1" applyFont="1"/>
    <xf numFmtId="49" fontId="2" fillId="0" borderId="0" xfId="0" applyNumberFormat="1" applyFont="1"/>
    <xf numFmtId="44" fontId="2" fillId="0" borderId="0" xfId="0" applyNumberFormat="1" applyFont="1" applyAlignment="1">
      <alignment horizontal="right" indent="1"/>
    </xf>
    <xf numFmtId="1" fontId="2" fillId="0" borderId="0" xfId="0" applyNumberFormat="1" applyFont="1" applyAlignment="1">
      <alignment horizontal="left" indent="5"/>
    </xf>
    <xf numFmtId="164" fontId="2" fillId="0" borderId="0" xfId="2" applyNumberFormat="1" applyFont="1" applyAlignment="1">
      <alignment horizontal="right" indent="1"/>
    </xf>
    <xf numFmtId="164" fontId="2" fillId="0" borderId="0" xfId="0" applyNumberFormat="1" applyFont="1" applyAlignment="1">
      <alignment horizontal="right" indent="1"/>
    </xf>
    <xf numFmtId="0" fontId="16" fillId="0" borderId="0" xfId="3" applyFont="1"/>
    <xf numFmtId="0" fontId="17" fillId="0" borderId="0" xfId="0" applyFont="1"/>
    <xf numFmtId="10" fontId="2" fillId="0" borderId="0" xfId="1" applyNumberFormat="1" applyFont="1"/>
  </cellXfs>
  <cellStyles count="4">
    <cellStyle name="Currency" xfId="2" builtinId="4"/>
    <cellStyle name="Hyperlink" xfId="3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(Ticker) Revenue by Segment (in $ millions)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109587501048507E-2"/>
          <c:y val="0.16630261573867286"/>
          <c:w val="0.91646860416323306"/>
          <c:h val="0.7491790349545042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[1]Model!$B$6</c:f>
              <c:strCache>
                <c:ptCount val="1"/>
                <c:pt idx="0">
                  <c:v>Medical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0">
                  <c:v>Q1 2020</c:v>
                </c:pt>
                <c:pt idx="2">
                  <c:v>Q1 2021</c:v>
                </c:pt>
                <c:pt idx="4">
                  <c:v>Q1 2021</c:v>
                </c:pt>
                <c:pt idx="6">
                  <c:v>Q1 2022</c:v>
                </c:pt>
                <c:pt idx="8">
                  <c:v>Q1 2022</c:v>
                </c:pt>
                <c:pt idx="10">
                  <c:v>Q1 2023</c:v>
                </c:pt>
                <c:pt idx="12">
                  <c:v>Q1 2023</c:v>
                </c:pt>
                <c:pt idx="14">
                  <c:v>Q1 2024</c:v>
                </c:pt>
                <c:pt idx="16">
                  <c:v>Q1 2024</c:v>
                </c:pt>
                <c:pt idx="18">
                  <c:v>Q1 2025</c:v>
                </c:pt>
                <c:pt idx="20">
                  <c:v>Q1 2025</c:v>
                </c:pt>
              </c:strCache>
            </c:strRef>
          </c:cat>
          <c:val>
            <c:numRef>
              <c:f>[1]Model!$AW$6:$BQ$6</c:f>
              <c:numCache>
                <c:formatCode>General</c:formatCode>
                <c:ptCount val="21"/>
                <c:pt idx="0">
                  <c:v>600</c:v>
                </c:pt>
                <c:pt idx="1">
                  <c:v>705</c:v>
                </c:pt>
                <c:pt idx="2">
                  <c:v>622</c:v>
                </c:pt>
                <c:pt idx="3">
                  <c:v>640</c:v>
                </c:pt>
                <c:pt idx="4">
                  <c:v>636</c:v>
                </c:pt>
                <c:pt idx="5">
                  <c:v>709</c:v>
                </c:pt>
                <c:pt idx="6">
                  <c:v>664</c:v>
                </c:pt>
                <c:pt idx="7">
                  <c:v>666</c:v>
                </c:pt>
                <c:pt idx="8">
                  <c:v>765</c:v>
                </c:pt>
                <c:pt idx="9">
                  <c:v>936</c:v>
                </c:pt>
                <c:pt idx="10">
                  <c:v>778</c:v>
                </c:pt>
                <c:pt idx="11">
                  <c:v>841</c:v>
                </c:pt>
                <c:pt idx="12">
                  <c:v>798</c:v>
                </c:pt>
                <c:pt idx="13">
                  <c:v>1042</c:v>
                </c:pt>
                <c:pt idx="14">
                  <c:v>864</c:v>
                </c:pt>
                <c:pt idx="15">
                  <c:v>908</c:v>
                </c:pt>
                <c:pt idx="16">
                  <c:v>938</c:v>
                </c:pt>
                <c:pt idx="17">
                  <c:v>1142</c:v>
                </c:pt>
                <c:pt idx="18">
                  <c:v>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3E-43B3-B662-D76C6E829219}"/>
            </c:ext>
          </c:extLst>
        </c:ser>
        <c:ser>
          <c:idx val="1"/>
          <c:order val="1"/>
          <c:tx>
            <c:strRef>
              <c:f>[1]Model!$B$12</c:f>
              <c:strCache>
                <c:ptCount val="1"/>
                <c:pt idx="0">
                  <c:v>Trauma and Extremities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0">
                  <c:v>Q1 2020</c:v>
                </c:pt>
                <c:pt idx="2">
                  <c:v>Q1 2021</c:v>
                </c:pt>
                <c:pt idx="4">
                  <c:v>Q1 2021</c:v>
                </c:pt>
                <c:pt idx="6">
                  <c:v>Q1 2022</c:v>
                </c:pt>
                <c:pt idx="8">
                  <c:v>Q1 2022</c:v>
                </c:pt>
                <c:pt idx="10">
                  <c:v>Q1 2023</c:v>
                </c:pt>
                <c:pt idx="12">
                  <c:v>Q1 2023</c:v>
                </c:pt>
                <c:pt idx="14">
                  <c:v>Q1 2024</c:v>
                </c:pt>
                <c:pt idx="16">
                  <c:v>Q1 2024</c:v>
                </c:pt>
                <c:pt idx="18">
                  <c:v>Q1 2025</c:v>
                </c:pt>
                <c:pt idx="20">
                  <c:v>Q1 2025</c:v>
                </c:pt>
              </c:strCache>
            </c:strRef>
          </c:cat>
          <c:val>
            <c:numRef>
              <c:f>[1]Model!$AW$12:$BQ$12</c:f>
              <c:numCache>
                <c:formatCode>General</c:formatCode>
                <c:ptCount val="21"/>
                <c:pt idx="0">
                  <c:v>430</c:v>
                </c:pt>
                <c:pt idx="1">
                  <c:v>570</c:v>
                </c:pt>
                <c:pt idx="2">
                  <c:v>640</c:v>
                </c:pt>
                <c:pt idx="3">
                  <c:v>674</c:v>
                </c:pt>
                <c:pt idx="4">
                  <c:v>639</c:v>
                </c:pt>
                <c:pt idx="5">
                  <c:v>711</c:v>
                </c:pt>
                <c:pt idx="6">
                  <c:v>685</c:v>
                </c:pt>
                <c:pt idx="7">
                  <c:v>676</c:v>
                </c:pt>
                <c:pt idx="8">
                  <c:v>672</c:v>
                </c:pt>
                <c:pt idx="9">
                  <c:v>774</c:v>
                </c:pt>
                <c:pt idx="10">
                  <c:v>769</c:v>
                </c:pt>
                <c:pt idx="11">
                  <c:v>766</c:v>
                </c:pt>
                <c:pt idx="12">
                  <c:v>752</c:v>
                </c:pt>
                <c:pt idx="13">
                  <c:v>860</c:v>
                </c:pt>
                <c:pt idx="14">
                  <c:v>830</c:v>
                </c:pt>
                <c:pt idx="15">
                  <c:v>832</c:v>
                </c:pt>
                <c:pt idx="16">
                  <c:v>849</c:v>
                </c:pt>
                <c:pt idx="17">
                  <c:v>996</c:v>
                </c:pt>
                <c:pt idx="18">
                  <c:v>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3E-43B3-B662-D76C6E829219}"/>
            </c:ext>
          </c:extLst>
        </c:ser>
        <c:ser>
          <c:idx val="2"/>
          <c:order val="2"/>
          <c:tx>
            <c:strRef>
              <c:f>[1]Model!$B$5</c:f>
              <c:strCache>
                <c:ptCount val="1"/>
                <c:pt idx="0">
                  <c:v>Endoscopy</c:v>
                </c:pt>
              </c:strCache>
            </c:strRef>
          </c:tx>
          <c:spPr>
            <a:solidFill>
              <a:srgbClr val="5881CC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0">
                  <c:v>Q1 2020</c:v>
                </c:pt>
                <c:pt idx="2">
                  <c:v>Q1 2021</c:v>
                </c:pt>
                <c:pt idx="4">
                  <c:v>Q1 2021</c:v>
                </c:pt>
                <c:pt idx="6">
                  <c:v>Q1 2022</c:v>
                </c:pt>
                <c:pt idx="8">
                  <c:v>Q1 2022</c:v>
                </c:pt>
                <c:pt idx="10">
                  <c:v>Q1 2023</c:v>
                </c:pt>
                <c:pt idx="12">
                  <c:v>Q1 2023</c:v>
                </c:pt>
                <c:pt idx="14">
                  <c:v>Q1 2024</c:v>
                </c:pt>
                <c:pt idx="16">
                  <c:v>Q1 2024</c:v>
                </c:pt>
                <c:pt idx="18">
                  <c:v>Q1 2025</c:v>
                </c:pt>
                <c:pt idx="20">
                  <c:v>Q1 2025</c:v>
                </c:pt>
              </c:strCache>
            </c:strRef>
          </c:cat>
          <c:val>
            <c:numRef>
              <c:f>[1]Model!$AW$5:$BQ$5</c:f>
              <c:numCache>
                <c:formatCode>General</c:formatCode>
                <c:ptCount val="21"/>
                <c:pt idx="0">
                  <c:v>467</c:v>
                </c:pt>
                <c:pt idx="1">
                  <c:v>525</c:v>
                </c:pt>
                <c:pt idx="2">
                  <c:v>469</c:v>
                </c:pt>
                <c:pt idx="3">
                  <c:v>518</c:v>
                </c:pt>
                <c:pt idx="4">
                  <c:v>525</c:v>
                </c:pt>
                <c:pt idx="5">
                  <c:v>629</c:v>
                </c:pt>
                <c:pt idx="6">
                  <c:v>538</c:v>
                </c:pt>
                <c:pt idx="7">
                  <c:v>600</c:v>
                </c:pt>
                <c:pt idx="8">
                  <c:v>590</c:v>
                </c:pt>
                <c:pt idx="9">
                  <c:v>997</c:v>
                </c:pt>
                <c:pt idx="10">
                  <c:v>707</c:v>
                </c:pt>
                <c:pt idx="11">
                  <c:v>713</c:v>
                </c:pt>
                <c:pt idx="12">
                  <c:v>746</c:v>
                </c:pt>
                <c:pt idx="13">
                  <c:v>902</c:v>
                </c:pt>
                <c:pt idx="14">
                  <c:v>778</c:v>
                </c:pt>
                <c:pt idx="15">
                  <c:v>768</c:v>
                </c:pt>
                <c:pt idx="16">
                  <c:v>837</c:v>
                </c:pt>
                <c:pt idx="17">
                  <c:v>1006</c:v>
                </c:pt>
                <c:pt idx="18">
                  <c:v>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3E-43B3-B662-D76C6E829219}"/>
            </c:ext>
          </c:extLst>
        </c:ser>
        <c:ser>
          <c:idx val="3"/>
          <c:order val="3"/>
          <c:tx>
            <c:strRef>
              <c:f>[1]Model!$B$4</c:f>
              <c:strCache>
                <c:ptCount val="1"/>
                <c:pt idx="0">
                  <c:v>Instruments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0">
                  <c:v>Q1 2020</c:v>
                </c:pt>
                <c:pt idx="2">
                  <c:v>Q1 2021</c:v>
                </c:pt>
                <c:pt idx="4">
                  <c:v>Q1 2021</c:v>
                </c:pt>
                <c:pt idx="6">
                  <c:v>Q1 2022</c:v>
                </c:pt>
                <c:pt idx="8">
                  <c:v>Q1 2022</c:v>
                </c:pt>
                <c:pt idx="10">
                  <c:v>Q1 2023</c:v>
                </c:pt>
                <c:pt idx="12">
                  <c:v>Q1 2023</c:v>
                </c:pt>
                <c:pt idx="14">
                  <c:v>Q1 2024</c:v>
                </c:pt>
                <c:pt idx="16">
                  <c:v>Q1 2024</c:v>
                </c:pt>
                <c:pt idx="18">
                  <c:v>Q1 2025</c:v>
                </c:pt>
                <c:pt idx="20">
                  <c:v>Q1 2025</c:v>
                </c:pt>
              </c:strCache>
            </c:strRef>
          </c:cat>
          <c:val>
            <c:numRef>
              <c:f>[1]Model!$AW$4:$BQ$4</c:f>
              <c:numCache>
                <c:formatCode>General</c:formatCode>
                <c:ptCount val="21"/>
                <c:pt idx="0">
                  <c:v>467</c:v>
                </c:pt>
                <c:pt idx="1">
                  <c:v>555</c:v>
                </c:pt>
                <c:pt idx="2">
                  <c:v>469</c:v>
                </c:pt>
                <c:pt idx="3">
                  <c:v>517</c:v>
                </c:pt>
                <c:pt idx="4">
                  <c:v>525</c:v>
                </c:pt>
                <c:pt idx="5">
                  <c:v>600</c:v>
                </c:pt>
                <c:pt idx="6">
                  <c:v>528</c:v>
                </c:pt>
                <c:pt idx="7">
                  <c:v>563</c:v>
                </c:pt>
                <c:pt idx="8">
                  <c:v>535</c:v>
                </c:pt>
                <c:pt idx="9">
                  <c:v>653</c:v>
                </c:pt>
                <c:pt idx="10">
                  <c:v>566</c:v>
                </c:pt>
                <c:pt idx="11">
                  <c:v>622</c:v>
                </c:pt>
                <c:pt idx="12">
                  <c:v>620</c:v>
                </c:pt>
                <c:pt idx="13">
                  <c:v>726</c:v>
                </c:pt>
                <c:pt idx="14">
                  <c:v>667</c:v>
                </c:pt>
                <c:pt idx="15">
                  <c:v>698</c:v>
                </c:pt>
                <c:pt idx="16">
                  <c:v>679</c:v>
                </c:pt>
                <c:pt idx="17">
                  <c:v>790</c:v>
                </c:pt>
                <c:pt idx="18">
                  <c:v>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3E-43B3-B662-D76C6E829219}"/>
            </c:ext>
          </c:extLst>
        </c:ser>
        <c:ser>
          <c:idx val="4"/>
          <c:order val="4"/>
          <c:tx>
            <c:strRef>
              <c:f>[1]Model!$B$10</c:f>
              <c:strCache>
                <c:ptCount val="1"/>
                <c:pt idx="0">
                  <c:v>Knees</c:v>
                </c:pt>
              </c:strCache>
            </c:strRef>
          </c:tx>
          <c:spPr>
            <a:solidFill>
              <a:srgbClr val="CDE1F3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0">
                  <c:v>Q1 2020</c:v>
                </c:pt>
                <c:pt idx="2">
                  <c:v>Q1 2021</c:v>
                </c:pt>
                <c:pt idx="4">
                  <c:v>Q1 2021</c:v>
                </c:pt>
                <c:pt idx="6">
                  <c:v>Q1 2022</c:v>
                </c:pt>
                <c:pt idx="8">
                  <c:v>Q1 2022</c:v>
                </c:pt>
                <c:pt idx="10">
                  <c:v>Q1 2023</c:v>
                </c:pt>
                <c:pt idx="12">
                  <c:v>Q1 2023</c:v>
                </c:pt>
                <c:pt idx="14">
                  <c:v>Q1 2024</c:v>
                </c:pt>
                <c:pt idx="16">
                  <c:v>Q1 2024</c:v>
                </c:pt>
                <c:pt idx="18">
                  <c:v>Q1 2025</c:v>
                </c:pt>
                <c:pt idx="20">
                  <c:v>Q1 2025</c:v>
                </c:pt>
              </c:strCache>
            </c:strRef>
          </c:cat>
          <c:val>
            <c:numRef>
              <c:f>[1]Model!$AW$10:$BQ$10</c:f>
              <c:numCache>
                <c:formatCode>General</c:formatCode>
                <c:ptCount val="21"/>
                <c:pt idx="0">
                  <c:v>435</c:v>
                </c:pt>
                <c:pt idx="1">
                  <c:v>459</c:v>
                </c:pt>
                <c:pt idx="2">
                  <c:v>412</c:v>
                </c:pt>
                <c:pt idx="3">
                  <c:v>474</c:v>
                </c:pt>
                <c:pt idx="4">
                  <c:v>439</c:v>
                </c:pt>
                <c:pt idx="5">
                  <c:v>523</c:v>
                </c:pt>
                <c:pt idx="6">
                  <c:v>464</c:v>
                </c:pt>
                <c:pt idx="7">
                  <c:v>500</c:v>
                </c:pt>
                <c:pt idx="8">
                  <c:v>481</c:v>
                </c:pt>
                <c:pt idx="9">
                  <c:v>552</c:v>
                </c:pt>
                <c:pt idx="10">
                  <c:v>566</c:v>
                </c:pt>
                <c:pt idx="11">
                  <c:v>562</c:v>
                </c:pt>
                <c:pt idx="12">
                  <c:v>515</c:v>
                </c:pt>
                <c:pt idx="13">
                  <c:v>630</c:v>
                </c:pt>
                <c:pt idx="14">
                  <c:v>588</c:v>
                </c:pt>
                <c:pt idx="15">
                  <c:v>602</c:v>
                </c:pt>
                <c:pt idx="16">
                  <c:v>570</c:v>
                </c:pt>
                <c:pt idx="17">
                  <c:v>687</c:v>
                </c:pt>
                <c:pt idx="18">
                  <c:v>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3E-43B3-B662-D76C6E829219}"/>
            </c:ext>
          </c:extLst>
        </c:ser>
        <c:ser>
          <c:idx val="5"/>
          <c:order val="5"/>
          <c:tx>
            <c:strRef>
              <c:f>[1]Model!$B$8</c:f>
              <c:strCache>
                <c:ptCount val="1"/>
                <c:pt idx="0">
                  <c:v>Neuro Cranial</c:v>
                </c:pt>
              </c:strCache>
            </c:strRef>
          </c:tx>
          <c:spPr>
            <a:solidFill>
              <a:srgbClr val="94346D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0">
                  <c:v>Q1 2020</c:v>
                </c:pt>
                <c:pt idx="2">
                  <c:v>Q1 2021</c:v>
                </c:pt>
                <c:pt idx="4">
                  <c:v>Q1 2021</c:v>
                </c:pt>
                <c:pt idx="6">
                  <c:v>Q1 2022</c:v>
                </c:pt>
                <c:pt idx="8">
                  <c:v>Q1 2022</c:v>
                </c:pt>
                <c:pt idx="10">
                  <c:v>Q1 2023</c:v>
                </c:pt>
                <c:pt idx="12">
                  <c:v>Q1 2023</c:v>
                </c:pt>
                <c:pt idx="14">
                  <c:v>Q1 2024</c:v>
                </c:pt>
                <c:pt idx="16">
                  <c:v>Q1 2024</c:v>
                </c:pt>
                <c:pt idx="18">
                  <c:v>Q1 2025</c:v>
                </c:pt>
                <c:pt idx="20">
                  <c:v>Q1 2025</c:v>
                </c:pt>
              </c:strCache>
            </c:strRef>
          </c:cat>
          <c:val>
            <c:numRef>
              <c:f>[1]Model!$AW$8:$BQ$8</c:f>
              <c:numCache>
                <c:formatCode>General</c:formatCode>
                <c:ptCount val="21"/>
                <c:pt idx="0">
                  <c:v>518</c:v>
                </c:pt>
                <c:pt idx="1">
                  <c:v>312</c:v>
                </c:pt>
                <c:pt idx="2">
                  <c:v>281</c:v>
                </c:pt>
                <c:pt idx="3">
                  <c:v>310</c:v>
                </c:pt>
                <c:pt idx="4">
                  <c:v>299</c:v>
                </c:pt>
                <c:pt idx="5">
                  <c:v>324</c:v>
                </c:pt>
                <c:pt idx="6">
                  <c:v>323</c:v>
                </c:pt>
                <c:pt idx="7">
                  <c:v>337</c:v>
                </c:pt>
                <c:pt idx="8">
                  <c:v>332</c:v>
                </c:pt>
                <c:pt idx="9">
                  <c:v>384</c:v>
                </c:pt>
                <c:pt idx="10">
                  <c:v>355</c:v>
                </c:pt>
                <c:pt idx="11">
                  <c:v>373</c:v>
                </c:pt>
                <c:pt idx="12">
                  <c:v>384</c:v>
                </c:pt>
                <c:pt idx="13">
                  <c:v>764</c:v>
                </c:pt>
                <c:pt idx="14">
                  <c:v>478</c:v>
                </c:pt>
                <c:pt idx="15">
                  <c:v>416</c:v>
                </c:pt>
                <c:pt idx="16">
                  <c:v>441</c:v>
                </c:pt>
                <c:pt idx="17">
                  <c:v>801</c:v>
                </c:pt>
                <c:pt idx="18">
                  <c:v>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63E-43B3-B662-D76C6E829219}"/>
            </c:ext>
          </c:extLst>
        </c:ser>
        <c:ser>
          <c:idx val="6"/>
          <c:order val="6"/>
          <c:tx>
            <c:strRef>
              <c:f>[1]Model!$B$11</c:f>
              <c:strCache>
                <c:ptCount val="1"/>
                <c:pt idx="0">
                  <c:v>Hips</c:v>
                </c:pt>
              </c:strCache>
            </c:strRef>
          </c:tx>
          <c:spPr>
            <a:solidFill>
              <a:srgbClr val="B03E82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0">
                  <c:v>Q1 2020</c:v>
                </c:pt>
                <c:pt idx="2">
                  <c:v>Q1 2021</c:v>
                </c:pt>
                <c:pt idx="4">
                  <c:v>Q1 2021</c:v>
                </c:pt>
                <c:pt idx="6">
                  <c:v>Q1 2022</c:v>
                </c:pt>
                <c:pt idx="8">
                  <c:v>Q1 2022</c:v>
                </c:pt>
                <c:pt idx="10">
                  <c:v>Q1 2023</c:v>
                </c:pt>
                <c:pt idx="12">
                  <c:v>Q1 2023</c:v>
                </c:pt>
                <c:pt idx="14">
                  <c:v>Q1 2024</c:v>
                </c:pt>
                <c:pt idx="16">
                  <c:v>Q1 2024</c:v>
                </c:pt>
                <c:pt idx="18">
                  <c:v>Q1 2025</c:v>
                </c:pt>
                <c:pt idx="20">
                  <c:v>Q1 2025</c:v>
                </c:pt>
              </c:strCache>
            </c:strRef>
          </c:cat>
          <c:val>
            <c:numRef>
              <c:f>[1]Model!$AW$11:$BQ$11</c:f>
              <c:numCache>
                <c:formatCode>General</c:formatCode>
                <c:ptCount val="21"/>
                <c:pt idx="0">
                  <c:v>334</c:v>
                </c:pt>
                <c:pt idx="1">
                  <c:v>340</c:v>
                </c:pt>
                <c:pt idx="2">
                  <c:v>309</c:v>
                </c:pt>
                <c:pt idx="3">
                  <c:v>353</c:v>
                </c:pt>
                <c:pt idx="4">
                  <c:v>328</c:v>
                </c:pt>
                <c:pt idx="5">
                  <c:v>352</c:v>
                </c:pt>
                <c:pt idx="6">
                  <c:v>327</c:v>
                </c:pt>
                <c:pt idx="7">
                  <c:v>364</c:v>
                </c:pt>
                <c:pt idx="8">
                  <c:v>347</c:v>
                </c:pt>
                <c:pt idx="9">
                  <c:v>375</c:v>
                </c:pt>
                <c:pt idx="10">
                  <c:v>375</c:v>
                </c:pt>
                <c:pt idx="11">
                  <c:v>393</c:v>
                </c:pt>
                <c:pt idx="12">
                  <c:v>362</c:v>
                </c:pt>
                <c:pt idx="13">
                  <c:v>414</c:v>
                </c:pt>
                <c:pt idx="14">
                  <c:v>393</c:v>
                </c:pt>
                <c:pt idx="15">
                  <c:v>428</c:v>
                </c:pt>
                <c:pt idx="16">
                  <c:v>420</c:v>
                </c:pt>
                <c:pt idx="17">
                  <c:v>463</c:v>
                </c:pt>
                <c:pt idx="18">
                  <c:v>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3E-43B3-B662-D76C6E829219}"/>
            </c:ext>
          </c:extLst>
        </c:ser>
        <c:ser>
          <c:idx val="7"/>
          <c:order val="7"/>
          <c:tx>
            <c:strRef>
              <c:f>[1]Model!$B$7</c:f>
              <c:strCache>
                <c:ptCount val="1"/>
                <c:pt idx="0">
                  <c:v>Vascular</c:v>
                </c:pt>
              </c:strCache>
            </c:strRef>
          </c:tx>
          <c:spPr>
            <a:solidFill>
              <a:srgbClr val="CF73AA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0">
                  <c:v>Q1 2020</c:v>
                </c:pt>
                <c:pt idx="2">
                  <c:v>Q1 2021</c:v>
                </c:pt>
                <c:pt idx="4">
                  <c:v>Q1 2021</c:v>
                </c:pt>
                <c:pt idx="6">
                  <c:v>Q1 2022</c:v>
                </c:pt>
                <c:pt idx="8">
                  <c:v>Q1 2022</c:v>
                </c:pt>
                <c:pt idx="10">
                  <c:v>Q1 2023</c:v>
                </c:pt>
                <c:pt idx="12">
                  <c:v>Q1 2023</c:v>
                </c:pt>
                <c:pt idx="14">
                  <c:v>Q1 2024</c:v>
                </c:pt>
                <c:pt idx="16">
                  <c:v>Q1 2024</c:v>
                </c:pt>
                <c:pt idx="18">
                  <c:v>Q1 2025</c:v>
                </c:pt>
                <c:pt idx="20">
                  <c:v>Q1 2025</c:v>
                </c:pt>
              </c:strCache>
            </c:strRef>
          </c:cat>
          <c:val>
            <c:numRef>
              <c:f>[1]Model!$AW$7:$BQ$7</c:f>
              <c:numCache>
                <c:formatCode>General</c:formatCode>
                <c:ptCount val="21"/>
                <c:pt idx="0">
                  <c:v>66</c:v>
                </c:pt>
                <c:pt idx="1">
                  <c:v>82</c:v>
                </c:pt>
                <c:pt idx="2">
                  <c:v>289</c:v>
                </c:pt>
                <c:pt idx="3">
                  <c:v>301</c:v>
                </c:pt>
                <c:pt idx="4">
                  <c:v>295</c:v>
                </c:pt>
                <c:pt idx="5">
                  <c:v>303</c:v>
                </c:pt>
                <c:pt idx="6">
                  <c:v>301</c:v>
                </c:pt>
                <c:pt idx="7">
                  <c:v>306</c:v>
                </c:pt>
                <c:pt idx="8">
                  <c:v>294</c:v>
                </c:pt>
                <c:pt idx="9">
                  <c:v>299</c:v>
                </c:pt>
                <c:pt idx="10">
                  <c:v>284</c:v>
                </c:pt>
                <c:pt idx="11">
                  <c:v>311</c:v>
                </c:pt>
                <c:pt idx="12">
                  <c:v>311</c:v>
                </c:pt>
                <c:pt idx="13">
                  <c:v>320</c:v>
                </c:pt>
                <c:pt idx="14">
                  <c:v>310</c:v>
                </c:pt>
                <c:pt idx="15">
                  <c:v>327</c:v>
                </c:pt>
                <c:pt idx="16">
                  <c:v>329</c:v>
                </c:pt>
                <c:pt idx="17">
                  <c:v>341</c:v>
                </c:pt>
                <c:pt idx="18">
                  <c:v>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63E-43B3-B662-D76C6E829219}"/>
            </c:ext>
          </c:extLst>
        </c:ser>
        <c:ser>
          <c:idx val="8"/>
          <c:order val="8"/>
          <c:tx>
            <c:strRef>
              <c:f>[1]Model!$B$13</c:f>
              <c:strCache>
                <c:ptCount val="1"/>
                <c:pt idx="0">
                  <c:v>Spinal Implants</c:v>
                </c:pt>
              </c:strCache>
            </c:strRef>
          </c:tx>
          <c:spPr>
            <a:solidFill>
              <a:srgbClr val="E1A9CA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0">
                  <c:v>Q1 2020</c:v>
                </c:pt>
                <c:pt idx="2">
                  <c:v>Q1 2021</c:v>
                </c:pt>
                <c:pt idx="4">
                  <c:v>Q1 2021</c:v>
                </c:pt>
                <c:pt idx="6">
                  <c:v>Q1 2022</c:v>
                </c:pt>
                <c:pt idx="8">
                  <c:v>Q1 2022</c:v>
                </c:pt>
                <c:pt idx="10">
                  <c:v>Q1 2023</c:v>
                </c:pt>
                <c:pt idx="12">
                  <c:v>Q1 2023</c:v>
                </c:pt>
                <c:pt idx="14">
                  <c:v>Q1 2024</c:v>
                </c:pt>
                <c:pt idx="16">
                  <c:v>Q1 2024</c:v>
                </c:pt>
                <c:pt idx="18">
                  <c:v>Q1 2025</c:v>
                </c:pt>
                <c:pt idx="20">
                  <c:v>Q1 2025</c:v>
                </c:pt>
              </c:strCache>
            </c:strRef>
          </c:cat>
          <c:val>
            <c:numRef>
              <c:f>[1]Model!$AW$13:$BQ$13</c:f>
              <c:numCache>
                <c:formatCode>General</c:formatCode>
                <c:ptCount val="21"/>
                <c:pt idx="0">
                  <c:v>302</c:v>
                </c:pt>
                <c:pt idx="1">
                  <c:v>307</c:v>
                </c:pt>
                <c:pt idx="2">
                  <c:v>278</c:v>
                </c:pt>
                <c:pt idx="3">
                  <c:v>307</c:v>
                </c:pt>
                <c:pt idx="4">
                  <c:v>282</c:v>
                </c:pt>
                <c:pt idx="5">
                  <c:v>300</c:v>
                </c:pt>
                <c:pt idx="6">
                  <c:v>279</c:v>
                </c:pt>
                <c:pt idx="7">
                  <c:v>290</c:v>
                </c:pt>
                <c:pt idx="8">
                  <c:v>280</c:v>
                </c:pt>
                <c:pt idx="9">
                  <c:v>297</c:v>
                </c:pt>
                <c:pt idx="10">
                  <c:v>284</c:v>
                </c:pt>
                <c:pt idx="11">
                  <c:v>296</c:v>
                </c:pt>
                <c:pt idx="12">
                  <c:v>291</c:v>
                </c:pt>
                <c:pt idx="13">
                  <c:v>122</c:v>
                </c:pt>
                <c:pt idx="14">
                  <c:v>171</c:v>
                </c:pt>
                <c:pt idx="15">
                  <c:v>307</c:v>
                </c:pt>
                <c:pt idx="16">
                  <c:v>304</c:v>
                </c:pt>
                <c:pt idx="17">
                  <c:v>85</c:v>
                </c:pt>
                <c:pt idx="18">
                  <c:v>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63E-43B3-B662-D76C6E829219}"/>
            </c:ext>
          </c:extLst>
        </c:ser>
        <c:ser>
          <c:idx val="9"/>
          <c:order val="9"/>
          <c:tx>
            <c:strRef>
              <c:f>[1]Model!$B$14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0D4E5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0">
                  <c:v>Q1 2020</c:v>
                </c:pt>
                <c:pt idx="2">
                  <c:v>Q1 2021</c:v>
                </c:pt>
                <c:pt idx="4">
                  <c:v>Q1 2021</c:v>
                </c:pt>
                <c:pt idx="6">
                  <c:v>Q1 2022</c:v>
                </c:pt>
                <c:pt idx="8">
                  <c:v>Q1 2022</c:v>
                </c:pt>
                <c:pt idx="10">
                  <c:v>Q1 2023</c:v>
                </c:pt>
                <c:pt idx="12">
                  <c:v>Q1 2023</c:v>
                </c:pt>
                <c:pt idx="14">
                  <c:v>Q1 2024</c:v>
                </c:pt>
                <c:pt idx="16">
                  <c:v>Q1 2024</c:v>
                </c:pt>
                <c:pt idx="18">
                  <c:v>Q1 2025</c:v>
                </c:pt>
                <c:pt idx="20">
                  <c:v>Q1 2025</c:v>
                </c:pt>
              </c:strCache>
            </c:strRef>
          </c:cat>
          <c:val>
            <c:numRef>
              <c:f>[1]Model!$AW$14:$BQ$14</c:f>
              <c:numCache>
                <c:formatCode>General</c:formatCode>
                <c:ptCount val="21"/>
                <c:pt idx="0">
                  <c:v>118</c:v>
                </c:pt>
                <c:pt idx="1">
                  <c:v>157</c:v>
                </c:pt>
                <c:pt idx="2">
                  <c:v>123</c:v>
                </c:pt>
                <c:pt idx="3">
                  <c:v>127</c:v>
                </c:pt>
                <c:pt idx="4">
                  <c:v>123</c:v>
                </c:pt>
                <c:pt idx="5">
                  <c:v>176</c:v>
                </c:pt>
                <c:pt idx="6">
                  <c:v>97</c:v>
                </c:pt>
                <c:pt idx="7">
                  <c:v>114</c:v>
                </c:pt>
                <c:pt idx="8">
                  <c:v>111</c:v>
                </c:pt>
                <c:pt idx="9">
                  <c:v>153</c:v>
                </c:pt>
                <c:pt idx="10">
                  <c:v>94</c:v>
                </c:pt>
                <c:pt idx="11">
                  <c:v>119</c:v>
                </c:pt>
                <c:pt idx="12">
                  <c:v>130</c:v>
                </c:pt>
                <c:pt idx="13">
                  <c:v>35</c:v>
                </c:pt>
                <c:pt idx="14">
                  <c:v>164</c:v>
                </c:pt>
                <c:pt idx="15">
                  <c:v>136</c:v>
                </c:pt>
                <c:pt idx="16">
                  <c:v>127</c:v>
                </c:pt>
                <c:pt idx="17">
                  <c:v>125</c:v>
                </c:pt>
                <c:pt idx="18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63E-43B3-B662-D76C6E829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"/>
        <c:overlap val="100"/>
        <c:axId val="826587039"/>
        <c:axId val="826586079"/>
      </c:barChart>
      <c:catAx>
        <c:axId val="82658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6079"/>
        <c:crossesAt val="-10000"/>
        <c:auto val="1"/>
        <c:lblAlgn val="ctr"/>
        <c:lblOffset val="100"/>
        <c:noMultiLvlLbl val="0"/>
      </c:catAx>
      <c:valAx>
        <c:axId val="82658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500001367016772"/>
          <c:y val="5.2058346839546202E-2"/>
          <c:w val="0.79166664388305374"/>
          <c:h val="0.107383538159836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(BSX) Quarterly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3"/>
          <c:order val="0"/>
          <c:tx>
            <c:v>Net Income</c:v>
          </c:tx>
          <c:spPr>
            <a:solidFill>
              <a:srgbClr val="00B050"/>
            </a:solidFill>
          </c:spPr>
          <c:invertIfNegative val="0"/>
          <c:val>
            <c:numRef>
              <c:f>[1]Model!$AW$55:$BQ$55</c:f>
              <c:numCache>
                <c:formatCode>General</c:formatCode>
                <c:ptCount val="21"/>
                <c:pt idx="0">
                  <c:v>780</c:v>
                </c:pt>
                <c:pt idx="1">
                  <c:v>671</c:v>
                </c:pt>
                <c:pt idx="2">
                  <c:v>367</c:v>
                </c:pt>
                <c:pt idx="3">
                  <c:v>662</c:v>
                </c:pt>
                <c:pt idx="4">
                  <c:v>495</c:v>
                </c:pt>
                <c:pt idx="5">
                  <c:v>757</c:v>
                </c:pt>
                <c:pt idx="6">
                  <c:v>386</c:v>
                </c:pt>
                <c:pt idx="7">
                  <c:v>720</c:v>
                </c:pt>
                <c:pt idx="8">
                  <c:v>816</c:v>
                </c:pt>
                <c:pt idx="9">
                  <c:v>761</c:v>
                </c:pt>
                <c:pt idx="10">
                  <c:v>679</c:v>
                </c:pt>
                <c:pt idx="11">
                  <c:v>899</c:v>
                </c:pt>
                <c:pt idx="12">
                  <c:v>869</c:v>
                </c:pt>
                <c:pt idx="13">
                  <c:v>1226</c:v>
                </c:pt>
                <c:pt idx="14">
                  <c:v>923</c:v>
                </c:pt>
                <c:pt idx="15">
                  <c:v>998</c:v>
                </c:pt>
                <c:pt idx="16">
                  <c:v>1043</c:v>
                </c:pt>
                <c:pt idx="17">
                  <c:v>528</c:v>
                </c:pt>
                <c:pt idx="18">
                  <c:v>764</c:v>
                </c:pt>
                <c:pt idx="19">
                  <c:v>528</c:v>
                </c:pt>
                <c:pt idx="20">
                  <c:v>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46-4EF6-8D0F-B65629DF816B}"/>
            </c:ext>
          </c:extLst>
        </c:ser>
        <c:ser>
          <c:idx val="4"/>
          <c:order val="1"/>
          <c:tx>
            <c:v>FCF</c:v>
          </c:tx>
          <c:spPr>
            <a:solidFill>
              <a:srgbClr val="FFC000"/>
            </a:solidFill>
          </c:spPr>
          <c:invertIfNegative val="0"/>
          <c:val>
            <c:numRef>
              <c:f>[1]Model!$AW$103:$BQ$103</c:f>
              <c:numCache>
                <c:formatCode>General</c:formatCode>
                <c:ptCount val="21"/>
                <c:pt idx="0">
                  <c:v>621</c:v>
                </c:pt>
                <c:pt idx="1">
                  <c:v>568</c:v>
                </c:pt>
                <c:pt idx="2">
                  <c:v>302</c:v>
                </c:pt>
                <c:pt idx="3">
                  <c:v>592</c:v>
                </c:pt>
                <c:pt idx="4">
                  <c:v>438</c:v>
                </c:pt>
                <c:pt idx="5">
                  <c:v>662</c:v>
                </c:pt>
                <c:pt idx="6">
                  <c:v>323</c:v>
                </c:pt>
                <c:pt idx="7">
                  <c:v>656</c:v>
                </c:pt>
                <c:pt idx="8">
                  <c:v>816</c:v>
                </c:pt>
                <c:pt idx="9">
                  <c:v>563</c:v>
                </c:pt>
                <c:pt idx="10">
                  <c:v>592</c:v>
                </c:pt>
                <c:pt idx="11">
                  <c:v>738</c:v>
                </c:pt>
                <c:pt idx="12">
                  <c:v>692</c:v>
                </c:pt>
                <c:pt idx="13">
                  <c:v>1143</c:v>
                </c:pt>
                <c:pt idx="14">
                  <c:v>788</c:v>
                </c:pt>
                <c:pt idx="15">
                  <c:v>825</c:v>
                </c:pt>
                <c:pt idx="16">
                  <c:v>834</c:v>
                </c:pt>
                <c:pt idx="17">
                  <c:v>546</c:v>
                </c:pt>
                <c:pt idx="18">
                  <c:v>654</c:v>
                </c:pt>
                <c:pt idx="19">
                  <c:v>546</c:v>
                </c:pt>
                <c:pt idx="20">
                  <c:v>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646-4EF6-8D0F-B65629DF816B}"/>
            </c:ext>
          </c:extLst>
        </c:ser>
        <c:ser>
          <c:idx val="5"/>
          <c:order val="2"/>
          <c:tx>
            <c:v>Revenues</c:v>
          </c:tx>
          <c:spPr>
            <a:ln>
              <a:solidFill>
                <a:srgbClr val="00B0F0"/>
              </a:solidFill>
            </a:ln>
          </c:spPr>
          <c:invertIfNegative val="0"/>
          <c:cat>
            <c:strRef>
              <c:f>[1]Model!$AW$1:$BQ$1</c:f>
              <c:strCache>
                <c:ptCount val="21"/>
                <c:pt idx="0">
                  <c:v>Q1 2020</c:v>
                </c:pt>
                <c:pt idx="2">
                  <c:v>Q1 2021</c:v>
                </c:pt>
                <c:pt idx="4">
                  <c:v>Q1 2021</c:v>
                </c:pt>
                <c:pt idx="6">
                  <c:v>Q1 2022</c:v>
                </c:pt>
                <c:pt idx="8">
                  <c:v>Q1 2022</c:v>
                </c:pt>
                <c:pt idx="10">
                  <c:v>Q1 2023</c:v>
                </c:pt>
                <c:pt idx="12">
                  <c:v>Q1 2023</c:v>
                </c:pt>
                <c:pt idx="14">
                  <c:v>Q1 2024</c:v>
                </c:pt>
                <c:pt idx="16">
                  <c:v>Q1 2024</c:v>
                </c:pt>
                <c:pt idx="18">
                  <c:v>Q1 2025</c:v>
                </c:pt>
                <c:pt idx="20">
                  <c:v>Q1 2025</c:v>
                </c:pt>
              </c:strCache>
            </c:strRef>
          </c:cat>
          <c:val>
            <c:numRef>
              <c:f>[1]Model!$AW$44:$BQ$44</c:f>
              <c:numCache>
                <c:formatCode>General</c:formatCode>
                <c:ptCount val="21"/>
                <c:pt idx="0">
                  <c:v>4.1817674937273397E-2</c:v>
                </c:pt>
                <c:pt idx="1">
                  <c:v>3.1711450012103626E-2</c:v>
                </c:pt>
                <c:pt idx="2">
                  <c:v>0.1017279821627648</c:v>
                </c:pt>
                <c:pt idx="3">
                  <c:v>0.55354558610709126</c:v>
                </c:pt>
                <c:pt idx="4">
                  <c:v>0.11319240032111311</c:v>
                </c:pt>
                <c:pt idx="5">
                  <c:v>0.10300328484279686</c:v>
                </c:pt>
                <c:pt idx="6">
                  <c:v>8.1457121173792002E-2</c:v>
                </c:pt>
                <c:pt idx="7">
                  <c:v>4.6343735444806633E-2</c:v>
                </c:pt>
                <c:pt idx="8">
                  <c:v>7.6682692307692202E-2</c:v>
                </c:pt>
                <c:pt idx="9">
                  <c:v>0.10657306955966805</c:v>
                </c:pt>
                <c:pt idx="10">
                  <c:v>0.11766081871345024</c:v>
                </c:pt>
                <c:pt idx="11">
                  <c:v>0.11195192521700426</c:v>
                </c:pt>
                <c:pt idx="12">
                  <c:v>9.6003572225943357E-2</c:v>
                </c:pt>
                <c:pt idx="13">
                  <c:v>0.1178392925797771</c:v>
                </c:pt>
                <c:pt idx="14">
                  <c:v>9.7321054834658804E-2</c:v>
                </c:pt>
                <c:pt idx="15">
                  <c:v>8.526821457165723E-2</c:v>
                </c:pt>
                <c:pt idx="16">
                  <c:v>0.11916887349765726</c:v>
                </c:pt>
                <c:pt idx="17">
                  <c:v>0.10679277730008607</c:v>
                </c:pt>
                <c:pt idx="18">
                  <c:v>0.11882510013351144</c:v>
                </c:pt>
                <c:pt idx="19">
                  <c:v>0.10679277730008607</c:v>
                </c:pt>
                <c:pt idx="20">
                  <c:v>0.11882510013351144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646-4EF6-8D0F-B65629DF816B}"/>
            </c:ext>
          </c:extLst>
        </c:ser>
        <c:ser>
          <c:idx val="1"/>
          <c:order val="4"/>
          <c:tx>
            <c:v>Income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[2]Model!$AW$70:$BQ$70</c:f>
              <c:numCache>
                <c:formatCode>General</c:formatCode>
                <c:ptCount val="21"/>
                <c:pt idx="0">
                  <c:v>11</c:v>
                </c:pt>
                <c:pt idx="1">
                  <c:v>-152</c:v>
                </c:pt>
                <c:pt idx="2">
                  <c:v>-169</c:v>
                </c:pt>
                <c:pt idx="3">
                  <c:v>196</c:v>
                </c:pt>
                <c:pt idx="4">
                  <c:v>327</c:v>
                </c:pt>
                <c:pt idx="5">
                  <c:v>172</c:v>
                </c:pt>
                <c:pt idx="6">
                  <c:v>405</c:v>
                </c:pt>
                <c:pt idx="7">
                  <c:v>80</c:v>
                </c:pt>
                <c:pt idx="8">
                  <c:v>97</c:v>
                </c:pt>
                <c:pt idx="9">
                  <c:v>246</c:v>
                </c:pt>
                <c:pt idx="10">
                  <c:v>174</c:v>
                </c:pt>
                <c:pt idx="11">
                  <c:v>124</c:v>
                </c:pt>
                <c:pt idx="12">
                  <c:v>300</c:v>
                </c:pt>
                <c:pt idx="13">
                  <c:v>261</c:v>
                </c:pt>
                <c:pt idx="14">
                  <c:v>504</c:v>
                </c:pt>
                <c:pt idx="15">
                  <c:v>504</c:v>
                </c:pt>
                <c:pt idx="16">
                  <c:v>495</c:v>
                </c:pt>
                <c:pt idx="17">
                  <c:v>324</c:v>
                </c:pt>
                <c:pt idx="18">
                  <c:v>468</c:v>
                </c:pt>
                <c:pt idx="19">
                  <c:v>565</c:v>
                </c:pt>
                <c:pt idx="20">
                  <c:v>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46-4EF6-8D0F-B65629DF816B}"/>
            </c:ext>
          </c:extLst>
        </c:ser>
        <c:ser>
          <c:idx val="2"/>
          <c:order val="5"/>
          <c:tx>
            <c:v>FCF</c:v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[2]Model!$AW$115:$BQ$115</c:f>
              <c:numCache>
                <c:formatCode>General</c:formatCode>
                <c:ptCount val="21"/>
                <c:pt idx="0">
                  <c:v>-97</c:v>
                </c:pt>
                <c:pt idx="1">
                  <c:v>-67</c:v>
                </c:pt>
                <c:pt idx="2">
                  <c:v>-47</c:v>
                </c:pt>
                <c:pt idx="3">
                  <c:v>1.4515077424612877</c:v>
                </c:pt>
                <c:pt idx="4">
                  <c:v>1.3834364868847628</c:v>
                </c:pt>
                <c:pt idx="5">
                  <c:v>1.3083722072182666</c:v>
                </c:pt>
                <c:pt idx="6">
                  <c:v>1.1499254102436598</c:v>
                </c:pt>
                <c:pt idx="7">
                  <c:v>1.1015679850222326</c:v>
                </c:pt>
                <c:pt idx="8">
                  <c:v>0.77889564810481982</c:v>
                </c:pt>
                <c:pt idx="9">
                  <c:v>0.85784187483904195</c:v>
                </c:pt>
                <c:pt idx="10">
                  <c:v>0.94561848408002258</c:v>
                </c:pt>
                <c:pt idx="11">
                  <c:v>1.0236655272153563</c:v>
                </c:pt>
                <c:pt idx="12">
                  <c:v>0.89468528043105555</c:v>
                </c:pt>
                <c:pt idx="13">
                  <c:v>0.79701885138097328</c:v>
                </c:pt>
                <c:pt idx="14">
                  <c:v>0.89561039528281283</c:v>
                </c:pt>
                <c:pt idx="15">
                  <c:v>0.8169841913254966</c:v>
                </c:pt>
                <c:pt idx="16">
                  <c:v>1.1438161106590725</c:v>
                </c:pt>
                <c:pt idx="17">
                  <c:v>1.144906743185079</c:v>
                </c:pt>
                <c:pt idx="18">
                  <c:v>1.016579259008628</c:v>
                </c:pt>
                <c:pt idx="19">
                  <c:v>0.64223194748358858</c:v>
                </c:pt>
                <c:pt idx="20">
                  <c:v>0.88335310399367339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overlap val="-2"/>
        <c:axId val="1243124976"/>
        <c:axId val="1243123056"/>
      </c:barChart>
      <c:lineChart>
        <c:grouping val="standard"/>
        <c:varyColors val="0"/>
        <c:ser>
          <c:idx val="0"/>
          <c:order val="3"/>
          <c:tx>
            <c:v>Revenues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[2]Model!$AW$50:$BQ$50</c:f>
              <c:numCache>
                <c:formatCode>General</c:formatCode>
                <c:ptCount val="21"/>
                <c:pt idx="0">
                  <c:v>2543</c:v>
                </c:pt>
                <c:pt idx="1">
                  <c:v>2003</c:v>
                </c:pt>
                <c:pt idx="2">
                  <c:v>2659</c:v>
                </c:pt>
                <c:pt idx="3">
                  <c:v>2708</c:v>
                </c:pt>
                <c:pt idx="4">
                  <c:v>2752</c:v>
                </c:pt>
                <c:pt idx="5">
                  <c:v>3077</c:v>
                </c:pt>
                <c:pt idx="6">
                  <c:v>2932</c:v>
                </c:pt>
                <c:pt idx="7">
                  <c:v>3127</c:v>
                </c:pt>
                <c:pt idx="8">
                  <c:v>3026</c:v>
                </c:pt>
                <c:pt idx="9">
                  <c:v>3244</c:v>
                </c:pt>
                <c:pt idx="10">
                  <c:v>3170</c:v>
                </c:pt>
                <c:pt idx="11">
                  <c:v>3242</c:v>
                </c:pt>
                <c:pt idx="12">
                  <c:v>3389</c:v>
                </c:pt>
                <c:pt idx="13">
                  <c:v>3599</c:v>
                </c:pt>
                <c:pt idx="14">
                  <c:v>3527</c:v>
                </c:pt>
                <c:pt idx="15">
                  <c:v>3725</c:v>
                </c:pt>
                <c:pt idx="16">
                  <c:v>3857</c:v>
                </c:pt>
                <c:pt idx="17">
                  <c:v>4120</c:v>
                </c:pt>
                <c:pt idx="18">
                  <c:v>4209</c:v>
                </c:pt>
                <c:pt idx="19">
                  <c:v>4561</c:v>
                </c:pt>
                <c:pt idx="20">
                  <c:v>4663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(Ticker) Historical Return Histogram + Normal Distribution Overlay</a:t>
            </a:r>
          </a:p>
        </c:rich>
      </c:tx>
      <c:layout>
        <c:manualLayout>
          <c:xMode val="edge"/>
          <c:yMode val="edge"/>
          <c:x val="0.30108591378517141"/>
          <c:y val="1.88889486700445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5152794667284949E-2"/>
          <c:y val="7.3102355294668728E-2"/>
          <c:w val="0.94945999344094489"/>
          <c:h val="0.872351230783330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127000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strRef>
              <c:f>'[1]Notes | Quant Analysis'!$I$182:$I$262</c:f>
              <c:strCache>
                <c:ptCount val="81"/>
                <c:pt idx="6">
                  <c:v>Notes:</c:v>
                </c:pt>
                <c:pt idx="35">
                  <c:v>The return distribution fits a Gaussian curve well, implying that daily change follows a roughly normal distribution </c:v>
                </c:pt>
                <c:pt idx="36">
                  <c:v>There is slight implied upside to mean 1-day returns</c:v>
                </c:pt>
                <c:pt idx="42">
                  <c:v>Notes:</c:v>
                </c:pt>
                <c:pt idx="51">
                  <c:v>n =</c:v>
                </c:pt>
                <c:pt idx="52">
                  <c:v>Histogram Data</c:v>
                </c:pt>
                <c:pt idx="53">
                  <c:v>Bin</c:v>
                </c:pt>
                <c:pt idx="54">
                  <c:v>-0.04</c:v>
                </c:pt>
                <c:pt idx="55">
                  <c:v>-0.039</c:v>
                </c:pt>
                <c:pt idx="56">
                  <c:v>-0.038</c:v>
                </c:pt>
                <c:pt idx="57">
                  <c:v>-0.037</c:v>
                </c:pt>
                <c:pt idx="58">
                  <c:v>-0.036</c:v>
                </c:pt>
                <c:pt idx="59">
                  <c:v>-0.035</c:v>
                </c:pt>
                <c:pt idx="60">
                  <c:v>-0.034</c:v>
                </c:pt>
                <c:pt idx="61">
                  <c:v>-0.033</c:v>
                </c:pt>
                <c:pt idx="62">
                  <c:v>-0.032</c:v>
                </c:pt>
                <c:pt idx="63">
                  <c:v>-0.031</c:v>
                </c:pt>
                <c:pt idx="64">
                  <c:v>-0.03</c:v>
                </c:pt>
                <c:pt idx="65">
                  <c:v>-0.029</c:v>
                </c:pt>
                <c:pt idx="66">
                  <c:v>-0.028</c:v>
                </c:pt>
                <c:pt idx="67">
                  <c:v>-0.027</c:v>
                </c:pt>
                <c:pt idx="68">
                  <c:v>-0.026</c:v>
                </c:pt>
                <c:pt idx="69">
                  <c:v>-0.025</c:v>
                </c:pt>
                <c:pt idx="70">
                  <c:v>-0.024</c:v>
                </c:pt>
                <c:pt idx="71">
                  <c:v>-0.023</c:v>
                </c:pt>
                <c:pt idx="72">
                  <c:v>-0.022</c:v>
                </c:pt>
                <c:pt idx="73">
                  <c:v>-0.021</c:v>
                </c:pt>
                <c:pt idx="74">
                  <c:v>-0.02</c:v>
                </c:pt>
                <c:pt idx="75">
                  <c:v>-0.019</c:v>
                </c:pt>
                <c:pt idx="76">
                  <c:v>-0.018</c:v>
                </c:pt>
                <c:pt idx="77">
                  <c:v>-0.017</c:v>
                </c:pt>
                <c:pt idx="78">
                  <c:v>-0.016</c:v>
                </c:pt>
                <c:pt idx="79">
                  <c:v>-0.015</c:v>
                </c:pt>
                <c:pt idx="80">
                  <c:v>-0.014</c:v>
                </c:pt>
              </c:strCache>
            </c:strRef>
          </c:xVal>
          <c:yVal>
            <c:numRef>
              <c:f>'[1]Notes | Quant Analysis'!$J$182:$J$262</c:f>
              <c:numCache>
                <c:formatCode>General</c:formatCode>
                <c:ptCount val="81"/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51">
                  <c:v>1014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4</c:v>
                </c:pt>
                <c:pt idx="60">
                  <c:v>2</c:v>
                </c:pt>
                <c:pt idx="61">
                  <c:v>1</c:v>
                </c:pt>
                <c:pt idx="62">
                  <c:v>1</c:v>
                </c:pt>
                <c:pt idx="63">
                  <c:v>3</c:v>
                </c:pt>
                <c:pt idx="64">
                  <c:v>1</c:v>
                </c:pt>
                <c:pt idx="65">
                  <c:v>4</c:v>
                </c:pt>
                <c:pt idx="66">
                  <c:v>1</c:v>
                </c:pt>
                <c:pt idx="67">
                  <c:v>4</c:v>
                </c:pt>
                <c:pt idx="68">
                  <c:v>1</c:v>
                </c:pt>
                <c:pt idx="69">
                  <c:v>5</c:v>
                </c:pt>
                <c:pt idx="70">
                  <c:v>1</c:v>
                </c:pt>
                <c:pt idx="71">
                  <c:v>2</c:v>
                </c:pt>
                <c:pt idx="72">
                  <c:v>2</c:v>
                </c:pt>
                <c:pt idx="73">
                  <c:v>3</c:v>
                </c:pt>
                <c:pt idx="74">
                  <c:v>5</c:v>
                </c:pt>
                <c:pt idx="75">
                  <c:v>9</c:v>
                </c:pt>
                <c:pt idx="76">
                  <c:v>0</c:v>
                </c:pt>
                <c:pt idx="77">
                  <c:v>0</c:v>
                </c:pt>
                <c:pt idx="78">
                  <c:v>13</c:v>
                </c:pt>
                <c:pt idx="79">
                  <c:v>11</c:v>
                </c:pt>
                <c:pt idx="80">
                  <c:v>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C8-46E7-8417-05DC731C65AA}"/>
            </c:ext>
          </c:extLst>
        </c:ser>
        <c:ser>
          <c:idx val="1"/>
          <c:order val="1"/>
          <c:tx>
            <c:strRef>
              <c:f>'[1]Notes | Quant Analysis'!$L$180</c:f>
              <c:strCache>
                <c:ptCount val="1"/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strRef>
              <c:f>'[1]Notes | Quant Analysis'!$L$182:$L$264</c:f>
              <c:strCache>
                <c:ptCount val="83"/>
                <c:pt idx="52">
                  <c:v>Distribution Overlay</c:v>
                </c:pt>
                <c:pt idx="53">
                  <c:v> (X) 1-Day Δ  </c:v>
                </c:pt>
                <c:pt idx="54">
                  <c:v>-0.041</c:v>
                </c:pt>
                <c:pt idx="55">
                  <c:v>-0.04</c:v>
                </c:pt>
                <c:pt idx="56">
                  <c:v>-0.039</c:v>
                </c:pt>
                <c:pt idx="57">
                  <c:v>-0.038</c:v>
                </c:pt>
                <c:pt idx="58">
                  <c:v>-0.037</c:v>
                </c:pt>
                <c:pt idx="59">
                  <c:v>-0.036</c:v>
                </c:pt>
                <c:pt idx="60">
                  <c:v>-0.035</c:v>
                </c:pt>
                <c:pt idx="61">
                  <c:v>-0.034</c:v>
                </c:pt>
                <c:pt idx="62">
                  <c:v>-0.033</c:v>
                </c:pt>
                <c:pt idx="63">
                  <c:v>-0.032</c:v>
                </c:pt>
                <c:pt idx="64">
                  <c:v>-0.031</c:v>
                </c:pt>
                <c:pt idx="65">
                  <c:v>-0.03</c:v>
                </c:pt>
                <c:pt idx="66">
                  <c:v>-0.029</c:v>
                </c:pt>
                <c:pt idx="67">
                  <c:v>-0.028</c:v>
                </c:pt>
                <c:pt idx="68">
                  <c:v>-0.027</c:v>
                </c:pt>
                <c:pt idx="69">
                  <c:v>-0.026</c:v>
                </c:pt>
                <c:pt idx="70">
                  <c:v>-0.025</c:v>
                </c:pt>
                <c:pt idx="71">
                  <c:v>-0.024</c:v>
                </c:pt>
                <c:pt idx="72">
                  <c:v>-0.023</c:v>
                </c:pt>
                <c:pt idx="73">
                  <c:v>-0.022</c:v>
                </c:pt>
                <c:pt idx="74">
                  <c:v>-0.021</c:v>
                </c:pt>
                <c:pt idx="75">
                  <c:v>-0.02</c:v>
                </c:pt>
                <c:pt idx="76">
                  <c:v>-0.019</c:v>
                </c:pt>
                <c:pt idx="77">
                  <c:v>-0.018</c:v>
                </c:pt>
                <c:pt idx="78">
                  <c:v>-0.017</c:v>
                </c:pt>
                <c:pt idx="79">
                  <c:v>-0.016</c:v>
                </c:pt>
                <c:pt idx="80">
                  <c:v>-0.015</c:v>
                </c:pt>
                <c:pt idx="81">
                  <c:v>-0.014</c:v>
                </c:pt>
                <c:pt idx="82">
                  <c:v>-0.013</c:v>
                </c:pt>
              </c:strCache>
            </c:strRef>
          </c:xVal>
          <c:yVal>
            <c:numRef>
              <c:f>'[1]Notes | Quant Analysis'!$M$182:$M$264</c:f>
              <c:numCache>
                <c:formatCode>General</c:formatCode>
                <c:ptCount val="83"/>
                <c:pt idx="47">
                  <c:v>0</c:v>
                </c:pt>
                <c:pt idx="48">
                  <c:v>0</c:v>
                </c:pt>
                <c:pt idx="53">
                  <c:v>0</c:v>
                </c:pt>
                <c:pt idx="54">
                  <c:v>0.24330261971412301</c:v>
                </c:pt>
                <c:pt idx="55">
                  <c:v>0.30633285338385041</c:v>
                </c:pt>
                <c:pt idx="56">
                  <c:v>0.38351958154803484</c:v>
                </c:pt>
                <c:pt idx="57">
                  <c:v>0.47745086551047328</c:v>
                </c:pt>
                <c:pt idx="58">
                  <c:v>0.59104017531798669</c:v>
                </c:pt>
                <c:pt idx="59">
                  <c:v>0.72753266253923077</c:v>
                </c:pt>
                <c:pt idx="60">
                  <c:v>0.89050254374147597</c:v>
                </c:pt>
                <c:pt idx="61">
                  <c:v>1.0838395846539897</c:v>
                </c:pt>
                <c:pt idx="62">
                  <c:v>1.3117226816436751</c:v>
                </c:pt>
                <c:pt idx="63">
                  <c:v>1.578578645060458</c:v>
                </c:pt>
                <c:pt idx="64">
                  <c:v>1.8890245151375733</c:v>
                </c:pt>
                <c:pt idx="65">
                  <c:v>2.2477920988013178</c:v>
                </c:pt>
                <c:pt idx="66">
                  <c:v>2.6596339130588227</c:v>
                </c:pt>
                <c:pt idx="67">
                  <c:v>3.1292103587889639</c:v>
                </c:pt>
                <c:pt idx="68">
                  <c:v>3.6609587205509038</c:v>
                </c:pt>
                <c:pt idx="69">
                  <c:v>4.258945476645092</c:v>
                </c:pt>
                <c:pt idx="70">
                  <c:v>4.9267043820016658</c:v>
                </c:pt>
                <c:pt idx="71">
                  <c:v>5.6670638170172571</c:v>
                </c:pt>
                <c:pt idx="72">
                  <c:v>6.4819679309391072</c:v>
                </c:pt>
                <c:pt idx="73">
                  <c:v>7.3722970932413006</c:v>
                </c:pt>
                <c:pt idx="74">
                  <c:v>8.3376940391129448</c:v>
                </c:pt>
                <c:pt idx="75">
                  <c:v>9.3764027912942609</c:v>
                </c:pt>
                <c:pt idx="76">
                  <c:v>10.485127896633797</c:v>
                </c:pt>
                <c:pt idx="77">
                  <c:v>11.658921673763489</c:v>
                </c:pt>
                <c:pt idx="78">
                  <c:v>12.891106979905215</c:v>
                </c:pt>
                <c:pt idx="79">
                  <c:v>14.173242436056498</c:v>
                </c:pt>
                <c:pt idx="80">
                  <c:v>15.495136085031207</c:v>
                </c:pt>
                <c:pt idx="81">
                  <c:v>16.844912102018611</c:v>
                </c:pt>
                <c:pt idx="82">
                  <c:v>18.209133462105321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4C8-46E7-8417-05DC731C65AA}"/>
            </c:ext>
          </c:extLst>
        </c:ser>
        <c:ser>
          <c:idx val="2"/>
          <c:order val="2"/>
          <c:tx>
            <c:strRef>
              <c:f>'[1]Notes | Quant Analysis'!$O$182</c:f>
              <c:strCache>
                <c:ptCount val="1"/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4C8-46E7-8417-05DC731C65AA}"/>
                </c:ext>
              </c:extLst>
            </c:dLbl>
            <c:dLbl>
              <c:idx val="1"/>
              <c:layout>
                <c:manualLayout>
                  <c:x val="-6.5761321986558208E-2"/>
                  <c:y val="-2.1250002091535724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4C8-46E7-8417-05DC731C65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'[1]Notes | Quant Analysis'!$P$182:$P$183</c:f>
              <c:numCache>
                <c:formatCode>General</c:formatCode>
                <c:ptCount val="2"/>
              </c:numCache>
            </c:numRef>
          </c:xVal>
          <c:yVal>
            <c:numRef>
              <c:f>'[1]Notes | Quant Analysis'!$Q$182:$Q$183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4C8-46E7-8417-05DC731C65AA}"/>
            </c:ext>
          </c:extLst>
        </c:ser>
        <c:ser>
          <c:idx val="3"/>
          <c:order val="3"/>
          <c:tx>
            <c:strRef>
              <c:f>'[1]Notes | Quant Analysis'!$O$184</c:f>
              <c:strCache>
                <c:ptCount val="1"/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4C8-46E7-8417-05DC731C65AA}"/>
                </c:ext>
              </c:extLst>
            </c:dLbl>
            <c:dLbl>
              <c:idx val="1"/>
              <c:layout>
                <c:manualLayout>
                  <c:x val="-4.0576134842769972E-2"/>
                  <c:y val="-4.9583338213583156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4C8-46E7-8417-05DC731C65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'[1]Notes | Quant Analysis'!$P$184:$P$185</c:f>
              <c:numCache>
                <c:formatCode>General</c:formatCode>
                <c:ptCount val="2"/>
              </c:numCache>
            </c:numRef>
          </c:xVal>
          <c:yVal>
            <c:numRef>
              <c:f>'[1]Notes | Quant Analysis'!$Q$184:$Q$185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4C8-46E7-8417-05DC731C65AA}"/>
            </c:ext>
          </c:extLst>
        </c:ser>
        <c:ser>
          <c:idx val="4"/>
          <c:order val="4"/>
          <c:tx>
            <c:strRef>
              <c:f>'[1]Notes | Quant Analysis'!$O$186</c:f>
              <c:strCache>
                <c:ptCount val="1"/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4C8-46E7-8417-05DC731C65AA}"/>
                </c:ext>
              </c:extLst>
            </c:dLbl>
            <c:dLbl>
              <c:idx val="1"/>
              <c:layout>
                <c:manualLayout>
                  <c:x val="-5.3168728414664079E-2"/>
                  <c:y val="-3.5416670152559573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4C8-46E7-8417-05DC731C65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'[1]Notes | Quant Analysis'!$P$186:$P$187</c:f>
              <c:numCache>
                <c:formatCode>General</c:formatCode>
                <c:ptCount val="2"/>
              </c:numCache>
            </c:numRef>
          </c:xVal>
          <c:yVal>
            <c:numRef>
              <c:f>'[1]Notes | Quant Analysis'!$Q$186:$Q$187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4C8-46E7-8417-05DC731C65AA}"/>
            </c:ext>
          </c:extLst>
        </c:ser>
        <c:ser>
          <c:idx val="5"/>
          <c:order val="5"/>
          <c:tx>
            <c:strRef>
              <c:f>'[1]Notes | Quant Analysis'!$O$188</c:f>
              <c:strCache>
                <c:ptCount val="1"/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4C8-46E7-8417-05DC731C65AA}"/>
                </c:ext>
              </c:extLst>
            </c:dLbl>
            <c:dLbl>
              <c:idx val="1"/>
              <c:layout>
                <c:manualLayout>
                  <c:x val="-9.5144040320977827E-2"/>
                  <c:y val="-2.1250002091535724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4C8-46E7-8417-05DC731C65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'[1]Notes | Quant Analysis'!$P$188:$P$189</c:f>
              <c:numCache>
                <c:formatCode>General</c:formatCode>
                <c:ptCount val="2"/>
              </c:numCache>
            </c:numRef>
          </c:xVal>
          <c:yVal>
            <c:numRef>
              <c:f>'[1]Notes | Quant Analysis'!$Q$188:$Q$189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64C8-46E7-8417-05DC731C65AA}"/>
            </c:ext>
          </c:extLst>
        </c:ser>
        <c:ser>
          <c:idx val="6"/>
          <c:order val="6"/>
          <c:tx>
            <c:strRef>
              <c:f>'[1]Notes | Quant Analysis'!$O$190</c:f>
              <c:strCache>
                <c:ptCount val="1"/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4C8-46E7-8417-05DC731C65AA}"/>
                </c:ext>
              </c:extLst>
            </c:dLbl>
            <c:dLbl>
              <c:idx val="1"/>
              <c:layout>
                <c:manualLayout>
                  <c:x val="-2.3786010080244464E-2"/>
                  <c:y val="-2.833333612204761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201295968475098E-2"/>
                      <c:h val="4.927639373892762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F-64C8-46E7-8417-05DC731C65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'[1]Notes | Quant Analysis'!$P$190:$P$191</c:f>
              <c:numCache>
                <c:formatCode>General</c:formatCode>
                <c:ptCount val="2"/>
              </c:numCache>
            </c:numRef>
          </c:xVal>
          <c:yVal>
            <c:numRef>
              <c:f>'[1]Notes | Quant Analysis'!$Q$190:$Q$191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64C8-46E7-8417-05DC731C65AA}"/>
            </c:ext>
          </c:extLst>
        </c:ser>
        <c:ser>
          <c:idx val="7"/>
          <c:order val="7"/>
          <c:tx>
            <c:strRef>
              <c:f>'[1]Notes | Quant Analysis'!$O$192</c:f>
              <c:strCache>
                <c:ptCount val="1"/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4C8-46E7-8417-05DC731C65AA}"/>
                </c:ext>
              </c:extLst>
            </c:dLbl>
            <c:dLbl>
              <c:idx val="1"/>
              <c:layout>
                <c:manualLayout>
                  <c:x val="-3.7777780715682475E-2"/>
                  <c:y val="-6.1388894931103132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4C8-46E7-8417-05DC731C65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'[1]Notes | Quant Analysis'!$P$192:$P$193</c:f>
              <c:numCache>
                <c:formatCode>General</c:formatCode>
                <c:ptCount val="2"/>
              </c:numCache>
            </c:numRef>
          </c:xVal>
          <c:yVal>
            <c:numRef>
              <c:f>'[1]Notes | Quant Analysis'!$Q$192:$Q$193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64C8-46E7-8417-05DC731C65AA}"/>
            </c:ext>
          </c:extLst>
        </c:ser>
        <c:ser>
          <c:idx val="8"/>
          <c:order val="8"/>
          <c:tx>
            <c:strRef>
              <c:f>'[1]Notes | Quant Analysis'!$O$194</c:f>
              <c:strCache>
                <c:ptCount val="1"/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4C8-46E7-8417-05DC731C65AA}"/>
                </c:ext>
              </c:extLst>
            </c:dLbl>
            <c:dLbl>
              <c:idx val="1"/>
              <c:layout>
                <c:manualLayout>
                  <c:x val="-3.3580249525050995E-2"/>
                  <c:y val="-3.77777814960633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4C8-46E7-8417-05DC731C65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'[1]Notes | Quant Analysis'!$P$194:$P$195</c:f>
              <c:numCache>
                <c:formatCode>General</c:formatCode>
                <c:ptCount val="2"/>
              </c:numCache>
            </c:numRef>
          </c:xVal>
          <c:yVal>
            <c:numRef>
              <c:f>'[1]Notes | Quant Analysis'!$Q$194:$Q$195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64C8-46E7-8417-05DC731C6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7843279"/>
        <c:axId val="1297840879"/>
      </c:scatterChart>
      <c:valAx>
        <c:axId val="1297843279"/>
        <c:scaling>
          <c:orientation val="minMax"/>
          <c:max val="4.5000000000000012E-2"/>
          <c:min val="-4.500000000000001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840879"/>
        <c:crosses val="autoZero"/>
        <c:crossBetween val="midCat"/>
        <c:majorUnit val="5.000000000000001E-3"/>
      </c:valAx>
      <c:valAx>
        <c:axId val="129784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843279"/>
        <c:crossesAt val="-10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(BSX) Quarterly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3"/>
          <c:order val="0"/>
          <c:tx>
            <c:v>Net Income</c:v>
          </c:tx>
          <c:spPr>
            <a:solidFill>
              <a:srgbClr val="00B050"/>
            </a:solidFill>
          </c:spPr>
          <c:invertIfNegative val="0"/>
          <c:val>
            <c:numRef>
              <c:f>[1]Model!$AW$55:$BQ$55</c:f>
              <c:numCache>
                <c:formatCode>General</c:formatCode>
                <c:ptCount val="21"/>
                <c:pt idx="0">
                  <c:v>780</c:v>
                </c:pt>
                <c:pt idx="1">
                  <c:v>671</c:v>
                </c:pt>
                <c:pt idx="2">
                  <c:v>367</c:v>
                </c:pt>
                <c:pt idx="3">
                  <c:v>662</c:v>
                </c:pt>
                <c:pt idx="4">
                  <c:v>495</c:v>
                </c:pt>
                <c:pt idx="5">
                  <c:v>757</c:v>
                </c:pt>
                <c:pt idx="6">
                  <c:v>386</c:v>
                </c:pt>
                <c:pt idx="7">
                  <c:v>720</c:v>
                </c:pt>
                <c:pt idx="8">
                  <c:v>816</c:v>
                </c:pt>
                <c:pt idx="9">
                  <c:v>761</c:v>
                </c:pt>
                <c:pt idx="10">
                  <c:v>679</c:v>
                </c:pt>
                <c:pt idx="11">
                  <c:v>899</c:v>
                </c:pt>
                <c:pt idx="12">
                  <c:v>869</c:v>
                </c:pt>
                <c:pt idx="13">
                  <c:v>1226</c:v>
                </c:pt>
                <c:pt idx="14">
                  <c:v>923</c:v>
                </c:pt>
                <c:pt idx="15">
                  <c:v>998</c:v>
                </c:pt>
                <c:pt idx="16">
                  <c:v>1043</c:v>
                </c:pt>
                <c:pt idx="17">
                  <c:v>528</c:v>
                </c:pt>
                <c:pt idx="18">
                  <c:v>764</c:v>
                </c:pt>
                <c:pt idx="19">
                  <c:v>528</c:v>
                </c:pt>
                <c:pt idx="20">
                  <c:v>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C9-4DCF-B835-3D34B453BF88}"/>
            </c:ext>
          </c:extLst>
        </c:ser>
        <c:ser>
          <c:idx val="4"/>
          <c:order val="1"/>
          <c:tx>
            <c:v>FCF</c:v>
          </c:tx>
          <c:spPr>
            <a:solidFill>
              <a:srgbClr val="FFC000"/>
            </a:solidFill>
          </c:spPr>
          <c:invertIfNegative val="0"/>
          <c:val>
            <c:numRef>
              <c:f>[1]Model!$AW$103:$BQ$103</c:f>
              <c:numCache>
                <c:formatCode>General</c:formatCode>
                <c:ptCount val="21"/>
                <c:pt idx="0">
                  <c:v>621</c:v>
                </c:pt>
                <c:pt idx="1">
                  <c:v>568</c:v>
                </c:pt>
                <c:pt idx="2">
                  <c:v>302</c:v>
                </c:pt>
                <c:pt idx="3">
                  <c:v>592</c:v>
                </c:pt>
                <c:pt idx="4">
                  <c:v>438</c:v>
                </c:pt>
                <c:pt idx="5">
                  <c:v>662</c:v>
                </c:pt>
                <c:pt idx="6">
                  <c:v>323</c:v>
                </c:pt>
                <c:pt idx="7">
                  <c:v>656</c:v>
                </c:pt>
                <c:pt idx="8">
                  <c:v>816</c:v>
                </c:pt>
                <c:pt idx="9">
                  <c:v>563</c:v>
                </c:pt>
                <c:pt idx="10">
                  <c:v>592</c:v>
                </c:pt>
                <c:pt idx="11">
                  <c:v>738</c:v>
                </c:pt>
                <c:pt idx="12">
                  <c:v>692</c:v>
                </c:pt>
                <c:pt idx="13">
                  <c:v>1143</c:v>
                </c:pt>
                <c:pt idx="14">
                  <c:v>788</c:v>
                </c:pt>
                <c:pt idx="15">
                  <c:v>825</c:v>
                </c:pt>
                <c:pt idx="16">
                  <c:v>834</c:v>
                </c:pt>
                <c:pt idx="17">
                  <c:v>546</c:v>
                </c:pt>
                <c:pt idx="18">
                  <c:v>654</c:v>
                </c:pt>
                <c:pt idx="19">
                  <c:v>546</c:v>
                </c:pt>
                <c:pt idx="20">
                  <c:v>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C9-4DCF-B835-3D34B453BF88}"/>
            </c:ext>
          </c:extLst>
        </c:ser>
        <c:ser>
          <c:idx val="5"/>
          <c:order val="2"/>
          <c:tx>
            <c:v>Revenues</c:v>
          </c:tx>
          <c:spPr>
            <a:ln>
              <a:solidFill>
                <a:srgbClr val="00B0F0"/>
              </a:solidFill>
            </a:ln>
          </c:spPr>
          <c:invertIfNegative val="0"/>
          <c:cat>
            <c:strRef>
              <c:f>[1]Model!$AW$1:$BQ$1</c:f>
              <c:strCache>
                <c:ptCount val="21"/>
                <c:pt idx="0">
                  <c:v>Q1 2020</c:v>
                </c:pt>
                <c:pt idx="2">
                  <c:v>Q1 2021</c:v>
                </c:pt>
                <c:pt idx="4">
                  <c:v>Q1 2021</c:v>
                </c:pt>
                <c:pt idx="6">
                  <c:v>Q1 2022</c:v>
                </c:pt>
                <c:pt idx="8">
                  <c:v>Q1 2022</c:v>
                </c:pt>
                <c:pt idx="10">
                  <c:v>Q1 2023</c:v>
                </c:pt>
                <c:pt idx="12">
                  <c:v>Q1 2023</c:v>
                </c:pt>
                <c:pt idx="14">
                  <c:v>Q1 2024</c:v>
                </c:pt>
                <c:pt idx="16">
                  <c:v>Q1 2024</c:v>
                </c:pt>
                <c:pt idx="18">
                  <c:v>Q1 2025</c:v>
                </c:pt>
                <c:pt idx="20">
                  <c:v>Q1 2025</c:v>
                </c:pt>
              </c:strCache>
            </c:strRef>
          </c:cat>
          <c:val>
            <c:numRef>
              <c:f>[1]Model!$AW$44:$BQ$44</c:f>
              <c:numCache>
                <c:formatCode>General</c:formatCode>
                <c:ptCount val="21"/>
                <c:pt idx="0">
                  <c:v>4.1817674937273397E-2</c:v>
                </c:pt>
                <c:pt idx="1">
                  <c:v>3.1711450012103626E-2</c:v>
                </c:pt>
                <c:pt idx="2">
                  <c:v>0.1017279821627648</c:v>
                </c:pt>
                <c:pt idx="3">
                  <c:v>0.55354558610709126</c:v>
                </c:pt>
                <c:pt idx="4">
                  <c:v>0.11319240032111311</c:v>
                </c:pt>
                <c:pt idx="5">
                  <c:v>0.10300328484279686</c:v>
                </c:pt>
                <c:pt idx="6">
                  <c:v>8.1457121173792002E-2</c:v>
                </c:pt>
                <c:pt idx="7">
                  <c:v>4.6343735444806633E-2</c:v>
                </c:pt>
                <c:pt idx="8">
                  <c:v>7.6682692307692202E-2</c:v>
                </c:pt>
                <c:pt idx="9">
                  <c:v>0.10657306955966805</c:v>
                </c:pt>
                <c:pt idx="10">
                  <c:v>0.11766081871345024</c:v>
                </c:pt>
                <c:pt idx="11">
                  <c:v>0.11195192521700426</c:v>
                </c:pt>
                <c:pt idx="12">
                  <c:v>9.6003572225943357E-2</c:v>
                </c:pt>
                <c:pt idx="13">
                  <c:v>0.1178392925797771</c:v>
                </c:pt>
                <c:pt idx="14">
                  <c:v>9.7321054834658804E-2</c:v>
                </c:pt>
                <c:pt idx="15">
                  <c:v>8.526821457165723E-2</c:v>
                </c:pt>
                <c:pt idx="16">
                  <c:v>0.11916887349765726</c:v>
                </c:pt>
                <c:pt idx="17">
                  <c:v>0.10679277730008607</c:v>
                </c:pt>
                <c:pt idx="18">
                  <c:v>0.11882510013351144</c:v>
                </c:pt>
                <c:pt idx="19">
                  <c:v>0.10679277730008607</c:v>
                </c:pt>
                <c:pt idx="20">
                  <c:v>0.11882510013351144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C9-4DCF-B835-3D34B453BF88}"/>
            </c:ext>
          </c:extLst>
        </c:ser>
        <c:ser>
          <c:idx val="1"/>
          <c:order val="4"/>
          <c:tx>
            <c:v>Income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[2]Model!$AW$70:$BQ$70</c:f>
              <c:numCache>
                <c:formatCode>General</c:formatCode>
                <c:ptCount val="21"/>
                <c:pt idx="0">
                  <c:v>11</c:v>
                </c:pt>
                <c:pt idx="1">
                  <c:v>-152</c:v>
                </c:pt>
                <c:pt idx="2">
                  <c:v>-169</c:v>
                </c:pt>
                <c:pt idx="3">
                  <c:v>196</c:v>
                </c:pt>
                <c:pt idx="4">
                  <c:v>327</c:v>
                </c:pt>
                <c:pt idx="5">
                  <c:v>172</c:v>
                </c:pt>
                <c:pt idx="6">
                  <c:v>405</c:v>
                </c:pt>
                <c:pt idx="7">
                  <c:v>80</c:v>
                </c:pt>
                <c:pt idx="8">
                  <c:v>97</c:v>
                </c:pt>
                <c:pt idx="9">
                  <c:v>246</c:v>
                </c:pt>
                <c:pt idx="10">
                  <c:v>174</c:v>
                </c:pt>
                <c:pt idx="11">
                  <c:v>124</c:v>
                </c:pt>
                <c:pt idx="12">
                  <c:v>300</c:v>
                </c:pt>
                <c:pt idx="13">
                  <c:v>261</c:v>
                </c:pt>
                <c:pt idx="14">
                  <c:v>504</c:v>
                </c:pt>
                <c:pt idx="15">
                  <c:v>504</c:v>
                </c:pt>
                <c:pt idx="16">
                  <c:v>495</c:v>
                </c:pt>
                <c:pt idx="17">
                  <c:v>324</c:v>
                </c:pt>
                <c:pt idx="18">
                  <c:v>468</c:v>
                </c:pt>
                <c:pt idx="19">
                  <c:v>565</c:v>
                </c:pt>
                <c:pt idx="20">
                  <c:v>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C9-4DCF-B835-3D34B453BF88}"/>
            </c:ext>
          </c:extLst>
        </c:ser>
        <c:ser>
          <c:idx val="2"/>
          <c:order val="5"/>
          <c:tx>
            <c:v>FCF</c:v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[2]Model!$AW$115:$BQ$115</c:f>
              <c:numCache>
                <c:formatCode>General</c:formatCode>
                <c:ptCount val="21"/>
                <c:pt idx="0">
                  <c:v>-97</c:v>
                </c:pt>
                <c:pt idx="1">
                  <c:v>-67</c:v>
                </c:pt>
                <c:pt idx="2">
                  <c:v>-47</c:v>
                </c:pt>
                <c:pt idx="3">
                  <c:v>1.4515077424612877</c:v>
                </c:pt>
                <c:pt idx="4">
                  <c:v>1.3834364868847628</c:v>
                </c:pt>
                <c:pt idx="5">
                  <c:v>1.3083722072182666</c:v>
                </c:pt>
                <c:pt idx="6">
                  <c:v>1.1499254102436598</c:v>
                </c:pt>
                <c:pt idx="7">
                  <c:v>1.1015679850222326</c:v>
                </c:pt>
                <c:pt idx="8">
                  <c:v>0.77889564810481982</c:v>
                </c:pt>
                <c:pt idx="9">
                  <c:v>0.85784187483904195</c:v>
                </c:pt>
                <c:pt idx="10">
                  <c:v>0.94561848408002258</c:v>
                </c:pt>
                <c:pt idx="11">
                  <c:v>1.0236655272153563</c:v>
                </c:pt>
                <c:pt idx="12">
                  <c:v>0.89468528043105555</c:v>
                </c:pt>
                <c:pt idx="13">
                  <c:v>0.79701885138097328</c:v>
                </c:pt>
                <c:pt idx="14">
                  <c:v>0.89561039528281283</c:v>
                </c:pt>
                <c:pt idx="15">
                  <c:v>0.8169841913254966</c:v>
                </c:pt>
                <c:pt idx="16">
                  <c:v>1.1438161106590725</c:v>
                </c:pt>
                <c:pt idx="17">
                  <c:v>1.144906743185079</c:v>
                </c:pt>
                <c:pt idx="18">
                  <c:v>1.016579259008628</c:v>
                </c:pt>
                <c:pt idx="19">
                  <c:v>0.64223194748358858</c:v>
                </c:pt>
                <c:pt idx="20">
                  <c:v>0.88335310399367339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C9-4DCF-B835-3D34B453B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overlap val="-2"/>
        <c:axId val="1243124976"/>
        <c:axId val="1243123056"/>
      </c:barChart>
      <c:lineChart>
        <c:grouping val="standard"/>
        <c:varyColors val="0"/>
        <c:ser>
          <c:idx val="0"/>
          <c:order val="3"/>
          <c:tx>
            <c:v>Revenues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[2]Model!$AW$50:$BQ$50</c:f>
              <c:numCache>
                <c:formatCode>General</c:formatCode>
                <c:ptCount val="21"/>
                <c:pt idx="0">
                  <c:v>2543</c:v>
                </c:pt>
                <c:pt idx="1">
                  <c:v>2003</c:v>
                </c:pt>
                <c:pt idx="2">
                  <c:v>2659</c:v>
                </c:pt>
                <c:pt idx="3">
                  <c:v>2708</c:v>
                </c:pt>
                <c:pt idx="4">
                  <c:v>2752</c:v>
                </c:pt>
                <c:pt idx="5">
                  <c:v>3077</c:v>
                </c:pt>
                <c:pt idx="6">
                  <c:v>2932</c:v>
                </c:pt>
                <c:pt idx="7">
                  <c:v>3127</c:v>
                </c:pt>
                <c:pt idx="8">
                  <c:v>3026</c:v>
                </c:pt>
                <c:pt idx="9">
                  <c:v>3244</c:v>
                </c:pt>
                <c:pt idx="10">
                  <c:v>3170</c:v>
                </c:pt>
                <c:pt idx="11">
                  <c:v>3242</c:v>
                </c:pt>
                <c:pt idx="12">
                  <c:v>3389</c:v>
                </c:pt>
                <c:pt idx="13">
                  <c:v>3599</c:v>
                </c:pt>
                <c:pt idx="14">
                  <c:v>3527</c:v>
                </c:pt>
                <c:pt idx="15">
                  <c:v>3725</c:v>
                </c:pt>
                <c:pt idx="16">
                  <c:v>3857</c:v>
                </c:pt>
                <c:pt idx="17">
                  <c:v>4120</c:v>
                </c:pt>
                <c:pt idx="18">
                  <c:v>4209</c:v>
                </c:pt>
                <c:pt idx="19">
                  <c:v>4561</c:v>
                </c:pt>
                <c:pt idx="20">
                  <c:v>4663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C9-4DCF-B835-3D34B453B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71</xdr:col>
      <xdr:colOff>0</xdr:colOff>
      <xdr:row>0</xdr:row>
      <xdr:rowOff>0</xdr:rowOff>
    </xdr:from>
    <xdr:to>
      <xdr:col>71</xdr:col>
      <xdr:colOff>0</xdr:colOff>
      <xdr:row>131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D82459E-58B3-42DB-9684-9D533E1F9712}"/>
            </a:ext>
          </a:extLst>
        </xdr:cNvPr>
        <xdr:cNvCxnSpPr/>
      </xdr:nvCxnSpPr>
      <xdr:spPr>
        <a:xfrm>
          <a:off x="44700825" y="0"/>
          <a:ext cx="0" cy="23774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0</xdr:colOff>
      <xdr:row>0</xdr:row>
      <xdr:rowOff>0</xdr:rowOff>
    </xdr:from>
    <xdr:to>
      <xdr:col>103</xdr:col>
      <xdr:colOff>0</xdr:colOff>
      <xdr:row>130</xdr:row>
      <xdr:rowOff>76200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001E5F4-1B9E-487D-83F1-747CF5EB542B}"/>
            </a:ext>
          </a:extLst>
        </xdr:cNvPr>
        <xdr:cNvCxnSpPr/>
      </xdr:nvCxnSpPr>
      <xdr:spPr>
        <a:xfrm>
          <a:off x="64208025" y="0"/>
          <a:ext cx="0" cy="235172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66</xdr:row>
      <xdr:rowOff>190499</xdr:rowOff>
    </xdr:from>
    <xdr:to>
      <xdr:col>23</xdr:col>
      <xdr:colOff>0</xdr:colOff>
      <xdr:row>97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2CD92D-8EF4-4572-94B5-6164D39572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136</xdr:row>
      <xdr:rowOff>0</xdr:rowOff>
    </xdr:from>
    <xdr:to>
      <xdr:col>23</xdr:col>
      <xdr:colOff>0</xdr:colOff>
      <xdr:row>164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1860B7-2944-492B-8E4C-F0D96D28C3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169</xdr:row>
      <xdr:rowOff>0</xdr:rowOff>
    </xdr:from>
    <xdr:to>
      <xdr:col>23</xdr:col>
      <xdr:colOff>0</xdr:colOff>
      <xdr:row>197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74BBAA-4B76-40FC-A8E5-A62056E8DD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103</xdr:row>
      <xdr:rowOff>0</xdr:rowOff>
    </xdr:from>
    <xdr:to>
      <xdr:col>23</xdr:col>
      <xdr:colOff>0</xdr:colOff>
      <xdr:row>131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1F60EA5-A4D3-4E98-B340-9CE4CA4AF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quity%20Research\Models\Health%20Care\MedTech\SYK_Model.xlsx" TargetMode="External"/><Relationship Id="rId1" Type="http://schemas.openxmlformats.org/officeDocument/2006/relationships/externalLinkPath" Target="file:///C:\Users\User\Desktop\Equity%20Research\Models\Health%20Care\MedTech\SYK_Mode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quity%20Research\Models\Health%20Care\MedTech\BSX_Model.xlsx" TargetMode="External"/><Relationship Id="rId1" Type="http://schemas.openxmlformats.org/officeDocument/2006/relationships/externalLinkPath" Target="file:///C:\Users\User\Desktop\Equity%20Research\Models\Health%20Care\MedTech\BSX_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Notes | Quant Analysis"/>
      <sheetName val="M&amp;A"/>
      <sheetName val="Management"/>
      <sheetName val="Markets | Product Lines"/>
      <sheetName val="Debt Schedule"/>
    </sheetNames>
    <sheetDataSet>
      <sheetData sheetId="0"/>
      <sheetData sheetId="1">
        <row r="1">
          <cell r="AW1" t="str">
            <v>Q1 2020</v>
          </cell>
          <cell r="AY1" t="str">
            <v>Q1 2021</v>
          </cell>
          <cell r="BA1" t="str">
            <v>Q1 2021</v>
          </cell>
          <cell r="BC1" t="str">
            <v>Q1 2022</v>
          </cell>
          <cell r="BE1" t="str">
            <v>Q1 2022</v>
          </cell>
          <cell r="BG1" t="str">
            <v>Q1 2023</v>
          </cell>
          <cell r="BI1" t="str">
            <v>Q1 2023</v>
          </cell>
          <cell r="BK1" t="str">
            <v>Q1 2024</v>
          </cell>
          <cell r="BM1" t="str">
            <v>Q1 2024</v>
          </cell>
          <cell r="BO1" t="str">
            <v>Q1 2025</v>
          </cell>
          <cell r="BQ1" t="str">
            <v>Q1 2025</v>
          </cell>
        </row>
        <row r="4">
          <cell r="B4" t="str">
            <v>Instruments</v>
          </cell>
          <cell r="AW4">
            <v>467</v>
          </cell>
          <cell r="AX4">
            <v>555</v>
          </cell>
          <cell r="AY4">
            <v>469</v>
          </cell>
          <cell r="AZ4">
            <v>517</v>
          </cell>
          <cell r="BA4">
            <v>525</v>
          </cell>
          <cell r="BB4">
            <v>600</v>
          </cell>
          <cell r="BC4">
            <v>528</v>
          </cell>
          <cell r="BD4">
            <v>563</v>
          </cell>
          <cell r="BE4">
            <v>535</v>
          </cell>
          <cell r="BF4">
            <v>653</v>
          </cell>
          <cell r="BG4">
            <v>566</v>
          </cell>
          <cell r="BH4">
            <v>622</v>
          </cell>
          <cell r="BI4">
            <v>620</v>
          </cell>
          <cell r="BJ4">
            <v>726</v>
          </cell>
          <cell r="BK4">
            <v>667</v>
          </cell>
          <cell r="BL4">
            <v>698</v>
          </cell>
          <cell r="BM4">
            <v>679</v>
          </cell>
          <cell r="BN4">
            <v>790</v>
          </cell>
          <cell r="BO4">
            <v>730</v>
          </cell>
          <cell r="BP4"/>
          <cell r="BQ4"/>
        </row>
        <row r="5">
          <cell r="B5" t="str">
            <v>Endoscopy</v>
          </cell>
          <cell r="AW5">
            <v>467</v>
          </cell>
          <cell r="AX5">
            <v>525</v>
          </cell>
          <cell r="AY5">
            <v>469</v>
          </cell>
          <cell r="AZ5">
            <v>518</v>
          </cell>
          <cell r="BA5">
            <v>525</v>
          </cell>
          <cell r="BB5">
            <v>629</v>
          </cell>
          <cell r="BC5">
            <v>538</v>
          </cell>
          <cell r="BD5">
            <v>600</v>
          </cell>
          <cell r="BE5">
            <v>590</v>
          </cell>
          <cell r="BF5">
            <v>997</v>
          </cell>
          <cell r="BG5">
            <v>707</v>
          </cell>
          <cell r="BH5">
            <v>713</v>
          </cell>
          <cell r="BI5">
            <v>746</v>
          </cell>
          <cell r="BJ5">
            <v>902</v>
          </cell>
          <cell r="BK5">
            <v>778</v>
          </cell>
          <cell r="BL5">
            <v>768</v>
          </cell>
          <cell r="BM5">
            <v>837</v>
          </cell>
          <cell r="BN5">
            <v>1006</v>
          </cell>
          <cell r="BO5">
            <v>867</v>
          </cell>
          <cell r="BP5"/>
          <cell r="BQ5"/>
        </row>
        <row r="6">
          <cell r="B6" t="str">
            <v>Medical</v>
          </cell>
          <cell r="AW6">
            <v>600</v>
          </cell>
          <cell r="AX6">
            <v>705</v>
          </cell>
          <cell r="AY6">
            <v>622</v>
          </cell>
          <cell r="AZ6">
            <v>640</v>
          </cell>
          <cell r="BA6">
            <v>636</v>
          </cell>
          <cell r="BB6">
            <v>709</v>
          </cell>
          <cell r="BC6">
            <v>664</v>
          </cell>
          <cell r="BD6">
            <v>666</v>
          </cell>
          <cell r="BE6">
            <v>765</v>
          </cell>
          <cell r="BF6">
            <v>936</v>
          </cell>
          <cell r="BG6">
            <v>778</v>
          </cell>
          <cell r="BH6">
            <v>841</v>
          </cell>
          <cell r="BI6">
            <v>798</v>
          </cell>
          <cell r="BJ6">
            <v>1042</v>
          </cell>
          <cell r="BK6">
            <v>864</v>
          </cell>
          <cell r="BL6">
            <v>908</v>
          </cell>
          <cell r="BM6">
            <v>938</v>
          </cell>
          <cell r="BN6">
            <v>1142</v>
          </cell>
          <cell r="BO6">
            <v>945</v>
          </cell>
          <cell r="BP6"/>
          <cell r="BQ6"/>
        </row>
        <row r="7">
          <cell r="B7" t="str">
            <v>Vascular</v>
          </cell>
          <cell r="AW7">
            <v>66</v>
          </cell>
          <cell r="AX7">
            <v>82</v>
          </cell>
          <cell r="AY7">
            <v>289</v>
          </cell>
          <cell r="AZ7">
            <v>301</v>
          </cell>
          <cell r="BA7">
            <v>295</v>
          </cell>
          <cell r="BB7">
            <v>303</v>
          </cell>
          <cell r="BC7">
            <v>301</v>
          </cell>
          <cell r="BD7">
            <v>306</v>
          </cell>
          <cell r="BE7">
            <v>294</v>
          </cell>
          <cell r="BF7">
            <v>299</v>
          </cell>
          <cell r="BG7">
            <v>284</v>
          </cell>
          <cell r="BH7">
            <v>311</v>
          </cell>
          <cell r="BI7">
            <v>311</v>
          </cell>
          <cell r="BJ7">
            <v>320</v>
          </cell>
          <cell r="BK7">
            <v>310</v>
          </cell>
          <cell r="BL7">
            <v>327</v>
          </cell>
          <cell r="BM7">
            <v>329</v>
          </cell>
          <cell r="BN7">
            <v>341</v>
          </cell>
          <cell r="BO7">
            <v>406</v>
          </cell>
          <cell r="BP7"/>
          <cell r="BQ7"/>
        </row>
        <row r="8">
          <cell r="B8" t="str">
            <v>Neuro Cranial</v>
          </cell>
          <cell r="AW8">
            <v>518</v>
          </cell>
          <cell r="AX8">
            <v>312</v>
          </cell>
          <cell r="AY8">
            <v>281</v>
          </cell>
          <cell r="AZ8">
            <v>310</v>
          </cell>
          <cell r="BA8">
            <v>299</v>
          </cell>
          <cell r="BB8">
            <v>324</v>
          </cell>
          <cell r="BC8">
            <v>323</v>
          </cell>
          <cell r="BD8">
            <v>337</v>
          </cell>
          <cell r="BE8">
            <v>332</v>
          </cell>
          <cell r="BF8">
            <v>384</v>
          </cell>
          <cell r="BG8">
            <v>355</v>
          </cell>
          <cell r="BH8">
            <v>373</v>
          </cell>
          <cell r="BI8">
            <v>384</v>
          </cell>
          <cell r="BJ8">
            <v>764</v>
          </cell>
          <cell r="BK8">
            <v>478</v>
          </cell>
          <cell r="BL8">
            <v>416</v>
          </cell>
          <cell r="BM8">
            <v>441</v>
          </cell>
          <cell r="BN8">
            <v>801</v>
          </cell>
          <cell r="BO8">
            <v>563</v>
          </cell>
          <cell r="BP8"/>
          <cell r="BQ8"/>
        </row>
        <row r="10">
          <cell r="B10" t="str">
            <v>Knees</v>
          </cell>
          <cell r="AW10">
            <v>435</v>
          </cell>
          <cell r="AX10">
            <v>459</v>
          </cell>
          <cell r="AY10">
            <v>412</v>
          </cell>
          <cell r="AZ10">
            <v>474</v>
          </cell>
          <cell r="BA10">
            <v>439</v>
          </cell>
          <cell r="BB10">
            <v>523</v>
          </cell>
          <cell r="BC10">
            <v>464</v>
          </cell>
          <cell r="BD10">
            <v>500</v>
          </cell>
          <cell r="BE10">
            <v>481</v>
          </cell>
          <cell r="BF10">
            <v>552</v>
          </cell>
          <cell r="BG10">
            <v>566</v>
          </cell>
          <cell r="BH10">
            <v>562</v>
          </cell>
          <cell r="BI10">
            <v>515</v>
          </cell>
          <cell r="BJ10">
            <v>630</v>
          </cell>
          <cell r="BK10">
            <v>588</v>
          </cell>
          <cell r="BL10">
            <v>602</v>
          </cell>
          <cell r="BM10">
            <v>570</v>
          </cell>
          <cell r="BN10">
            <v>687</v>
          </cell>
          <cell r="BO10">
            <v>639</v>
          </cell>
          <cell r="BP10"/>
          <cell r="BQ10"/>
        </row>
        <row r="11">
          <cell r="B11" t="str">
            <v>Hips</v>
          </cell>
          <cell r="AW11">
            <v>334</v>
          </cell>
          <cell r="AX11">
            <v>340</v>
          </cell>
          <cell r="AY11">
            <v>309</v>
          </cell>
          <cell r="AZ11">
            <v>353</v>
          </cell>
          <cell r="BA11">
            <v>328</v>
          </cell>
          <cell r="BB11">
            <v>352</v>
          </cell>
          <cell r="BC11">
            <v>327</v>
          </cell>
          <cell r="BD11">
            <v>364</v>
          </cell>
          <cell r="BE11">
            <v>347</v>
          </cell>
          <cell r="BF11">
            <v>375</v>
          </cell>
          <cell r="BG11">
            <v>375</v>
          </cell>
          <cell r="BH11">
            <v>393</v>
          </cell>
          <cell r="BI11">
            <v>362</v>
          </cell>
          <cell r="BJ11">
            <v>414</v>
          </cell>
          <cell r="BK11">
            <v>393</v>
          </cell>
          <cell r="BL11">
            <v>428</v>
          </cell>
          <cell r="BM11">
            <v>420</v>
          </cell>
          <cell r="BN11">
            <v>463</v>
          </cell>
          <cell r="BO11">
            <v>443</v>
          </cell>
          <cell r="BP11"/>
          <cell r="BQ11"/>
        </row>
        <row r="12">
          <cell r="B12" t="str">
            <v>Trauma and Extremities</v>
          </cell>
          <cell r="AW12">
            <v>430</v>
          </cell>
          <cell r="AX12">
            <v>570</v>
          </cell>
          <cell r="AY12">
            <v>640</v>
          </cell>
          <cell r="AZ12">
            <v>674</v>
          </cell>
          <cell r="BA12">
            <v>639</v>
          </cell>
          <cell r="BB12">
            <v>711</v>
          </cell>
          <cell r="BC12">
            <v>685</v>
          </cell>
          <cell r="BD12">
            <v>676</v>
          </cell>
          <cell r="BE12">
            <v>672</v>
          </cell>
          <cell r="BF12">
            <v>774</v>
          </cell>
          <cell r="BG12">
            <v>769</v>
          </cell>
          <cell r="BH12">
            <v>766</v>
          </cell>
          <cell r="BI12">
            <v>752</v>
          </cell>
          <cell r="BJ12">
            <v>860</v>
          </cell>
          <cell r="BK12">
            <v>830</v>
          </cell>
          <cell r="BL12">
            <v>832</v>
          </cell>
          <cell r="BM12">
            <v>849</v>
          </cell>
          <cell r="BN12">
            <v>996</v>
          </cell>
          <cell r="BO12">
            <v>945</v>
          </cell>
          <cell r="BP12"/>
          <cell r="BQ12"/>
        </row>
        <row r="13">
          <cell r="B13" t="str">
            <v>Spinal Implants</v>
          </cell>
          <cell r="AW13">
            <v>302</v>
          </cell>
          <cell r="AX13">
            <v>307</v>
          </cell>
          <cell r="AY13">
            <v>278</v>
          </cell>
          <cell r="AZ13">
            <v>307</v>
          </cell>
          <cell r="BA13">
            <v>282</v>
          </cell>
          <cell r="BB13">
            <v>300</v>
          </cell>
          <cell r="BC13">
            <v>279</v>
          </cell>
          <cell r="BD13">
            <v>290</v>
          </cell>
          <cell r="BE13">
            <v>280</v>
          </cell>
          <cell r="BF13">
            <v>297</v>
          </cell>
          <cell r="BG13">
            <v>284</v>
          </cell>
          <cell r="BH13">
            <v>296</v>
          </cell>
          <cell r="BI13">
            <v>291</v>
          </cell>
          <cell r="BJ13">
            <v>122</v>
          </cell>
          <cell r="BK13">
            <v>171</v>
          </cell>
          <cell r="BL13">
            <v>307</v>
          </cell>
          <cell r="BM13">
            <v>304</v>
          </cell>
          <cell r="BN13">
            <v>85</v>
          </cell>
          <cell r="BO13">
            <v>166</v>
          </cell>
          <cell r="BP13"/>
          <cell r="BQ13"/>
        </row>
        <row r="14">
          <cell r="B14" t="str">
            <v>Other</v>
          </cell>
          <cell r="AW14">
            <v>118</v>
          </cell>
          <cell r="AX14">
            <v>157</v>
          </cell>
          <cell r="AY14">
            <v>123</v>
          </cell>
          <cell r="AZ14">
            <v>127</v>
          </cell>
          <cell r="BA14">
            <v>123</v>
          </cell>
          <cell r="BB14">
            <v>176</v>
          </cell>
          <cell r="BC14">
            <v>97</v>
          </cell>
          <cell r="BD14">
            <v>114</v>
          </cell>
          <cell r="BE14">
            <v>111</v>
          </cell>
          <cell r="BF14">
            <v>153</v>
          </cell>
          <cell r="BG14">
            <v>94</v>
          </cell>
          <cell r="BH14">
            <v>119</v>
          </cell>
          <cell r="BI14">
            <v>130</v>
          </cell>
          <cell r="BJ14">
            <v>35</v>
          </cell>
          <cell r="BK14">
            <v>164</v>
          </cell>
          <cell r="BL14">
            <v>136</v>
          </cell>
          <cell r="BM14">
            <v>127</v>
          </cell>
          <cell r="BN14">
            <v>125</v>
          </cell>
          <cell r="BO14">
            <v>162</v>
          </cell>
          <cell r="BP14"/>
          <cell r="BQ14"/>
        </row>
        <row r="44">
          <cell r="AW44">
            <v>4.1817674937273397E-2</v>
          </cell>
          <cell r="AX44">
            <v>3.1711450012103626E-2</v>
          </cell>
          <cell r="AY44">
            <v>0.1017279821627648</v>
          </cell>
          <cell r="AZ44">
            <v>0.55354558610709126</v>
          </cell>
          <cell r="BA44">
            <v>0.11319240032111311</v>
          </cell>
          <cell r="BB44">
            <v>0.10300328484279686</v>
          </cell>
          <cell r="BC44">
            <v>8.1457121173792002E-2</v>
          </cell>
          <cell r="BD44">
            <v>4.6343735444806633E-2</v>
          </cell>
          <cell r="BE44">
            <v>7.6682692307692202E-2</v>
          </cell>
          <cell r="BF44">
            <v>0.10657306955966805</v>
          </cell>
          <cell r="BG44">
            <v>0.11766081871345024</v>
          </cell>
          <cell r="BH44">
            <v>0.11195192521700426</v>
          </cell>
          <cell r="BI44">
            <v>9.6003572225943357E-2</v>
          </cell>
          <cell r="BJ44">
            <v>0.1178392925797771</v>
          </cell>
          <cell r="BK44">
            <v>9.7321054834658804E-2</v>
          </cell>
          <cell r="BL44">
            <v>8.526821457165723E-2</v>
          </cell>
          <cell r="BM44">
            <v>0.11916887349765726</v>
          </cell>
          <cell r="BN44">
            <v>0.10679277730008607</v>
          </cell>
          <cell r="BO44">
            <v>0.11882510013351144</v>
          </cell>
          <cell r="BP44">
            <v>0.10679277730008607</v>
          </cell>
          <cell r="BQ44">
            <v>0.11882510013351144</v>
          </cell>
        </row>
        <row r="55">
          <cell r="AW55">
            <v>780</v>
          </cell>
          <cell r="AX55">
            <v>671</v>
          </cell>
          <cell r="AY55">
            <v>367</v>
          </cell>
          <cell r="AZ55">
            <v>662</v>
          </cell>
          <cell r="BA55">
            <v>495</v>
          </cell>
          <cell r="BB55">
            <v>757</v>
          </cell>
          <cell r="BC55">
            <v>386</v>
          </cell>
          <cell r="BD55">
            <v>720</v>
          </cell>
          <cell r="BE55">
            <v>816</v>
          </cell>
          <cell r="BF55">
            <v>761</v>
          </cell>
          <cell r="BG55">
            <v>679</v>
          </cell>
          <cell r="BH55">
            <v>899</v>
          </cell>
          <cell r="BI55">
            <v>869</v>
          </cell>
          <cell r="BJ55">
            <v>1226</v>
          </cell>
          <cell r="BK55">
            <v>923</v>
          </cell>
          <cell r="BL55">
            <v>998</v>
          </cell>
          <cell r="BM55">
            <v>1043</v>
          </cell>
          <cell r="BN55">
            <v>528</v>
          </cell>
          <cell r="BO55">
            <v>764</v>
          </cell>
          <cell r="BP55">
            <v>528</v>
          </cell>
          <cell r="BQ55">
            <v>764</v>
          </cell>
        </row>
        <row r="103">
          <cell r="AW103">
            <v>621</v>
          </cell>
          <cell r="AX103">
            <v>568</v>
          </cell>
          <cell r="AY103">
            <v>302</v>
          </cell>
          <cell r="AZ103">
            <v>592</v>
          </cell>
          <cell r="BA103">
            <v>438</v>
          </cell>
          <cell r="BB103">
            <v>662</v>
          </cell>
          <cell r="BC103">
            <v>323</v>
          </cell>
          <cell r="BD103">
            <v>656</v>
          </cell>
          <cell r="BE103">
            <v>816</v>
          </cell>
          <cell r="BF103">
            <v>563</v>
          </cell>
          <cell r="BG103">
            <v>592</v>
          </cell>
          <cell r="BH103">
            <v>738</v>
          </cell>
          <cell r="BI103">
            <v>692</v>
          </cell>
          <cell r="BJ103">
            <v>1143</v>
          </cell>
          <cell r="BK103">
            <v>788</v>
          </cell>
          <cell r="BL103">
            <v>825</v>
          </cell>
          <cell r="BM103">
            <v>834</v>
          </cell>
          <cell r="BN103">
            <v>546</v>
          </cell>
          <cell r="BO103">
            <v>654</v>
          </cell>
          <cell r="BP103">
            <v>546</v>
          </cell>
          <cell r="BQ103">
            <v>654</v>
          </cell>
        </row>
      </sheetData>
      <sheetData sheetId="2">
        <row r="188">
          <cell r="I188" t="str">
            <v>Notes:</v>
          </cell>
          <cell r="J188" t="str">
            <v>[X]</v>
          </cell>
        </row>
        <row r="189">
          <cell r="J189" t="str">
            <v>[Y]</v>
          </cell>
        </row>
        <row r="190">
          <cell r="J190" t="str">
            <v>[Z]</v>
          </cell>
        </row>
        <row r="217">
          <cell r="I217" t="str">
            <v xml:space="preserve">The return distribution fits a Gaussian curve well, implying that daily change follows a roughly normal distribution </v>
          </cell>
        </row>
        <row r="218">
          <cell r="I218" t="str">
            <v>There is slight implied upside to mean 1-day returns</v>
          </cell>
        </row>
        <row r="224">
          <cell r="I224" t="str">
            <v>Notes:</v>
          </cell>
          <cell r="J224" t="str">
            <v>[X]</v>
          </cell>
        </row>
        <row r="225">
          <cell r="I225"/>
          <cell r="J225" t="str">
            <v>[Y]</v>
          </cell>
        </row>
        <row r="226">
          <cell r="I226"/>
          <cell r="J226" t="str">
            <v>[Z]</v>
          </cell>
        </row>
        <row r="227">
          <cell r="I227"/>
          <cell r="J227" t="str">
            <v>Median</v>
          </cell>
        </row>
        <row r="228">
          <cell r="I228"/>
          <cell r="J228" t="str">
            <v>SD σ</v>
          </cell>
          <cell r="M228"/>
        </row>
        <row r="229">
          <cell r="I229"/>
          <cell r="J229" t="str">
            <v xml:space="preserve">  3σ 1-Day Δ: ±</v>
          </cell>
          <cell r="L229"/>
          <cell r="M229" t="str">
            <v>&lt;- Sharpe Ratio (Risk Adjusted Return)</v>
          </cell>
        </row>
        <row r="230">
          <cell r="I230"/>
          <cell r="J230" t="str">
            <v>β (1-year avg.)</v>
          </cell>
          <cell r="L230"/>
          <cell r="M230" t="str">
            <v>&lt;- Sortino Ratio (Downside Risk Adjusted Return)</v>
          </cell>
        </row>
        <row r="233">
          <cell r="I233" t="str">
            <v>n =</v>
          </cell>
          <cell r="J233">
            <v>1014</v>
          </cell>
        </row>
        <row r="234">
          <cell r="I234" t="str">
            <v>Histogram Data</v>
          </cell>
          <cell r="L234" t="str">
            <v>Distribution Overlay</v>
          </cell>
        </row>
        <row r="235">
          <cell r="I235" t="str">
            <v>Bin</v>
          </cell>
          <cell r="J235" t="str">
            <v>Frequency</v>
          </cell>
          <cell r="L235" t="str">
            <v xml:space="preserve"> (X) 1-Day Δ  </v>
          </cell>
          <cell r="M235" t="str">
            <v xml:space="preserve">(Y) Pop. Density </v>
          </cell>
        </row>
        <row r="236">
          <cell r="I236">
            <v>-0.04</v>
          </cell>
          <cell r="J236">
            <v>1</v>
          </cell>
          <cell r="L236">
            <v>-4.1000000000000002E-2</v>
          </cell>
          <cell r="M236">
            <v>0.24330261971412301</v>
          </cell>
        </row>
        <row r="237">
          <cell r="I237">
            <v>-3.9E-2</v>
          </cell>
          <cell r="J237">
            <v>1</v>
          </cell>
          <cell r="L237">
            <v>-0.04</v>
          </cell>
          <cell r="M237">
            <v>0.30633285338385041</v>
          </cell>
        </row>
        <row r="238">
          <cell r="I238">
            <v>-3.7999999999999999E-2</v>
          </cell>
          <cell r="J238">
            <v>0</v>
          </cell>
          <cell r="L238">
            <v>-3.9E-2</v>
          </cell>
          <cell r="M238">
            <v>0.38351958154803484</v>
          </cell>
        </row>
        <row r="239">
          <cell r="I239">
            <v>-3.6999999999999998E-2</v>
          </cell>
          <cell r="J239">
            <v>0</v>
          </cell>
          <cell r="L239">
            <v>-3.7999999999999999E-2</v>
          </cell>
          <cell r="M239">
            <v>0.47745086551047328</v>
          </cell>
        </row>
        <row r="240">
          <cell r="I240">
            <v>-3.5999999999999997E-2</v>
          </cell>
          <cell r="J240">
            <v>1</v>
          </cell>
          <cell r="L240">
            <v>-3.6999999999999998E-2</v>
          </cell>
          <cell r="M240">
            <v>0.59104017531798669</v>
          </cell>
        </row>
        <row r="241">
          <cell r="I241">
            <v>-3.4999999999999996E-2</v>
          </cell>
          <cell r="J241">
            <v>4</v>
          </cell>
          <cell r="L241">
            <v>-3.5999999999999997E-2</v>
          </cell>
          <cell r="M241">
            <v>0.72753266253923077</v>
          </cell>
        </row>
        <row r="242">
          <cell r="I242">
            <v>-3.3999999999999996E-2</v>
          </cell>
          <cell r="J242">
            <v>2</v>
          </cell>
          <cell r="L242">
            <v>-3.4999999999999996E-2</v>
          </cell>
          <cell r="M242">
            <v>0.89050254374147597</v>
          </cell>
        </row>
        <row r="243">
          <cell r="I243">
            <v>-3.2999999999999995E-2</v>
          </cell>
          <cell r="J243">
            <v>1</v>
          </cell>
          <cell r="L243">
            <v>-3.3999999999999996E-2</v>
          </cell>
          <cell r="M243">
            <v>1.0838395846539897</v>
          </cell>
        </row>
        <row r="244">
          <cell r="I244">
            <v>-3.1999999999999994E-2</v>
          </cell>
          <cell r="J244">
            <v>1</v>
          </cell>
          <cell r="L244">
            <v>-3.2999999999999995E-2</v>
          </cell>
          <cell r="M244">
            <v>1.3117226816436751</v>
          </cell>
        </row>
        <row r="245">
          <cell r="I245">
            <v>-3.0999999999999993E-2</v>
          </cell>
          <cell r="J245">
            <v>3</v>
          </cell>
          <cell r="L245">
            <v>-3.1999999999999994E-2</v>
          </cell>
          <cell r="M245">
            <v>1.578578645060458</v>
          </cell>
        </row>
        <row r="246">
          <cell r="I246">
            <v>-2.9999999999999992E-2</v>
          </cell>
          <cell r="J246">
            <v>1</v>
          </cell>
          <cell r="L246">
            <v>-3.0999999999999993E-2</v>
          </cell>
          <cell r="M246">
            <v>1.8890245151375733</v>
          </cell>
        </row>
        <row r="247">
          <cell r="I247">
            <v>-2.8999999999999991E-2</v>
          </cell>
          <cell r="J247">
            <v>4</v>
          </cell>
          <cell r="L247">
            <v>-2.9999999999999992E-2</v>
          </cell>
          <cell r="M247">
            <v>2.2477920988013178</v>
          </cell>
        </row>
        <row r="248">
          <cell r="I248">
            <v>-2.799999999999999E-2</v>
          </cell>
          <cell r="J248">
            <v>1</v>
          </cell>
          <cell r="L248">
            <v>-2.8999999999999991E-2</v>
          </cell>
          <cell r="M248">
            <v>2.6596339130588227</v>
          </cell>
        </row>
        <row r="249">
          <cell r="I249">
            <v>-2.6999999999999989E-2</v>
          </cell>
          <cell r="J249">
            <v>4</v>
          </cell>
          <cell r="L249">
            <v>-2.799999999999999E-2</v>
          </cell>
          <cell r="M249">
            <v>3.1292103587889639</v>
          </cell>
        </row>
        <row r="250">
          <cell r="I250">
            <v>-2.5999999999999988E-2</v>
          </cell>
          <cell r="J250">
            <v>1</v>
          </cell>
          <cell r="L250">
            <v>-2.6999999999999989E-2</v>
          </cell>
          <cell r="M250">
            <v>3.6609587205509038</v>
          </cell>
        </row>
        <row r="251">
          <cell r="I251">
            <v>-2.4999999999999988E-2</v>
          </cell>
          <cell r="J251">
            <v>5</v>
          </cell>
          <cell r="L251">
            <v>-2.5999999999999988E-2</v>
          </cell>
          <cell r="M251">
            <v>4.258945476645092</v>
          </cell>
        </row>
        <row r="252">
          <cell r="I252">
            <v>-2.3999999999999987E-2</v>
          </cell>
          <cell r="J252">
            <v>1</v>
          </cell>
          <cell r="L252">
            <v>-2.4999999999999988E-2</v>
          </cell>
          <cell r="M252">
            <v>4.9267043820016658</v>
          </cell>
        </row>
        <row r="253">
          <cell r="I253">
            <v>-2.2999999999999986E-2</v>
          </cell>
          <cell r="J253">
            <v>2</v>
          </cell>
          <cell r="L253">
            <v>-2.3999999999999987E-2</v>
          </cell>
          <cell r="M253">
            <v>5.6670638170172571</v>
          </cell>
        </row>
        <row r="254">
          <cell r="I254">
            <v>-2.1999999999999985E-2</v>
          </cell>
          <cell r="J254">
            <v>2</v>
          </cell>
          <cell r="L254">
            <v>-2.2999999999999986E-2</v>
          </cell>
          <cell r="M254">
            <v>6.4819679309391072</v>
          </cell>
        </row>
        <row r="255">
          <cell r="I255">
            <v>-2.0999999999999984E-2</v>
          </cell>
          <cell r="J255">
            <v>3</v>
          </cell>
          <cell r="L255">
            <v>-2.1999999999999985E-2</v>
          </cell>
          <cell r="M255">
            <v>7.3722970932413006</v>
          </cell>
        </row>
        <row r="256">
          <cell r="I256">
            <v>-1.9999999999999983E-2</v>
          </cell>
          <cell r="J256">
            <v>5</v>
          </cell>
          <cell r="L256">
            <v>-2.0999999999999984E-2</v>
          </cell>
          <cell r="M256">
            <v>8.3376940391129448</v>
          </cell>
        </row>
        <row r="257">
          <cell r="I257">
            <v>-1.8999999999999982E-2</v>
          </cell>
          <cell r="J257">
            <v>9</v>
          </cell>
          <cell r="L257">
            <v>-1.9999999999999983E-2</v>
          </cell>
          <cell r="M257">
            <v>9.3764027912942609</v>
          </cell>
        </row>
        <row r="258">
          <cell r="I258">
            <v>-1.7999999999999981E-2</v>
          </cell>
          <cell r="J258" t="str">
            <v xml:space="preserve">The return distribution fits a Gaussian curve well, implying that daily change follows a roughly normal distribution </v>
          </cell>
          <cell r="L258">
            <v>-1.8999999999999982E-2</v>
          </cell>
          <cell r="M258">
            <v>10.485127896633797</v>
          </cell>
        </row>
        <row r="259">
          <cell r="I259">
            <v>-1.699999999999998E-2</v>
          </cell>
          <cell r="J259" t="str">
            <v xml:space="preserve">There is slight implied upside to mean 1-day returns </v>
          </cell>
          <cell r="L259">
            <v>-1.7999999999999981E-2</v>
          </cell>
          <cell r="M259">
            <v>11.658921673763489</v>
          </cell>
        </row>
        <row r="260">
          <cell r="I260">
            <v>-1.599999999999998E-2</v>
          </cell>
          <cell r="J260">
            <v>13</v>
          </cell>
          <cell r="L260">
            <v>-1.699999999999998E-2</v>
          </cell>
          <cell r="M260">
            <v>12.891106979905215</v>
          </cell>
        </row>
        <row r="261">
          <cell r="I261">
            <v>-1.4999999999999979E-2</v>
          </cell>
          <cell r="J261">
            <v>11</v>
          </cell>
          <cell r="L261">
            <v>-1.599999999999998E-2</v>
          </cell>
          <cell r="M261">
            <v>14.173242436056498</v>
          </cell>
        </row>
        <row r="262">
          <cell r="I262">
            <v>-1.3999999999999978E-2</v>
          </cell>
          <cell r="J262">
            <v>24</v>
          </cell>
          <cell r="L262">
            <v>-1.4999999999999979E-2</v>
          </cell>
          <cell r="M262">
            <v>15.495136085031207</v>
          </cell>
        </row>
        <row r="263">
          <cell r="L263">
            <v>-1.3999999999999978E-2</v>
          </cell>
          <cell r="M263">
            <v>16.844912102018611</v>
          </cell>
        </row>
        <row r="264">
          <cell r="L264">
            <v>-1.2999999999999977E-2</v>
          </cell>
          <cell r="M264">
            <v>18.209133462105321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 | Overview"/>
      <sheetName val="Model"/>
      <sheetName val="Notes | Quant Analysis"/>
      <sheetName val="M&amp;A Scope"/>
      <sheetName val="Markets | Product Lines"/>
      <sheetName val="Management"/>
      <sheetName val="Debt Schedule"/>
      <sheetName val="Clinical Trial Channel"/>
    </sheetNames>
    <sheetDataSet>
      <sheetData sheetId="0"/>
      <sheetData sheetId="1">
        <row r="3">
          <cell r="AW3" t="str">
            <v>Q1 2020</v>
          </cell>
          <cell r="AX3" t="str">
            <v>Q2 2020</v>
          </cell>
          <cell r="AY3" t="str">
            <v>Q3 2020</v>
          </cell>
          <cell r="AZ3" t="str">
            <v>Q4 2020</v>
          </cell>
          <cell r="BA3" t="str">
            <v>Q1 2021</v>
          </cell>
          <cell r="BB3" t="str">
            <v>Q2 2021</v>
          </cell>
          <cell r="BC3" t="str">
            <v>Q3 2021</v>
          </cell>
          <cell r="BD3" t="str">
            <v>Q4 2021</v>
          </cell>
          <cell r="BE3" t="str">
            <v>Q1 2022</v>
          </cell>
          <cell r="BF3" t="str">
            <v>Q2 2022</v>
          </cell>
          <cell r="BG3" t="str">
            <v>Q3 2022</v>
          </cell>
          <cell r="BH3" t="str">
            <v>Q4 2022</v>
          </cell>
          <cell r="BI3" t="str">
            <v>Q1 2023</v>
          </cell>
          <cell r="BJ3" t="str">
            <v>Q2 2023</v>
          </cell>
          <cell r="BK3" t="str">
            <v>Q3 2023</v>
          </cell>
          <cell r="BL3" t="str">
            <v>Q4 2023</v>
          </cell>
          <cell r="BM3" t="str">
            <v>Q1 2024</v>
          </cell>
          <cell r="BN3" t="str">
            <v>Q2 2024</v>
          </cell>
          <cell r="BO3" t="str">
            <v>Q3 2024</v>
          </cell>
          <cell r="BP3" t="str">
            <v>Q4 2024</v>
          </cell>
          <cell r="BQ3" t="str">
            <v>Q1 2025</v>
          </cell>
        </row>
        <row r="50">
          <cell r="AW50">
            <v>2543</v>
          </cell>
          <cell r="AX50">
            <v>2003</v>
          </cell>
          <cell r="AY50">
            <v>2659</v>
          </cell>
          <cell r="AZ50">
            <v>2708</v>
          </cell>
          <cell r="BA50">
            <v>2752</v>
          </cell>
          <cell r="BB50">
            <v>3077</v>
          </cell>
          <cell r="BC50">
            <v>2932</v>
          </cell>
          <cell r="BD50">
            <v>3127</v>
          </cell>
          <cell r="BE50">
            <v>3026</v>
          </cell>
          <cell r="BF50">
            <v>3244</v>
          </cell>
          <cell r="BG50">
            <v>3170</v>
          </cell>
          <cell r="BH50">
            <v>3242</v>
          </cell>
          <cell r="BI50">
            <v>3389</v>
          </cell>
          <cell r="BJ50">
            <v>3599</v>
          </cell>
          <cell r="BK50">
            <v>3527</v>
          </cell>
          <cell r="BL50">
            <v>3725</v>
          </cell>
          <cell r="BM50">
            <v>3857</v>
          </cell>
          <cell r="BN50">
            <v>4120</v>
          </cell>
          <cell r="BO50">
            <v>4209</v>
          </cell>
          <cell r="BP50">
            <v>4561</v>
          </cell>
          <cell r="BQ50">
            <v>4663</v>
          </cell>
        </row>
        <row r="70">
          <cell r="AW70">
            <v>11</v>
          </cell>
          <cell r="AX70">
            <v>-152</v>
          </cell>
          <cell r="AY70">
            <v>-169</v>
          </cell>
          <cell r="AZ70">
            <v>196</v>
          </cell>
          <cell r="BA70">
            <v>327</v>
          </cell>
          <cell r="BB70">
            <v>172</v>
          </cell>
          <cell r="BC70">
            <v>405</v>
          </cell>
          <cell r="BD70">
            <v>80</v>
          </cell>
          <cell r="BE70">
            <v>97</v>
          </cell>
          <cell r="BF70">
            <v>246</v>
          </cell>
          <cell r="BG70">
            <v>174</v>
          </cell>
          <cell r="BH70">
            <v>124</v>
          </cell>
          <cell r="BI70">
            <v>300</v>
          </cell>
          <cell r="BJ70">
            <v>261</v>
          </cell>
          <cell r="BK70">
            <v>504</v>
          </cell>
          <cell r="BL70">
            <v>504</v>
          </cell>
          <cell r="BM70">
            <v>495</v>
          </cell>
          <cell r="BN70">
            <v>324</v>
          </cell>
          <cell r="BO70">
            <v>468</v>
          </cell>
          <cell r="BP70">
            <v>565</v>
          </cell>
          <cell r="BQ70">
            <v>674</v>
          </cell>
        </row>
        <row r="115">
          <cell r="AW115">
            <v>-97</v>
          </cell>
          <cell r="AX115">
            <v>-67</v>
          </cell>
          <cell r="AY115">
            <v>-47</v>
          </cell>
          <cell r="AZ115">
            <v>1.4515077424612877</v>
          </cell>
          <cell r="BA115">
            <v>1.3834364868847628</v>
          </cell>
          <cell r="BB115">
            <v>1.3083722072182666</v>
          </cell>
          <cell r="BC115">
            <v>1.1499254102436598</v>
          </cell>
          <cell r="BD115">
            <v>1.1015679850222326</v>
          </cell>
          <cell r="BE115">
            <v>0.77889564810481982</v>
          </cell>
          <cell r="BF115">
            <v>0.85784187483904195</v>
          </cell>
          <cell r="BG115">
            <v>0.94561848408002258</v>
          </cell>
          <cell r="BH115">
            <v>1.0236655272153563</v>
          </cell>
          <cell r="BI115">
            <v>0.89468528043105555</v>
          </cell>
          <cell r="BJ115">
            <v>0.79701885138097328</v>
          </cell>
          <cell r="BK115">
            <v>0.89561039528281283</v>
          </cell>
          <cell r="BL115">
            <v>0.8169841913254966</v>
          </cell>
          <cell r="BM115">
            <v>1.1438161106590725</v>
          </cell>
          <cell r="BN115">
            <v>1.144906743185079</v>
          </cell>
          <cell r="BO115">
            <v>1.016579259008628</v>
          </cell>
          <cell r="BP115">
            <v>0.64223194748358858</v>
          </cell>
          <cell r="BQ115">
            <v>0.88335310399367339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eekingalpha.com/symbol/GOOGL/earnings/transcripts" TargetMode="External"/><Relationship Id="rId2" Type="http://schemas.openxmlformats.org/officeDocument/2006/relationships/hyperlink" Target="https://abc.xyz/investor/" TargetMode="External"/><Relationship Id="rId1" Type="http://schemas.openxmlformats.org/officeDocument/2006/relationships/hyperlink" Target="https://www.sec.gov/edgar/browse/?CIK=310764&amp;owner=exclude" TargetMode="External"/><Relationship Id="rId5" Type="http://schemas.openxmlformats.org/officeDocument/2006/relationships/hyperlink" Target="https://app.godelterminal.com/" TargetMode="External"/><Relationship Id="rId4" Type="http://schemas.openxmlformats.org/officeDocument/2006/relationships/hyperlink" Target="https://stockanalysis.com/stocks/goog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33"/>
  <sheetViews>
    <sheetView tabSelected="1" workbookViewId="0">
      <selection activeCell="D3" sqref="D3"/>
    </sheetView>
  </sheetViews>
  <sheetFormatPr defaultRowHeight="14.25"/>
  <cols>
    <col min="1" max="1" width="3.42578125" style="1" customWidth="1"/>
    <col min="2" max="4" width="11.5703125" style="1" customWidth="1"/>
    <col min="5" max="16384" width="9.140625" style="1"/>
  </cols>
  <sheetData>
    <row r="2" spans="2:17" ht="15">
      <c r="B2" s="2" t="s">
        <v>1495</v>
      </c>
    </row>
    <row r="3" spans="2:17">
      <c r="B3" s="1" t="s">
        <v>0</v>
      </c>
      <c r="C3" s="45">
        <v>0</v>
      </c>
      <c r="D3" s="44" t="s">
        <v>6</v>
      </c>
    </row>
    <row r="4" spans="2:17">
      <c r="B4" s="1" t="s">
        <v>1</v>
      </c>
      <c r="C4" s="46">
        <v>0</v>
      </c>
      <c r="D4" s="1" t="s">
        <v>7</v>
      </c>
    </row>
    <row r="5" spans="2:17">
      <c r="B5" s="1" t="s">
        <v>2</v>
      </c>
      <c r="C5" s="47">
        <f>C3*C4</f>
        <v>0</v>
      </c>
    </row>
    <row r="6" spans="2:17">
      <c r="B6" s="1" t="s">
        <v>3</v>
      </c>
      <c r="C6" s="48">
        <v>0</v>
      </c>
      <c r="D6" s="1" t="s">
        <v>7</v>
      </c>
    </row>
    <row r="7" spans="2:17">
      <c r="B7" s="1" t="s">
        <v>4</v>
      </c>
      <c r="C7" s="48">
        <v>0</v>
      </c>
      <c r="D7" s="1" t="s">
        <v>7</v>
      </c>
    </row>
    <row r="8" spans="2:17">
      <c r="B8" s="1" t="s">
        <v>5</v>
      </c>
      <c r="C8" s="48">
        <f>C5-C6+C7</f>
        <v>0</v>
      </c>
      <c r="D8" s="1" t="s">
        <v>7</v>
      </c>
    </row>
    <row r="10" spans="2:17" ht="15">
      <c r="B10" s="2" t="s">
        <v>8</v>
      </c>
    </row>
    <row r="11" spans="2:17" ht="15">
      <c r="N11" s="1" t="s">
        <v>235</v>
      </c>
      <c r="Q11" s="2" t="s">
        <v>227</v>
      </c>
    </row>
    <row r="12" spans="2:17">
      <c r="B12" s="1" t="s">
        <v>230</v>
      </c>
      <c r="F12" s="1" t="s">
        <v>13</v>
      </c>
      <c r="N12" s="1" t="s">
        <v>15</v>
      </c>
      <c r="Q12" s="49" t="s">
        <v>219</v>
      </c>
    </row>
    <row r="13" spans="2:17">
      <c r="B13" s="1" t="s">
        <v>9</v>
      </c>
      <c r="F13" s="1" t="s">
        <v>229</v>
      </c>
      <c r="N13" s="1" t="s">
        <v>220</v>
      </c>
      <c r="Q13" s="49" t="s">
        <v>221</v>
      </c>
    </row>
    <row r="14" spans="2:17">
      <c r="B14" s="1" t="s">
        <v>10</v>
      </c>
      <c r="F14" s="1" t="s">
        <v>14</v>
      </c>
      <c r="N14" s="1" t="s">
        <v>222</v>
      </c>
      <c r="Q14" s="49" t="s">
        <v>223</v>
      </c>
    </row>
    <row r="15" spans="2:17">
      <c r="B15" s="1" t="s">
        <v>11</v>
      </c>
      <c r="F15" s="1" t="s">
        <v>231</v>
      </c>
      <c r="N15" s="1" t="s">
        <v>224</v>
      </c>
      <c r="Q15" s="49" t="s">
        <v>225</v>
      </c>
    </row>
    <row r="16" spans="2:17">
      <c r="B16" s="1" t="s">
        <v>12</v>
      </c>
      <c r="F16" s="1" t="s">
        <v>213</v>
      </c>
      <c r="I16" s="1" t="s">
        <v>214</v>
      </c>
      <c r="N16" s="1" t="s">
        <v>16</v>
      </c>
      <c r="Q16" s="49" t="s">
        <v>226</v>
      </c>
    </row>
    <row r="17" spans="1:14" ht="15">
      <c r="B17" s="1" t="s">
        <v>218</v>
      </c>
      <c r="N17" s="2" t="s">
        <v>17</v>
      </c>
    </row>
    <row r="18" spans="1:14">
      <c r="B18" s="1" t="s">
        <v>217</v>
      </c>
    </row>
    <row r="19" spans="1:14" ht="15">
      <c r="B19" s="1" t="s">
        <v>228</v>
      </c>
      <c r="N19" s="2"/>
    </row>
    <row r="21" spans="1:14" ht="15">
      <c r="A21" s="2" t="s">
        <v>18</v>
      </c>
    </row>
    <row r="22" spans="1:14">
      <c r="B22" s="1" t="s">
        <v>19</v>
      </c>
    </row>
    <row r="32" spans="1:14" ht="15">
      <c r="A32" s="2" t="s">
        <v>232</v>
      </c>
    </row>
    <row r="33" spans="2:2">
      <c r="B33" s="1" t="s">
        <v>233</v>
      </c>
    </row>
  </sheetData>
  <hyperlinks>
    <hyperlink ref="Q12" r:id="rId1" xr:uid="{739BC0F6-DDEA-409E-BAA0-CED0EC3FAC10}"/>
    <hyperlink ref="Q13" r:id="rId2" xr:uid="{3A32E811-E794-46FB-A010-EBB0450F323B}"/>
    <hyperlink ref="Q14" r:id="rId3" xr:uid="{E44B94DF-FE8A-4931-93F9-24899DFED42C}"/>
    <hyperlink ref="Q15" r:id="rId4" xr:uid="{02ECFE4E-0865-458E-9F04-951EDF61DD89}"/>
    <hyperlink ref="Q16" r:id="rId5" xr:uid="{14375537-5C3D-4253-9650-337AB678978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7957-A42B-4AB7-A411-12A70E029F5D}">
  <dimension ref="B1:FJ123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74" sqref="B74"/>
    </sheetView>
  </sheetViews>
  <sheetFormatPr defaultRowHeight="14.25"/>
  <cols>
    <col min="1" max="1" width="3.140625" style="1" customWidth="1"/>
    <col min="2" max="2" width="36.42578125" style="1" customWidth="1"/>
    <col min="3" max="4" width="9.140625" style="1" customWidth="1"/>
    <col min="5" max="71" width="9.140625" style="1"/>
    <col min="72" max="78" width="9.140625" style="36"/>
    <col min="79" max="16384" width="9.140625" style="1"/>
  </cols>
  <sheetData>
    <row r="1" spans="2:166" ht="15">
      <c r="B1" s="1" t="s">
        <v>130</v>
      </c>
      <c r="AY1" s="34" t="s">
        <v>102</v>
      </c>
      <c r="BC1" s="34" t="s">
        <v>106</v>
      </c>
      <c r="BG1" s="34" t="s">
        <v>110</v>
      </c>
      <c r="BK1" s="34" t="s">
        <v>114</v>
      </c>
      <c r="BO1" s="34" t="s">
        <v>118</v>
      </c>
      <c r="BS1" s="34" t="s">
        <v>122</v>
      </c>
    </row>
    <row r="2" spans="2:166">
      <c r="B2" s="1" t="s">
        <v>131</v>
      </c>
    </row>
    <row r="3" spans="2:166" ht="15">
      <c r="B3" s="2" t="s">
        <v>132</v>
      </c>
      <c r="C3" s="2" t="s">
        <v>134</v>
      </c>
      <c r="D3" s="34" t="s">
        <v>56</v>
      </c>
      <c r="E3" s="34" t="s">
        <v>57</v>
      </c>
      <c r="F3" s="34" t="s">
        <v>135</v>
      </c>
      <c r="G3" s="34" t="s">
        <v>58</v>
      </c>
      <c r="H3" s="34" t="s">
        <v>59</v>
      </c>
      <c r="I3" s="34" t="s">
        <v>60</v>
      </c>
      <c r="J3" s="34" t="s">
        <v>61</v>
      </c>
      <c r="K3" s="34" t="s">
        <v>62</v>
      </c>
      <c r="L3" s="34" t="s">
        <v>63</v>
      </c>
      <c r="M3" s="34" t="s">
        <v>64</v>
      </c>
      <c r="N3" s="34" t="s">
        <v>65</v>
      </c>
      <c r="O3" s="34" t="s">
        <v>66</v>
      </c>
      <c r="P3" s="34" t="s">
        <v>67</v>
      </c>
      <c r="Q3" s="34" t="s">
        <v>68</v>
      </c>
      <c r="R3" s="34" t="s">
        <v>69</v>
      </c>
      <c r="S3" s="34" t="s">
        <v>70</v>
      </c>
      <c r="T3" s="34" t="s">
        <v>71</v>
      </c>
      <c r="U3" s="34" t="s">
        <v>72</v>
      </c>
      <c r="V3" s="34" t="s">
        <v>73</v>
      </c>
      <c r="W3" s="34" t="s">
        <v>74</v>
      </c>
      <c r="X3" s="34" t="s">
        <v>75</v>
      </c>
      <c r="Y3" s="34" t="s">
        <v>76</v>
      </c>
      <c r="Z3" s="34" t="s">
        <v>77</v>
      </c>
      <c r="AA3" s="34" t="s">
        <v>78</v>
      </c>
      <c r="AB3" s="34" t="s">
        <v>79</v>
      </c>
      <c r="AC3" s="34" t="s">
        <v>80</v>
      </c>
      <c r="AD3" s="34" t="s">
        <v>81</v>
      </c>
      <c r="AE3" s="34" t="s">
        <v>82</v>
      </c>
      <c r="AF3" s="34" t="s">
        <v>83</v>
      </c>
      <c r="AG3" s="34" t="s">
        <v>84</v>
      </c>
      <c r="AH3" s="34" t="s">
        <v>85</v>
      </c>
      <c r="AI3" s="34" t="s">
        <v>86</v>
      </c>
      <c r="AJ3" s="34" t="s">
        <v>87</v>
      </c>
      <c r="AK3" s="34" t="s">
        <v>88</v>
      </c>
      <c r="AL3" s="34" t="s">
        <v>89</v>
      </c>
      <c r="AM3" s="34" t="s">
        <v>90</v>
      </c>
      <c r="AN3" s="34" t="s">
        <v>91</v>
      </c>
      <c r="AO3" s="34" t="s">
        <v>92</v>
      </c>
      <c r="AP3" s="34" t="s">
        <v>93</v>
      </c>
      <c r="AQ3" s="34" t="s">
        <v>94</v>
      </c>
      <c r="AR3" s="34" t="s">
        <v>95</v>
      </c>
      <c r="AS3" s="34" t="s">
        <v>96</v>
      </c>
      <c r="AT3" s="34" t="s">
        <v>97</v>
      </c>
      <c r="AU3" s="34" t="s">
        <v>98</v>
      </c>
      <c r="AV3" s="34" t="s">
        <v>99</v>
      </c>
      <c r="AW3" s="34" t="s">
        <v>100</v>
      </c>
      <c r="AX3" s="34" t="s">
        <v>101</v>
      </c>
      <c r="AY3" s="34" t="s">
        <v>102</v>
      </c>
      <c r="AZ3" s="34" t="s">
        <v>103</v>
      </c>
      <c r="BA3" s="34" t="s">
        <v>104</v>
      </c>
      <c r="BB3" s="34" t="s">
        <v>105</v>
      </c>
      <c r="BC3" s="34" t="s">
        <v>106</v>
      </c>
      <c r="BD3" s="34" t="s">
        <v>107</v>
      </c>
      <c r="BE3" s="34" t="s">
        <v>108</v>
      </c>
      <c r="BF3" s="34" t="s">
        <v>109</v>
      </c>
      <c r="BG3" s="34" t="s">
        <v>110</v>
      </c>
      <c r="BH3" s="34" t="s">
        <v>111</v>
      </c>
      <c r="BI3" s="34" t="s">
        <v>112</v>
      </c>
      <c r="BJ3" s="34" t="s">
        <v>113</v>
      </c>
      <c r="BK3" s="34" t="s">
        <v>114</v>
      </c>
      <c r="BL3" s="34" t="s">
        <v>115</v>
      </c>
      <c r="BM3" s="34" t="s">
        <v>116</v>
      </c>
      <c r="BN3" s="34" t="s">
        <v>117</v>
      </c>
      <c r="BO3" s="34" t="s">
        <v>118</v>
      </c>
      <c r="BP3" s="34" t="s">
        <v>119</v>
      </c>
      <c r="BQ3" s="34" t="s">
        <v>120</v>
      </c>
      <c r="BR3" s="34" t="s">
        <v>121</v>
      </c>
      <c r="BS3" s="34" t="s">
        <v>122</v>
      </c>
      <c r="BT3" s="35" t="s">
        <v>123</v>
      </c>
      <c r="BU3" s="35" t="s">
        <v>124</v>
      </c>
      <c r="BV3" s="35" t="s">
        <v>125</v>
      </c>
      <c r="BW3" s="35" t="s">
        <v>126</v>
      </c>
      <c r="BX3" s="35" t="s">
        <v>127</v>
      </c>
      <c r="BY3" s="35" t="s">
        <v>128</v>
      </c>
      <c r="BZ3" s="35" t="s">
        <v>129</v>
      </c>
      <c r="CI3" s="2">
        <v>2008</v>
      </c>
      <c r="CJ3" s="2">
        <f>CI3+1</f>
        <v>2009</v>
      </c>
      <c r="CK3" s="2">
        <f t="shared" ref="CK3:EV3" si="0">CJ3+1</f>
        <v>2010</v>
      </c>
      <c r="CL3" s="2">
        <f t="shared" si="0"/>
        <v>2011</v>
      </c>
      <c r="CM3" s="2">
        <f t="shared" si="0"/>
        <v>2012</v>
      </c>
      <c r="CN3" s="2">
        <f t="shared" si="0"/>
        <v>2013</v>
      </c>
      <c r="CO3" s="2">
        <f t="shared" si="0"/>
        <v>2014</v>
      </c>
      <c r="CP3" s="2">
        <f t="shared" si="0"/>
        <v>2015</v>
      </c>
      <c r="CQ3" s="2">
        <f t="shared" si="0"/>
        <v>2016</v>
      </c>
      <c r="CR3" s="2">
        <f t="shared" si="0"/>
        <v>2017</v>
      </c>
      <c r="CS3" s="2">
        <f t="shared" si="0"/>
        <v>2018</v>
      </c>
      <c r="CT3" s="2">
        <f t="shared" si="0"/>
        <v>2019</v>
      </c>
      <c r="CU3" s="2">
        <f t="shared" si="0"/>
        <v>2020</v>
      </c>
      <c r="CV3" s="2">
        <f t="shared" si="0"/>
        <v>2021</v>
      </c>
      <c r="CW3" s="2">
        <f t="shared" si="0"/>
        <v>2022</v>
      </c>
      <c r="CX3" s="2">
        <f t="shared" si="0"/>
        <v>2023</v>
      </c>
      <c r="CY3" s="2">
        <f t="shared" si="0"/>
        <v>2024</v>
      </c>
      <c r="CZ3" s="2">
        <f t="shared" si="0"/>
        <v>2025</v>
      </c>
      <c r="DA3" s="2">
        <f t="shared" si="0"/>
        <v>2026</v>
      </c>
      <c r="DB3" s="2">
        <f t="shared" si="0"/>
        <v>2027</v>
      </c>
      <c r="DC3" s="2">
        <f t="shared" si="0"/>
        <v>2028</v>
      </c>
      <c r="DD3" s="2">
        <f t="shared" si="0"/>
        <v>2029</v>
      </c>
      <c r="DE3" s="2">
        <f t="shared" si="0"/>
        <v>2030</v>
      </c>
      <c r="DF3" s="2">
        <f t="shared" si="0"/>
        <v>2031</v>
      </c>
      <c r="DG3" s="2">
        <f t="shared" si="0"/>
        <v>2032</v>
      </c>
      <c r="DH3" s="2">
        <f t="shared" si="0"/>
        <v>2033</v>
      </c>
      <c r="DI3" s="2">
        <f t="shared" si="0"/>
        <v>2034</v>
      </c>
      <c r="DJ3" s="2">
        <f t="shared" si="0"/>
        <v>2035</v>
      </c>
      <c r="DK3" s="2">
        <f t="shared" si="0"/>
        <v>2036</v>
      </c>
      <c r="DL3" s="2">
        <f t="shared" si="0"/>
        <v>2037</v>
      </c>
      <c r="DM3" s="2">
        <f t="shared" si="0"/>
        <v>2038</v>
      </c>
      <c r="DN3" s="2">
        <f t="shared" si="0"/>
        <v>2039</v>
      </c>
      <c r="DO3" s="2">
        <f t="shared" si="0"/>
        <v>2040</v>
      </c>
      <c r="DP3" s="2">
        <f t="shared" si="0"/>
        <v>2041</v>
      </c>
      <c r="DQ3" s="2">
        <f t="shared" si="0"/>
        <v>2042</v>
      </c>
      <c r="DR3" s="2">
        <f t="shared" si="0"/>
        <v>2043</v>
      </c>
      <c r="DS3" s="2">
        <f t="shared" si="0"/>
        <v>2044</v>
      </c>
      <c r="DT3" s="2">
        <f t="shared" si="0"/>
        <v>2045</v>
      </c>
      <c r="DU3" s="2">
        <f t="shared" si="0"/>
        <v>2046</v>
      </c>
      <c r="DV3" s="2">
        <f t="shared" si="0"/>
        <v>2047</v>
      </c>
      <c r="DW3" s="2">
        <f t="shared" si="0"/>
        <v>2048</v>
      </c>
      <c r="DX3" s="2">
        <f t="shared" si="0"/>
        <v>2049</v>
      </c>
      <c r="DY3" s="2">
        <f t="shared" si="0"/>
        <v>2050</v>
      </c>
      <c r="DZ3" s="2">
        <f t="shared" si="0"/>
        <v>2051</v>
      </c>
      <c r="EA3" s="2">
        <f t="shared" si="0"/>
        <v>2052</v>
      </c>
      <c r="EB3" s="2">
        <f t="shared" si="0"/>
        <v>2053</v>
      </c>
      <c r="EC3" s="2">
        <f t="shared" si="0"/>
        <v>2054</v>
      </c>
      <c r="ED3" s="2">
        <f t="shared" si="0"/>
        <v>2055</v>
      </c>
      <c r="EE3" s="2">
        <f t="shared" si="0"/>
        <v>2056</v>
      </c>
      <c r="EF3" s="2">
        <f t="shared" si="0"/>
        <v>2057</v>
      </c>
      <c r="EG3" s="2">
        <f t="shared" si="0"/>
        <v>2058</v>
      </c>
      <c r="EH3" s="2">
        <f t="shared" si="0"/>
        <v>2059</v>
      </c>
      <c r="EI3" s="2">
        <f t="shared" si="0"/>
        <v>2060</v>
      </c>
      <c r="EJ3" s="2">
        <f t="shared" si="0"/>
        <v>2061</v>
      </c>
      <c r="EK3" s="2">
        <f t="shared" si="0"/>
        <v>2062</v>
      </c>
      <c r="EL3" s="2">
        <f t="shared" si="0"/>
        <v>2063</v>
      </c>
      <c r="EM3" s="2">
        <f t="shared" si="0"/>
        <v>2064</v>
      </c>
      <c r="EN3" s="2">
        <f t="shared" si="0"/>
        <v>2065</v>
      </c>
      <c r="EO3" s="2">
        <f t="shared" si="0"/>
        <v>2066</v>
      </c>
      <c r="EP3" s="2">
        <f t="shared" si="0"/>
        <v>2067</v>
      </c>
      <c r="EQ3" s="2">
        <f t="shared" si="0"/>
        <v>2068</v>
      </c>
      <c r="ER3" s="2">
        <f t="shared" si="0"/>
        <v>2069</v>
      </c>
      <c r="ES3" s="2">
        <f t="shared" si="0"/>
        <v>2070</v>
      </c>
      <c r="ET3" s="2">
        <f t="shared" si="0"/>
        <v>2071</v>
      </c>
      <c r="EU3" s="2">
        <f t="shared" si="0"/>
        <v>2072</v>
      </c>
      <c r="EV3" s="2">
        <f t="shared" si="0"/>
        <v>2073</v>
      </c>
      <c r="EW3" s="2">
        <f t="shared" ref="EW3:FG3" si="1">EV3+1</f>
        <v>2074</v>
      </c>
      <c r="EX3" s="2">
        <f t="shared" si="1"/>
        <v>2075</v>
      </c>
      <c r="EY3" s="2">
        <f t="shared" si="1"/>
        <v>2076</v>
      </c>
      <c r="EZ3" s="2">
        <f t="shared" si="1"/>
        <v>2077</v>
      </c>
      <c r="FA3" s="2">
        <f t="shared" si="1"/>
        <v>2078</v>
      </c>
      <c r="FB3" s="2">
        <f t="shared" si="1"/>
        <v>2079</v>
      </c>
      <c r="FC3" s="2">
        <f t="shared" si="1"/>
        <v>2080</v>
      </c>
      <c r="FD3" s="2">
        <f t="shared" si="1"/>
        <v>2081</v>
      </c>
      <c r="FE3" s="2">
        <f t="shared" si="1"/>
        <v>2082</v>
      </c>
      <c r="FF3" s="2">
        <f t="shared" si="1"/>
        <v>2083</v>
      </c>
      <c r="FG3" s="2">
        <f t="shared" si="1"/>
        <v>2084</v>
      </c>
      <c r="FH3" s="2"/>
      <c r="FI3" s="2"/>
      <c r="FJ3" s="2"/>
    </row>
    <row r="4" spans="2:166">
      <c r="B4" s="37" t="s">
        <v>139</v>
      </c>
    </row>
    <row r="5" spans="2:166">
      <c r="B5" s="37" t="s">
        <v>140</v>
      </c>
    </row>
    <row r="6" spans="2:166">
      <c r="B6" s="37" t="s">
        <v>141</v>
      </c>
    </row>
    <row r="7" spans="2:166">
      <c r="B7" s="37" t="s">
        <v>137</v>
      </c>
    </row>
    <row r="8" spans="2:166">
      <c r="B8" s="37" t="s">
        <v>142</v>
      </c>
    </row>
    <row r="9" spans="2:166" ht="15">
      <c r="B9" s="34" t="s">
        <v>136</v>
      </c>
    </row>
    <row r="10" spans="2:166">
      <c r="B10" s="37" t="s">
        <v>143</v>
      </c>
    </row>
    <row r="11" spans="2:166">
      <c r="B11" s="37" t="s">
        <v>144</v>
      </c>
    </row>
    <row r="12" spans="2:166">
      <c r="B12" s="37" t="s">
        <v>145</v>
      </c>
    </row>
    <row r="13" spans="2:166">
      <c r="B13" s="37" t="s">
        <v>146</v>
      </c>
      <c r="C13" s="37"/>
    </row>
    <row r="14" spans="2:166">
      <c r="B14" s="37" t="s">
        <v>147</v>
      </c>
      <c r="C14" s="37"/>
    </row>
    <row r="15" spans="2:166" ht="15">
      <c r="B15" s="34" t="s">
        <v>138</v>
      </c>
      <c r="C15" s="37"/>
    </row>
    <row r="16" spans="2:166" ht="15">
      <c r="B16" s="34" t="s">
        <v>133</v>
      </c>
      <c r="C16" s="37"/>
    </row>
    <row r="17" spans="2:3">
      <c r="B17" s="37"/>
      <c r="C17" s="37"/>
    </row>
    <row r="18" spans="2:3">
      <c r="B18" s="38" t="s">
        <v>150</v>
      </c>
    </row>
    <row r="19" spans="2:3">
      <c r="B19" s="38" t="s">
        <v>151</v>
      </c>
    </row>
    <row r="20" spans="2:3">
      <c r="B20" s="38" t="s">
        <v>152</v>
      </c>
    </row>
    <row r="21" spans="2:3">
      <c r="B21" s="38" t="s">
        <v>153</v>
      </c>
    </row>
    <row r="22" spans="2:3">
      <c r="B22" s="38" t="s">
        <v>154</v>
      </c>
    </row>
    <row r="23" spans="2:3">
      <c r="B23" s="38" t="s">
        <v>155</v>
      </c>
    </row>
    <row r="24" spans="2:3">
      <c r="B24" s="38" t="s">
        <v>158</v>
      </c>
    </row>
    <row r="25" spans="2:3">
      <c r="B25" s="38" t="s">
        <v>157</v>
      </c>
    </row>
    <row r="26" spans="2:3">
      <c r="B26" s="38" t="s">
        <v>159</v>
      </c>
    </row>
    <row r="27" spans="2:3">
      <c r="B27" s="38" t="s">
        <v>156</v>
      </c>
    </row>
    <row r="29" spans="2:3" ht="15">
      <c r="B29" s="34" t="s">
        <v>148</v>
      </c>
    </row>
    <row r="30" spans="2:3" ht="15">
      <c r="B30" s="34" t="s">
        <v>149</v>
      </c>
    </row>
    <row r="32" spans="2:3">
      <c r="B32" s="1" t="s">
        <v>160</v>
      </c>
    </row>
    <row r="33" spans="2:2">
      <c r="B33" s="1" t="s">
        <v>163</v>
      </c>
    </row>
    <row r="34" spans="2:2">
      <c r="B34" s="1" t="s">
        <v>162</v>
      </c>
    </row>
    <row r="35" spans="2:2">
      <c r="B35" s="1" t="s">
        <v>161</v>
      </c>
    </row>
    <row r="37" spans="2:2">
      <c r="B37" s="1" t="s">
        <v>170</v>
      </c>
    </row>
    <row r="38" spans="2:2">
      <c r="B38" s="1" t="s">
        <v>168</v>
      </c>
    </row>
    <row r="39" spans="2:2">
      <c r="B39" s="1" t="s">
        <v>169</v>
      </c>
    </row>
    <row r="40" spans="2:2">
      <c r="B40" s="1" t="s">
        <v>171</v>
      </c>
    </row>
    <row r="42" spans="2:2">
      <c r="B42" s="39" t="s">
        <v>164</v>
      </c>
    </row>
    <row r="43" spans="2:2">
      <c r="B43" s="1" t="s">
        <v>165</v>
      </c>
    </row>
    <row r="44" spans="2:2">
      <c r="B44" s="1" t="s">
        <v>166</v>
      </c>
    </row>
    <row r="45" spans="2:2">
      <c r="B45" s="1" t="s">
        <v>167</v>
      </c>
    </row>
    <row r="47" spans="2:2" ht="15">
      <c r="B47" s="2" t="s">
        <v>132</v>
      </c>
    </row>
    <row r="48" spans="2:2">
      <c r="B48" s="1" t="s">
        <v>172</v>
      </c>
    </row>
    <row r="49" spans="2:2">
      <c r="B49" s="1" t="s">
        <v>173</v>
      </c>
    </row>
    <row r="67" spans="2:2">
      <c r="B67" s="38" t="s">
        <v>174</v>
      </c>
    </row>
    <row r="68" spans="2:2">
      <c r="B68" s="38" t="s">
        <v>175</v>
      </c>
    </row>
    <row r="69" spans="2:2">
      <c r="B69" s="38" t="s">
        <v>176</v>
      </c>
    </row>
    <row r="70" spans="2:2">
      <c r="B70" s="38" t="s">
        <v>177</v>
      </c>
    </row>
    <row r="71" spans="2:2">
      <c r="B71" s="38" t="s">
        <v>178</v>
      </c>
    </row>
    <row r="72" spans="2:2">
      <c r="B72" s="38" t="s">
        <v>179</v>
      </c>
    </row>
    <row r="73" spans="2:2">
      <c r="B73" s="38" t="s">
        <v>215</v>
      </c>
    </row>
    <row r="75" spans="2:2">
      <c r="B75" s="1" t="s">
        <v>180</v>
      </c>
    </row>
    <row r="76" spans="2:2">
      <c r="B76" s="1" t="s">
        <v>181</v>
      </c>
    </row>
    <row r="77" spans="2:2">
      <c r="B77" s="1" t="s">
        <v>182</v>
      </c>
    </row>
    <row r="109" spans="2:2">
      <c r="B109" s="1" t="s">
        <v>183</v>
      </c>
    </row>
    <row r="110" spans="2:2">
      <c r="B110" s="1" t="s">
        <v>184</v>
      </c>
    </row>
    <row r="111" spans="2:2">
      <c r="B111" s="1" t="s">
        <v>185</v>
      </c>
    </row>
    <row r="112" spans="2:2">
      <c r="B112" s="1" t="s">
        <v>186</v>
      </c>
    </row>
    <row r="113" spans="2:2">
      <c r="B113" s="1" t="s">
        <v>187</v>
      </c>
    </row>
    <row r="114" spans="2:2">
      <c r="B114" s="1" t="s">
        <v>188</v>
      </c>
    </row>
    <row r="115" spans="2:2">
      <c r="B115" s="1" t="s">
        <v>189</v>
      </c>
    </row>
    <row r="118" spans="2:2">
      <c r="B118" s="1" t="s">
        <v>190</v>
      </c>
    </row>
    <row r="119" spans="2:2">
      <c r="B119" s="1" t="s">
        <v>191</v>
      </c>
    </row>
    <row r="120" spans="2:2">
      <c r="B120" s="1" t="s">
        <v>192</v>
      </c>
    </row>
    <row r="121" spans="2:2">
      <c r="B121" s="1" t="s">
        <v>193</v>
      </c>
    </row>
    <row r="122" spans="2:2">
      <c r="B122" s="1" t="s">
        <v>194</v>
      </c>
    </row>
    <row r="123" spans="2:2">
      <c r="B123" s="1" t="s">
        <v>195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D4A5-C172-4508-BDD9-9132B91E029B}">
  <dimension ref="A1:CA1618"/>
  <sheetViews>
    <sheetView zoomScale="70" zoomScaleNormal="70" workbookViewId="0">
      <selection activeCell="H37" sqref="H37"/>
    </sheetView>
  </sheetViews>
  <sheetFormatPr defaultRowHeight="14.25"/>
  <cols>
    <col min="1" max="7" width="9.140625" style="1"/>
    <col min="8" max="8" width="3.140625" style="1" customWidth="1"/>
    <col min="9" max="28" width="9.140625" style="1"/>
    <col min="29" max="29" width="2.85546875" style="1" customWidth="1"/>
    <col min="30" max="16384" width="9.140625" style="1"/>
  </cols>
  <sheetData>
    <row r="1" spans="8:79">
      <c r="CA1" s="1">
        <v>0</v>
      </c>
    </row>
    <row r="2" spans="8:79" ht="15">
      <c r="H2" s="2" t="s">
        <v>234</v>
      </c>
      <c r="AD2" s="2" t="s">
        <v>196</v>
      </c>
    </row>
    <row r="36" spans="8:30" ht="15">
      <c r="H36" s="2" t="s">
        <v>1494</v>
      </c>
    </row>
    <row r="37" spans="8:30" ht="15">
      <c r="AD37" s="2" t="s">
        <v>197</v>
      </c>
    </row>
    <row r="38" spans="8:30" ht="15">
      <c r="AD38" s="2" t="s">
        <v>198</v>
      </c>
    </row>
    <row r="39" spans="8:30">
      <c r="AD39" s="1" t="s">
        <v>199</v>
      </c>
    </row>
    <row r="67" spans="8:8" ht="15">
      <c r="H67" s="2" t="s">
        <v>24</v>
      </c>
    </row>
    <row r="99" spans="8:10">
      <c r="I99" s="1" t="s">
        <v>25</v>
      </c>
      <c r="J99" s="1" t="s">
        <v>26</v>
      </c>
    </row>
    <row r="100" spans="8:10">
      <c r="J100" s="1" t="s">
        <v>27</v>
      </c>
    </row>
    <row r="101" spans="8:10">
      <c r="J101" s="1" t="s">
        <v>28</v>
      </c>
    </row>
    <row r="103" spans="8:10" ht="15">
      <c r="H103" s="2" t="s">
        <v>29</v>
      </c>
    </row>
    <row r="132" spans="8:30">
      <c r="I132" s="1" t="s">
        <v>25</v>
      </c>
      <c r="J132" s="1" t="s">
        <v>26</v>
      </c>
    </row>
    <row r="133" spans="8:30">
      <c r="J133" s="1" t="s">
        <v>27</v>
      </c>
    </row>
    <row r="134" spans="8:30">
      <c r="J134" s="1" t="s">
        <v>28</v>
      </c>
    </row>
    <row r="136" spans="8:30" ht="15">
      <c r="H136" s="2" t="s">
        <v>29</v>
      </c>
    </row>
    <row r="137" spans="8:30" ht="15">
      <c r="AD137" s="2" t="s">
        <v>200</v>
      </c>
    </row>
    <row r="138" spans="8:30">
      <c r="AD138" s="1" t="s">
        <v>201</v>
      </c>
    </row>
    <row r="165" spans="8:10">
      <c r="I165" s="1" t="s">
        <v>25</v>
      </c>
      <c r="J165" s="1" t="s">
        <v>26</v>
      </c>
    </row>
    <row r="166" spans="8:10">
      <c r="J166" s="1" t="s">
        <v>27</v>
      </c>
    </row>
    <row r="167" spans="8:10">
      <c r="J167" s="1" t="s">
        <v>28</v>
      </c>
    </row>
    <row r="169" spans="8:10" ht="15">
      <c r="H169" s="2" t="s">
        <v>37</v>
      </c>
    </row>
    <row r="197" spans="1:11">
      <c r="A197" s="1" t="s">
        <v>1493</v>
      </c>
    </row>
    <row r="198" spans="1:11">
      <c r="A198" s="24" t="s">
        <v>30</v>
      </c>
      <c r="B198" s="24" t="s">
        <v>31</v>
      </c>
      <c r="C198" s="24" t="s">
        <v>32</v>
      </c>
      <c r="D198" s="24" t="s">
        <v>33</v>
      </c>
      <c r="E198" s="24" t="s">
        <v>34</v>
      </c>
      <c r="F198" s="24" t="s">
        <v>35</v>
      </c>
      <c r="G198" s="24" t="s">
        <v>36</v>
      </c>
    </row>
    <row r="199" spans="1:11">
      <c r="A199" s="50">
        <v>55.77</v>
      </c>
      <c r="B199" s="50">
        <v>57.29</v>
      </c>
      <c r="C199" s="50">
        <v>55.34</v>
      </c>
      <c r="D199" s="50">
        <v>56.62</v>
      </c>
      <c r="E199" s="50">
        <v>575835</v>
      </c>
      <c r="F199" s="50" t="s">
        <v>236</v>
      </c>
      <c r="G199" s="25">
        <f>A199/D199-1</f>
        <v>-1.5012363122571482E-2</v>
      </c>
    </row>
    <row r="200" spans="1:11">
      <c r="A200" s="50">
        <v>56.63</v>
      </c>
      <c r="B200" s="50">
        <v>56.75</v>
      </c>
      <c r="C200" s="50">
        <v>55.43</v>
      </c>
      <c r="D200" s="50">
        <v>55.95</v>
      </c>
      <c r="E200" s="50">
        <v>918722</v>
      </c>
      <c r="F200" s="50" t="s">
        <v>237</v>
      </c>
      <c r="G200" s="25">
        <f t="shared" ref="G200:G263" si="0">A200/D200-1</f>
        <v>1.2153708668454E-2</v>
      </c>
    </row>
    <row r="201" spans="1:11">
      <c r="A201" s="50">
        <v>56</v>
      </c>
      <c r="B201" s="50">
        <v>57.376100000000001</v>
      </c>
      <c r="C201" s="50">
        <v>55.84</v>
      </c>
      <c r="D201" s="50">
        <v>57.28</v>
      </c>
      <c r="E201" s="50">
        <v>513874</v>
      </c>
      <c r="F201" s="50" t="s">
        <v>238</v>
      </c>
      <c r="G201" s="25">
        <f t="shared" si="0"/>
        <v>-2.2346368715083775E-2</v>
      </c>
    </row>
    <row r="202" spans="1:11">
      <c r="A202" s="50">
        <v>57.3</v>
      </c>
      <c r="B202" s="50">
        <v>57.97</v>
      </c>
      <c r="C202" s="50">
        <v>57.16</v>
      </c>
      <c r="D202" s="50">
        <v>57.55</v>
      </c>
      <c r="E202" s="50">
        <v>483068</v>
      </c>
      <c r="F202" s="50" t="s">
        <v>239</v>
      </c>
      <c r="G202" s="25">
        <f t="shared" si="0"/>
        <v>-4.344048653344923E-3</v>
      </c>
    </row>
    <row r="203" spans="1:11">
      <c r="A203" s="50">
        <v>57.35</v>
      </c>
      <c r="B203" s="50">
        <v>58.7</v>
      </c>
      <c r="C203" s="50">
        <v>57.02</v>
      </c>
      <c r="D203" s="50">
        <v>58.52</v>
      </c>
      <c r="E203" s="50">
        <v>1410923</v>
      </c>
      <c r="F203" s="50" t="s">
        <v>240</v>
      </c>
      <c r="G203" s="25">
        <f t="shared" si="0"/>
        <v>-1.9993164730006896E-2</v>
      </c>
    </row>
    <row r="204" spans="1:11">
      <c r="A204" s="50">
        <v>58.22</v>
      </c>
      <c r="B204" s="50">
        <v>59.43</v>
      </c>
      <c r="C204" s="50">
        <v>57.98</v>
      </c>
      <c r="D204" s="50">
        <v>58.05</v>
      </c>
      <c r="E204" s="50">
        <v>1153878</v>
      </c>
      <c r="F204" s="50" t="s">
        <v>241</v>
      </c>
      <c r="G204" s="25">
        <f t="shared" si="0"/>
        <v>2.928509905254062E-3</v>
      </c>
    </row>
    <row r="205" spans="1:11">
      <c r="A205" s="50">
        <v>58.05</v>
      </c>
      <c r="B205" s="50">
        <v>58.469299999999997</v>
      </c>
      <c r="C205" s="50">
        <v>57.305</v>
      </c>
      <c r="D205" s="50">
        <v>57.4</v>
      </c>
      <c r="E205" s="50">
        <v>816065</v>
      </c>
      <c r="F205" s="50" t="s">
        <v>242</v>
      </c>
      <c r="G205" s="25">
        <f t="shared" si="0"/>
        <v>1.1324041811846763E-2</v>
      </c>
    </row>
    <row r="206" spans="1:11">
      <c r="A206" s="50">
        <v>57.59</v>
      </c>
      <c r="B206" s="50">
        <v>57.74</v>
      </c>
      <c r="C206" s="50">
        <v>55.25</v>
      </c>
      <c r="D206" s="50">
        <v>55.53</v>
      </c>
      <c r="E206" s="50">
        <v>970931</v>
      </c>
      <c r="F206" s="50" t="s">
        <v>243</v>
      </c>
      <c r="G206" s="25">
        <f t="shared" si="0"/>
        <v>3.7097064649738831E-2</v>
      </c>
    </row>
    <row r="207" spans="1:11">
      <c r="A207" s="50">
        <v>55.76</v>
      </c>
      <c r="B207" s="50">
        <v>56.49</v>
      </c>
      <c r="C207" s="50">
        <v>55.22</v>
      </c>
      <c r="D207" s="50">
        <v>55.97</v>
      </c>
      <c r="E207" s="50">
        <v>603749</v>
      </c>
      <c r="F207" s="50" t="s">
        <v>244</v>
      </c>
      <c r="G207" s="25">
        <f t="shared" si="0"/>
        <v>-3.7520100053600736E-3</v>
      </c>
    </row>
    <row r="208" spans="1:11">
      <c r="A208" s="50">
        <v>55.93</v>
      </c>
      <c r="B208" s="50">
        <v>55.99</v>
      </c>
      <c r="C208" s="50">
        <v>54.77</v>
      </c>
      <c r="D208" s="50">
        <v>54.88</v>
      </c>
      <c r="E208" s="50">
        <v>964835</v>
      </c>
      <c r="F208" s="50" t="s">
        <v>245</v>
      </c>
      <c r="G208" s="25">
        <f t="shared" si="0"/>
        <v>1.9132653061224358E-2</v>
      </c>
      <c r="I208" s="26"/>
      <c r="J208" s="26" t="s">
        <v>38</v>
      </c>
      <c r="K208" s="27">
        <f>MIN(G213:G1204)</f>
        <v>-7.6575898901760087E-2</v>
      </c>
    </row>
    <row r="209" spans="1:20">
      <c r="A209" s="50">
        <v>55.32</v>
      </c>
      <c r="B209" s="50">
        <v>55.33</v>
      </c>
      <c r="C209" s="50">
        <v>54.698</v>
      </c>
      <c r="D209" s="50">
        <v>55.1</v>
      </c>
      <c r="E209" s="50">
        <v>541557</v>
      </c>
      <c r="F209" s="50" t="s">
        <v>246</v>
      </c>
      <c r="G209" s="25">
        <f t="shared" si="0"/>
        <v>3.9927404718693715E-3</v>
      </c>
      <c r="I209" s="26"/>
      <c r="J209" s="26" t="s">
        <v>39</v>
      </c>
      <c r="K209" s="27">
        <f>MAX(G213:G1204)</f>
        <v>0.10464559386973193</v>
      </c>
    </row>
    <row r="210" spans="1:20">
      <c r="A210" s="50">
        <v>55.05</v>
      </c>
      <c r="B210" s="50">
        <v>55.44</v>
      </c>
      <c r="C210" s="50">
        <v>54.77</v>
      </c>
      <c r="D210" s="50">
        <v>55.2</v>
      </c>
      <c r="E210" s="50">
        <v>541983</v>
      </c>
      <c r="F210" s="50" t="s">
        <v>247</v>
      </c>
      <c r="G210" s="25">
        <f t="shared" si="0"/>
        <v>-2.7173913043478937E-3</v>
      </c>
      <c r="I210" s="26"/>
      <c r="J210" s="26" t="s">
        <v>40</v>
      </c>
      <c r="K210" s="27">
        <f>AVERAGE(G213:G1204)</f>
        <v>1.4370139865917399E-4</v>
      </c>
    </row>
    <row r="211" spans="1:20">
      <c r="A211" s="50">
        <v>55.19</v>
      </c>
      <c r="B211" s="50">
        <v>55.24</v>
      </c>
      <c r="C211" s="50">
        <v>54.305</v>
      </c>
      <c r="D211" s="50">
        <v>54.85</v>
      </c>
      <c r="E211" s="50">
        <v>525672</v>
      </c>
      <c r="F211" s="50" t="s">
        <v>248</v>
      </c>
      <c r="G211" s="25">
        <f t="shared" si="0"/>
        <v>6.1987237921603544E-3</v>
      </c>
      <c r="I211" s="26"/>
      <c r="J211" s="26" t="s">
        <v>41</v>
      </c>
      <c r="K211" s="27">
        <f>MEDIAN(G213:G1204)</f>
        <v>-5.6681435023092641E-4</v>
      </c>
    </row>
    <row r="212" spans="1:20" ht="15">
      <c r="A212" s="50">
        <v>54.16</v>
      </c>
      <c r="B212" s="50">
        <v>54.45</v>
      </c>
      <c r="C212" s="50">
        <v>53.371600000000001</v>
      </c>
      <c r="D212" s="50">
        <v>53.41</v>
      </c>
      <c r="E212" s="50">
        <v>500484</v>
      </c>
      <c r="F212" s="50" t="s">
        <v>249</v>
      </c>
      <c r="G212" s="25">
        <f t="shared" si="0"/>
        <v>1.4042314173375869E-2</v>
      </c>
      <c r="I212" s="26"/>
      <c r="J212" s="26" t="s">
        <v>42</v>
      </c>
      <c r="K212" s="27">
        <f>_xlfn.STDEV.P(G213:G1204)</f>
        <v>2.3460763168077117E-2</v>
      </c>
      <c r="M212" s="2"/>
    </row>
    <row r="213" spans="1:20" ht="15">
      <c r="A213" s="50">
        <v>54.46</v>
      </c>
      <c r="B213" s="50">
        <v>54.91</v>
      </c>
      <c r="C213" s="50">
        <v>53.65</v>
      </c>
      <c r="D213" s="50">
        <v>53.86</v>
      </c>
      <c r="E213" s="50">
        <v>767999</v>
      </c>
      <c r="F213" s="50" t="s">
        <v>250</v>
      </c>
      <c r="G213" s="25">
        <f t="shared" si="0"/>
        <v>1.113999257333842E-2</v>
      </c>
      <c r="I213" s="26"/>
      <c r="J213" s="28" t="s">
        <v>43</v>
      </c>
      <c r="K213" s="27">
        <f>3*K212</f>
        <v>7.0382289504231352E-2</v>
      </c>
      <c r="L213" s="26"/>
      <c r="M213" s="2" t="s">
        <v>216</v>
      </c>
    </row>
    <row r="214" spans="1:20" ht="15">
      <c r="A214" s="50">
        <v>53.94</v>
      </c>
      <c r="B214" s="50">
        <v>55.06</v>
      </c>
      <c r="C214" s="50">
        <v>53.85</v>
      </c>
      <c r="D214" s="50">
        <v>54.65</v>
      </c>
      <c r="E214" s="50">
        <v>589348</v>
      </c>
      <c r="F214" s="50" t="s">
        <v>251</v>
      </c>
      <c r="G214" s="25">
        <f t="shared" si="0"/>
        <v>-1.2991765782250697E-2</v>
      </c>
      <c r="I214" s="26"/>
      <c r="J214" s="28" t="s">
        <v>44</v>
      </c>
      <c r="K214" s="26">
        <v>0.94</v>
      </c>
      <c r="L214" s="26"/>
      <c r="M214" s="2" t="s">
        <v>45</v>
      </c>
    </row>
    <row r="215" spans="1:20" ht="15" customHeight="1">
      <c r="A215" s="50">
        <v>55.43</v>
      </c>
      <c r="B215" s="50">
        <v>55.48</v>
      </c>
      <c r="C215" s="50">
        <v>54.63</v>
      </c>
      <c r="D215" s="50">
        <v>54.71</v>
      </c>
      <c r="E215" s="50">
        <v>380532</v>
      </c>
      <c r="F215" s="50" t="s">
        <v>252</v>
      </c>
      <c r="G215" s="25">
        <f t="shared" si="0"/>
        <v>1.3160299762383421E-2</v>
      </c>
    </row>
    <row r="216" spans="1:20">
      <c r="A216" s="50">
        <v>54.87</v>
      </c>
      <c r="B216" s="50">
        <v>55.564999999999998</v>
      </c>
      <c r="C216" s="50">
        <v>54.420099999999998</v>
      </c>
      <c r="D216" s="50">
        <v>54.79</v>
      </c>
      <c r="E216" s="50">
        <v>432863</v>
      </c>
      <c r="F216" s="50" t="s">
        <v>253</v>
      </c>
      <c r="G216" s="25">
        <f t="shared" si="0"/>
        <v>1.4601204599378192E-3</v>
      </c>
    </row>
    <row r="217" spans="1:20">
      <c r="A217" s="50">
        <v>55.54</v>
      </c>
      <c r="B217" s="50">
        <v>55.69</v>
      </c>
      <c r="C217" s="50">
        <v>54.655000000000001</v>
      </c>
      <c r="D217" s="50">
        <v>54.83</v>
      </c>
      <c r="E217" s="50">
        <v>348681</v>
      </c>
      <c r="F217" s="50" t="s">
        <v>254</v>
      </c>
      <c r="G217" s="25">
        <f t="shared" si="0"/>
        <v>1.2949115447747683E-2</v>
      </c>
      <c r="L217" s="29" t="s">
        <v>46</v>
      </c>
      <c r="M217" s="30">
        <v>1257</v>
      </c>
    </row>
    <row r="218" spans="1:20" ht="15" thickBot="1">
      <c r="A218" s="50">
        <v>55.04</v>
      </c>
      <c r="B218" s="50">
        <v>55.32</v>
      </c>
      <c r="C218" s="50">
        <v>54.15</v>
      </c>
      <c r="D218" s="50">
        <v>55</v>
      </c>
      <c r="E218" s="50">
        <v>333793</v>
      </c>
      <c r="F218" s="50" t="s">
        <v>255</v>
      </c>
      <c r="G218" s="25">
        <f t="shared" si="0"/>
        <v>7.2727272727268755E-4</v>
      </c>
      <c r="L218" s="1" t="s">
        <v>47</v>
      </c>
      <c r="O218" s="1" t="s">
        <v>48</v>
      </c>
      <c r="S218" s="1" t="s">
        <v>49</v>
      </c>
    </row>
    <row r="219" spans="1:20" ht="15" customHeight="1">
      <c r="A219" s="50">
        <v>55</v>
      </c>
      <c r="B219" s="50">
        <v>55.69</v>
      </c>
      <c r="C219" s="50">
        <v>54.65</v>
      </c>
      <c r="D219" s="50">
        <v>54.83</v>
      </c>
      <c r="E219" s="50">
        <v>718979</v>
      </c>
      <c r="F219" s="50" t="s">
        <v>256</v>
      </c>
      <c r="G219" s="25">
        <f t="shared" si="0"/>
        <v>3.1004924311508475E-3</v>
      </c>
      <c r="L219" s="31" t="s">
        <v>50</v>
      </c>
      <c r="M219" s="31" t="s">
        <v>51</v>
      </c>
      <c r="O219" s="32" t="s">
        <v>52</v>
      </c>
      <c r="P219" s="33" t="s">
        <v>53</v>
      </c>
      <c r="S219" s="32" t="s">
        <v>54</v>
      </c>
      <c r="T219" s="33" t="s">
        <v>55</v>
      </c>
    </row>
    <row r="220" spans="1:20">
      <c r="A220" s="50">
        <v>55.16</v>
      </c>
      <c r="B220" s="50">
        <v>55.45</v>
      </c>
      <c r="C220" s="50">
        <v>54.354999999999997</v>
      </c>
      <c r="D220" s="50">
        <v>55</v>
      </c>
      <c r="E220" s="50">
        <v>694580</v>
      </c>
      <c r="F220" s="50" t="s">
        <v>257</v>
      </c>
      <c r="G220" s="25">
        <f t="shared" si="0"/>
        <v>2.9090909090907502E-3</v>
      </c>
      <c r="R220" s="1" t="s">
        <v>206</v>
      </c>
      <c r="S220" s="25">
        <f>K210</f>
        <v>1.4370139865917399E-4</v>
      </c>
    </row>
    <row r="221" spans="1:20">
      <c r="A221" s="50">
        <v>54.91</v>
      </c>
      <c r="B221" s="50">
        <v>55.2</v>
      </c>
      <c r="C221" s="50">
        <v>53.98</v>
      </c>
      <c r="D221" s="50">
        <v>54.32</v>
      </c>
      <c r="E221" s="50">
        <v>984707</v>
      </c>
      <c r="F221" s="50" t="s">
        <v>258</v>
      </c>
      <c r="G221" s="25">
        <f t="shared" si="0"/>
        <v>1.0861561119293039E-2</v>
      </c>
      <c r="S221" s="25">
        <f>K210</f>
        <v>1.4370139865917399E-4</v>
      </c>
    </row>
    <row r="222" spans="1:20">
      <c r="A222" s="50">
        <v>53.23</v>
      </c>
      <c r="B222" s="50">
        <v>53.914999999999999</v>
      </c>
      <c r="C222" s="50">
        <v>52.86</v>
      </c>
      <c r="D222" s="50">
        <v>53</v>
      </c>
      <c r="E222" s="50">
        <v>762263</v>
      </c>
      <c r="F222" s="50" t="s">
        <v>259</v>
      </c>
      <c r="G222" s="25">
        <f t="shared" si="0"/>
        <v>4.3396226415093331E-3</v>
      </c>
      <c r="R222" s="40" t="s">
        <v>207</v>
      </c>
      <c r="S222" s="51">
        <f>($K$212*-3)+$K$210</f>
        <v>-7.0238588105572181E-2</v>
      </c>
    </row>
    <row r="223" spans="1:20">
      <c r="A223" s="50">
        <v>52.96</v>
      </c>
      <c r="B223" s="50">
        <v>53.32</v>
      </c>
      <c r="C223" s="50">
        <v>50.465000000000003</v>
      </c>
      <c r="D223" s="50">
        <v>50.67</v>
      </c>
      <c r="E223" s="50">
        <v>1318978</v>
      </c>
      <c r="F223" s="50" t="s">
        <v>260</v>
      </c>
      <c r="G223" s="25">
        <f t="shared" si="0"/>
        <v>4.5194395105585095E-2</v>
      </c>
      <c r="R223" s="41"/>
      <c r="S223" s="51">
        <f>($K$212*-3)+$K$210</f>
        <v>-7.0238588105572181E-2</v>
      </c>
    </row>
    <row r="224" spans="1:20">
      <c r="A224" s="50">
        <v>50.67</v>
      </c>
      <c r="B224" s="50">
        <v>50.92</v>
      </c>
      <c r="C224" s="50">
        <v>48.43</v>
      </c>
      <c r="D224" s="50">
        <v>49.295000000000002</v>
      </c>
      <c r="E224" s="50">
        <v>1520800</v>
      </c>
      <c r="F224" s="50" t="s">
        <v>261</v>
      </c>
      <c r="G224" s="25">
        <f t="shared" si="0"/>
        <v>2.7893295466071555E-2</v>
      </c>
      <c r="R224" s="40" t="s">
        <v>208</v>
      </c>
      <c r="S224" s="51">
        <f>($K$212*-2)+$K$210</f>
        <v>-4.6777824937495063E-2</v>
      </c>
    </row>
    <row r="225" spans="1:30">
      <c r="A225" s="50">
        <v>46.65</v>
      </c>
      <c r="B225" s="50">
        <v>47.28</v>
      </c>
      <c r="C225" s="50">
        <v>46.37</v>
      </c>
      <c r="D225" s="50">
        <v>46.43</v>
      </c>
      <c r="E225" s="50">
        <v>958044</v>
      </c>
      <c r="F225" s="50" t="s">
        <v>262</v>
      </c>
      <c r="G225" s="25">
        <f t="shared" si="0"/>
        <v>4.738315744130972E-3</v>
      </c>
      <c r="R225" s="41"/>
      <c r="S225" s="51">
        <f>($K$212*-2)+$K$210</f>
        <v>-4.6777824937495063E-2</v>
      </c>
    </row>
    <row r="226" spans="1:30">
      <c r="A226" s="50">
        <v>47.15</v>
      </c>
      <c r="B226" s="50">
        <v>48.04</v>
      </c>
      <c r="C226" s="50">
        <v>46.63</v>
      </c>
      <c r="D226" s="50">
        <v>46.63</v>
      </c>
      <c r="E226" s="50">
        <v>892551</v>
      </c>
      <c r="F226" s="50" t="s">
        <v>263</v>
      </c>
      <c r="G226" s="25">
        <f t="shared" si="0"/>
        <v>1.1151619129315726E-2</v>
      </c>
      <c r="R226" s="42" t="s">
        <v>209</v>
      </c>
      <c r="S226" s="51">
        <f>($K$212*-1)+$K$210</f>
        <v>-2.3317061769417943E-2</v>
      </c>
    </row>
    <row r="227" spans="1:30">
      <c r="A227" s="50">
        <v>47.27</v>
      </c>
      <c r="B227" s="50">
        <v>47.91</v>
      </c>
      <c r="C227" s="50">
        <v>46.71</v>
      </c>
      <c r="D227" s="50">
        <v>47.91</v>
      </c>
      <c r="E227" s="50">
        <v>548000</v>
      </c>
      <c r="F227" s="50" t="s">
        <v>264</v>
      </c>
      <c r="G227" s="25">
        <f t="shared" si="0"/>
        <v>-1.3358380296388916E-2</v>
      </c>
      <c r="S227" s="51">
        <f>($K$212*-1)+$K$210</f>
        <v>-2.3317061769417943E-2</v>
      </c>
    </row>
    <row r="228" spans="1:30">
      <c r="A228" s="50">
        <v>47.33</v>
      </c>
      <c r="B228" s="50">
        <v>47.96</v>
      </c>
      <c r="C228" s="50">
        <v>47.17</v>
      </c>
      <c r="D228" s="50">
        <v>47.58</v>
      </c>
      <c r="E228" s="50">
        <v>401596</v>
      </c>
      <c r="F228" s="50" t="s">
        <v>265</v>
      </c>
      <c r="G228" s="25">
        <f t="shared" si="0"/>
        <v>-5.2543085329970207E-3</v>
      </c>
      <c r="R228" s="1" t="s">
        <v>210</v>
      </c>
      <c r="S228" s="51">
        <f>($K$212*1)+$K$210</f>
        <v>2.3604464566736292E-2</v>
      </c>
    </row>
    <row r="229" spans="1:30">
      <c r="A229" s="50">
        <v>47.23</v>
      </c>
      <c r="B229" s="50">
        <v>47.33</v>
      </c>
      <c r="C229" s="50">
        <v>46.56</v>
      </c>
      <c r="D229" s="50">
        <v>47.13</v>
      </c>
      <c r="E229" s="50">
        <v>583827</v>
      </c>
      <c r="F229" s="50" t="s">
        <v>266</v>
      </c>
      <c r="G229" s="25">
        <f t="shared" si="0"/>
        <v>2.1217907914279355E-3</v>
      </c>
      <c r="S229" s="51">
        <f>($K$212*1)+$K$210</f>
        <v>2.3604464566736292E-2</v>
      </c>
    </row>
    <row r="230" spans="1:30">
      <c r="A230" s="50">
        <v>47.8</v>
      </c>
      <c r="B230" s="50">
        <v>48.064999999999998</v>
      </c>
      <c r="C230" s="50">
        <v>46.85</v>
      </c>
      <c r="D230" s="50">
        <v>46.9</v>
      </c>
      <c r="E230" s="50">
        <v>575859</v>
      </c>
      <c r="F230" s="50" t="s">
        <v>267</v>
      </c>
      <c r="G230" s="25">
        <f t="shared" si="0"/>
        <v>1.9189765458422103E-2</v>
      </c>
      <c r="R230" s="43" t="s">
        <v>211</v>
      </c>
      <c r="S230" s="51">
        <f>($K$212*2)+$K$210</f>
        <v>4.7065227734813406E-2</v>
      </c>
    </row>
    <row r="231" spans="1:30">
      <c r="A231" s="50">
        <v>46.85</v>
      </c>
      <c r="B231" s="50">
        <v>47.69</v>
      </c>
      <c r="C231" s="50">
        <v>46.7</v>
      </c>
      <c r="D231" s="50">
        <v>47.09</v>
      </c>
      <c r="E231" s="50">
        <v>437954</v>
      </c>
      <c r="F231" s="50" t="s">
        <v>268</v>
      </c>
      <c r="G231" s="25">
        <f t="shared" si="0"/>
        <v>-5.0966234869399551E-3</v>
      </c>
      <c r="S231" s="51">
        <f>($K$212*2)+$K$210</f>
        <v>4.7065227734813406E-2</v>
      </c>
    </row>
    <row r="232" spans="1:30" ht="15">
      <c r="A232" s="50">
        <v>47.22</v>
      </c>
      <c r="B232" s="50">
        <v>47.31</v>
      </c>
      <c r="C232" s="50">
        <v>46.475000000000001</v>
      </c>
      <c r="D232" s="50">
        <v>46.83</v>
      </c>
      <c r="E232" s="50">
        <v>496661</v>
      </c>
      <c r="F232" s="50" t="s">
        <v>269</v>
      </c>
      <c r="G232" s="25">
        <f t="shared" si="0"/>
        <v>8.3279948750800692E-3</v>
      </c>
      <c r="R232" s="43" t="s">
        <v>212</v>
      </c>
      <c r="S232" s="51">
        <f>($K$212*3)+$K$210</f>
        <v>7.0525990902890523E-2</v>
      </c>
      <c r="AD232" s="2" t="s">
        <v>202</v>
      </c>
    </row>
    <row r="233" spans="1:30">
      <c r="A233" s="50">
        <v>46.86</v>
      </c>
      <c r="B233" s="50">
        <v>46.97</v>
      </c>
      <c r="C233" s="50">
        <v>45.67</v>
      </c>
      <c r="D233" s="50">
        <v>45.7</v>
      </c>
      <c r="E233" s="50">
        <v>545042</v>
      </c>
      <c r="F233" s="50" t="s">
        <v>270</v>
      </c>
      <c r="G233" s="25">
        <f t="shared" si="0"/>
        <v>2.5382932166301941E-2</v>
      </c>
      <c r="R233" s="43"/>
      <c r="S233" s="51">
        <f>($K$212*3)+$K$210</f>
        <v>7.0525990902890523E-2</v>
      </c>
      <c r="AD233" s="1" t="s">
        <v>203</v>
      </c>
    </row>
    <row r="234" spans="1:30">
      <c r="A234" s="50">
        <v>45.56</v>
      </c>
      <c r="B234" s="50">
        <v>46.9</v>
      </c>
      <c r="C234" s="50">
        <v>45.12</v>
      </c>
      <c r="D234" s="50">
        <v>46.78</v>
      </c>
      <c r="E234" s="50">
        <v>563330</v>
      </c>
      <c r="F234" s="50" t="s">
        <v>271</v>
      </c>
      <c r="G234" s="25">
        <f t="shared" si="0"/>
        <v>-2.607952116289014E-2</v>
      </c>
    </row>
    <row r="235" spans="1:30">
      <c r="A235" s="50">
        <v>45.06</v>
      </c>
      <c r="B235" s="50">
        <v>45.104999999999997</v>
      </c>
      <c r="C235" s="50">
        <v>43.849800000000002</v>
      </c>
      <c r="D235" s="50">
        <v>44</v>
      </c>
      <c r="E235" s="50">
        <v>547180</v>
      </c>
      <c r="F235" s="50" t="s">
        <v>272</v>
      </c>
      <c r="G235" s="25">
        <f t="shared" si="0"/>
        <v>2.4090909090909163E-2</v>
      </c>
    </row>
    <row r="236" spans="1:30">
      <c r="A236" s="50">
        <v>43.48</v>
      </c>
      <c r="B236" s="50">
        <v>44.85</v>
      </c>
      <c r="C236" s="50">
        <v>43.164999999999999</v>
      </c>
      <c r="D236" s="50">
        <v>44.08</v>
      </c>
      <c r="E236" s="50">
        <v>493770</v>
      </c>
      <c r="F236" s="50" t="s">
        <v>273</v>
      </c>
      <c r="G236" s="25">
        <f t="shared" si="0"/>
        <v>-1.361161524500909E-2</v>
      </c>
    </row>
    <row r="237" spans="1:30">
      <c r="A237" s="50">
        <v>44.44</v>
      </c>
      <c r="B237" s="50">
        <v>45.000599999999999</v>
      </c>
      <c r="C237" s="50">
        <v>44.11</v>
      </c>
      <c r="D237" s="50">
        <v>44.62</v>
      </c>
      <c r="E237" s="50">
        <v>412256</v>
      </c>
      <c r="F237" s="50" t="s">
        <v>274</v>
      </c>
      <c r="G237" s="25">
        <f t="shared" si="0"/>
        <v>-4.034065441506085E-3</v>
      </c>
    </row>
    <row r="238" spans="1:30">
      <c r="A238" s="50">
        <v>44.62</v>
      </c>
      <c r="B238" s="50">
        <v>45.47</v>
      </c>
      <c r="C238" s="50">
        <v>44.13</v>
      </c>
      <c r="D238" s="50">
        <v>44.85</v>
      </c>
      <c r="E238" s="50">
        <v>484497</v>
      </c>
      <c r="F238" s="50" t="s">
        <v>275</v>
      </c>
      <c r="G238" s="25">
        <f t="shared" si="0"/>
        <v>-5.128205128205221E-3</v>
      </c>
    </row>
    <row r="239" spans="1:30">
      <c r="A239" s="50">
        <v>45.24</v>
      </c>
      <c r="B239" s="50">
        <v>46.37</v>
      </c>
      <c r="C239" s="50">
        <v>45.18</v>
      </c>
      <c r="D239" s="50">
        <v>45.95</v>
      </c>
      <c r="E239" s="50">
        <v>548092</v>
      </c>
      <c r="F239" s="50" t="s">
        <v>276</v>
      </c>
      <c r="G239" s="25">
        <f t="shared" si="0"/>
        <v>-1.5451577801958716E-2</v>
      </c>
    </row>
    <row r="240" spans="1:30">
      <c r="A240" s="50">
        <v>46.05</v>
      </c>
      <c r="B240" s="50">
        <v>46.28</v>
      </c>
      <c r="C240" s="50">
        <v>44.49</v>
      </c>
      <c r="D240" s="50">
        <v>46.28</v>
      </c>
      <c r="E240" s="50">
        <v>868449</v>
      </c>
      <c r="F240" s="50" t="s">
        <v>277</v>
      </c>
      <c r="G240" s="25">
        <f t="shared" si="0"/>
        <v>-4.9697493517718572E-3</v>
      </c>
    </row>
    <row r="241" spans="1:7">
      <c r="A241" s="50">
        <v>45.59</v>
      </c>
      <c r="B241" s="50">
        <v>45.87</v>
      </c>
      <c r="C241" s="50">
        <v>43.53</v>
      </c>
      <c r="D241" s="50">
        <v>44.93</v>
      </c>
      <c r="E241" s="50">
        <v>819624</v>
      </c>
      <c r="F241" s="50" t="s">
        <v>278</v>
      </c>
      <c r="G241" s="25">
        <f t="shared" si="0"/>
        <v>1.4689517026485799E-2</v>
      </c>
    </row>
    <row r="242" spans="1:7">
      <c r="A242" s="50">
        <v>45.25</v>
      </c>
      <c r="B242" s="50">
        <v>45.51</v>
      </c>
      <c r="C242" s="50">
        <v>43.31</v>
      </c>
      <c r="D242" s="50">
        <v>45.13</v>
      </c>
      <c r="E242" s="50">
        <v>949210</v>
      </c>
      <c r="F242" s="50" t="s">
        <v>279</v>
      </c>
      <c r="G242" s="25">
        <f t="shared" si="0"/>
        <v>2.6589851539995379E-3</v>
      </c>
    </row>
    <row r="243" spans="1:7">
      <c r="A243" s="50">
        <v>46.13</v>
      </c>
      <c r="B243" s="50">
        <v>46.33</v>
      </c>
      <c r="C243" s="50">
        <v>41</v>
      </c>
      <c r="D243" s="50">
        <v>41.76</v>
      </c>
      <c r="E243" s="50">
        <v>1232951</v>
      </c>
      <c r="F243" s="50" t="s">
        <v>280</v>
      </c>
      <c r="G243" s="25">
        <f t="shared" si="0"/>
        <v>0.10464559386973193</v>
      </c>
    </row>
    <row r="244" spans="1:7">
      <c r="A244" s="50">
        <v>42.27</v>
      </c>
      <c r="B244" s="50">
        <v>44.075000000000003</v>
      </c>
      <c r="C244" s="50">
        <v>41.75</v>
      </c>
      <c r="D244" s="50">
        <v>43.64</v>
      </c>
      <c r="E244" s="50">
        <v>1365546</v>
      </c>
      <c r="F244" s="50" t="s">
        <v>281</v>
      </c>
      <c r="G244" s="25">
        <f t="shared" si="0"/>
        <v>-3.1393217231897252E-2</v>
      </c>
    </row>
    <row r="245" spans="1:7">
      <c r="A245" s="50">
        <v>42.83</v>
      </c>
      <c r="B245" s="50">
        <v>44.207500000000003</v>
      </c>
      <c r="C245" s="50">
        <v>40.824199999999998</v>
      </c>
      <c r="D245" s="50">
        <v>41.97</v>
      </c>
      <c r="E245" s="50">
        <v>1791834</v>
      </c>
      <c r="F245" s="50" t="s">
        <v>282</v>
      </c>
      <c r="G245" s="25">
        <f t="shared" si="0"/>
        <v>2.0490826781033977E-2</v>
      </c>
    </row>
    <row r="246" spans="1:7">
      <c r="A246" s="50">
        <v>44.1</v>
      </c>
      <c r="B246" s="50">
        <v>45.195</v>
      </c>
      <c r="C246" s="50">
        <v>43.02</v>
      </c>
      <c r="D246" s="50">
        <v>44.9</v>
      </c>
      <c r="E246" s="50">
        <v>1292352</v>
      </c>
      <c r="F246" s="50" t="s">
        <v>283</v>
      </c>
      <c r="G246" s="25">
        <f t="shared" si="0"/>
        <v>-1.7817371937639104E-2</v>
      </c>
    </row>
    <row r="247" spans="1:7">
      <c r="A247" s="50">
        <v>46.08</v>
      </c>
      <c r="B247" s="50">
        <v>48.435000000000002</v>
      </c>
      <c r="C247" s="50">
        <v>45.97</v>
      </c>
      <c r="D247" s="50">
        <v>47.52</v>
      </c>
      <c r="E247" s="50">
        <v>936861</v>
      </c>
      <c r="F247" s="50" t="s">
        <v>284</v>
      </c>
      <c r="G247" s="25">
        <f t="shared" si="0"/>
        <v>-3.0303030303030387E-2</v>
      </c>
    </row>
    <row r="248" spans="1:7">
      <c r="A248" s="50">
        <v>49.44</v>
      </c>
      <c r="B248" s="50">
        <v>49.89</v>
      </c>
      <c r="C248" s="50">
        <v>48.3</v>
      </c>
      <c r="D248" s="50">
        <v>48.3</v>
      </c>
      <c r="E248" s="50">
        <v>548500</v>
      </c>
      <c r="F248" s="50" t="s">
        <v>285</v>
      </c>
      <c r="G248" s="25">
        <f t="shared" si="0"/>
        <v>2.3602484472049712E-2</v>
      </c>
    </row>
    <row r="249" spans="1:7">
      <c r="A249" s="50">
        <v>49.13</v>
      </c>
      <c r="B249" s="50">
        <v>49.58</v>
      </c>
      <c r="C249" s="50">
        <v>48.344999999999999</v>
      </c>
      <c r="D249" s="50">
        <v>48.73</v>
      </c>
      <c r="E249" s="50">
        <v>518572</v>
      </c>
      <c r="F249" s="50" t="s">
        <v>286</v>
      </c>
      <c r="G249" s="25">
        <f t="shared" si="0"/>
        <v>8.2084957931460867E-3</v>
      </c>
    </row>
    <row r="250" spans="1:7">
      <c r="A250" s="50">
        <v>48.42</v>
      </c>
      <c r="B250" s="50">
        <v>48.86</v>
      </c>
      <c r="C250" s="50">
        <v>47.82</v>
      </c>
      <c r="D250" s="50">
        <v>48.45</v>
      </c>
      <c r="E250" s="50">
        <v>655217</v>
      </c>
      <c r="F250" s="50" t="s">
        <v>287</v>
      </c>
      <c r="G250" s="25">
        <f t="shared" si="0"/>
        <v>-6.1919504643970225E-4</v>
      </c>
    </row>
    <row r="251" spans="1:7">
      <c r="A251" s="50">
        <v>48.81</v>
      </c>
      <c r="B251" s="50">
        <v>50.12</v>
      </c>
      <c r="C251" s="50">
        <v>48.17</v>
      </c>
      <c r="D251" s="50">
        <v>50.12</v>
      </c>
      <c r="E251" s="50">
        <v>382766</v>
      </c>
      <c r="F251" s="50" t="s">
        <v>288</v>
      </c>
      <c r="G251" s="25">
        <f t="shared" si="0"/>
        <v>-2.6137270550678271E-2</v>
      </c>
    </row>
    <row r="252" spans="1:7">
      <c r="A252" s="50">
        <v>50.19</v>
      </c>
      <c r="B252" s="50">
        <v>50.85</v>
      </c>
      <c r="C252" s="50">
        <v>49.945</v>
      </c>
      <c r="D252" s="50">
        <v>50.32</v>
      </c>
      <c r="E252" s="50">
        <v>441580</v>
      </c>
      <c r="F252" s="50" t="s">
        <v>289</v>
      </c>
      <c r="G252" s="25">
        <f t="shared" si="0"/>
        <v>-2.5834658187600112E-3</v>
      </c>
    </row>
    <row r="253" spans="1:7">
      <c r="A253" s="50">
        <v>50.52</v>
      </c>
      <c r="B253" s="50">
        <v>51.06</v>
      </c>
      <c r="C253" s="50">
        <v>50.06</v>
      </c>
      <c r="D253" s="50">
        <v>50.65</v>
      </c>
      <c r="E253" s="50">
        <v>427645</v>
      </c>
      <c r="F253" s="50" t="s">
        <v>290</v>
      </c>
      <c r="G253" s="25">
        <f t="shared" si="0"/>
        <v>-2.5666337611055523E-3</v>
      </c>
    </row>
    <row r="254" spans="1:7">
      <c r="A254" s="50">
        <v>50.66</v>
      </c>
      <c r="B254" s="50">
        <v>50.87</v>
      </c>
      <c r="C254" s="50">
        <v>50.11</v>
      </c>
      <c r="D254" s="50">
        <v>50.5</v>
      </c>
      <c r="E254" s="50">
        <v>513768</v>
      </c>
      <c r="F254" s="50" t="s">
        <v>291</v>
      </c>
      <c r="G254" s="25">
        <f t="shared" si="0"/>
        <v>3.1683168316831711E-3</v>
      </c>
    </row>
    <row r="255" spans="1:7">
      <c r="A255" s="50">
        <v>50.29</v>
      </c>
      <c r="B255" s="50">
        <v>51.28</v>
      </c>
      <c r="C255" s="50">
        <v>50.174999999999997</v>
      </c>
      <c r="D255" s="50">
        <v>50.85</v>
      </c>
      <c r="E255" s="50">
        <v>666063</v>
      </c>
      <c r="F255" s="50" t="s">
        <v>292</v>
      </c>
      <c r="G255" s="25">
        <f t="shared" si="0"/>
        <v>-1.1012782694198697E-2</v>
      </c>
    </row>
    <row r="256" spans="1:7">
      <c r="A256" s="50">
        <v>50.29</v>
      </c>
      <c r="B256" s="50">
        <v>50.389499999999998</v>
      </c>
      <c r="C256" s="50">
        <v>49.395000000000003</v>
      </c>
      <c r="D256" s="50">
        <v>49.48</v>
      </c>
      <c r="E256" s="50">
        <v>1310394</v>
      </c>
      <c r="F256" s="50" t="s">
        <v>293</v>
      </c>
      <c r="G256" s="25">
        <f t="shared" si="0"/>
        <v>1.6370250606305703E-2</v>
      </c>
    </row>
    <row r="257" spans="1:7">
      <c r="A257" s="50">
        <v>49.78</v>
      </c>
      <c r="B257" s="50">
        <v>50.69</v>
      </c>
      <c r="C257" s="50">
        <v>49.44</v>
      </c>
      <c r="D257" s="50">
        <v>49.44</v>
      </c>
      <c r="E257" s="50">
        <v>513386</v>
      </c>
      <c r="F257" s="50" t="s">
        <v>294</v>
      </c>
      <c r="G257" s="25">
        <f t="shared" si="0"/>
        <v>6.8770226537218093E-3</v>
      </c>
    </row>
    <row r="258" spans="1:7">
      <c r="A258" s="50">
        <v>50.16</v>
      </c>
      <c r="B258" s="50">
        <v>50.31</v>
      </c>
      <c r="C258" s="50">
        <v>49.314999999999998</v>
      </c>
      <c r="D258" s="50">
        <v>49.39</v>
      </c>
      <c r="E258" s="50">
        <v>455189</v>
      </c>
      <c r="F258" s="50" t="s">
        <v>295</v>
      </c>
      <c r="G258" s="25">
        <f t="shared" si="0"/>
        <v>1.5590200445434244E-2</v>
      </c>
    </row>
    <row r="259" spans="1:7">
      <c r="A259" s="50">
        <v>49.58</v>
      </c>
      <c r="B259" s="50">
        <v>50.25</v>
      </c>
      <c r="C259" s="50">
        <v>48.93</v>
      </c>
      <c r="D259" s="50">
        <v>48.93</v>
      </c>
      <c r="E259" s="50">
        <v>827497</v>
      </c>
      <c r="F259" s="50" t="s">
        <v>296</v>
      </c>
      <c r="G259" s="25">
        <f t="shared" si="0"/>
        <v>1.328428367054979E-2</v>
      </c>
    </row>
    <row r="260" spans="1:7">
      <c r="A260" s="50">
        <v>49.18</v>
      </c>
      <c r="B260" s="50">
        <v>50.505000000000003</v>
      </c>
      <c r="C260" s="50">
        <v>48.77</v>
      </c>
      <c r="D260" s="50">
        <v>49.77</v>
      </c>
      <c r="E260" s="50">
        <v>651660</v>
      </c>
      <c r="F260" s="50" t="s">
        <v>297</v>
      </c>
      <c r="G260" s="25">
        <f t="shared" si="0"/>
        <v>-1.1854530841872712E-2</v>
      </c>
    </row>
    <row r="261" spans="1:7">
      <c r="A261" s="50">
        <v>49.89</v>
      </c>
      <c r="B261" s="50">
        <v>49.98</v>
      </c>
      <c r="C261" s="50">
        <v>47.674999999999997</v>
      </c>
      <c r="D261" s="50">
        <v>48.08</v>
      </c>
      <c r="E261" s="50">
        <v>930512</v>
      </c>
      <c r="F261" s="50" t="s">
        <v>298</v>
      </c>
      <c r="G261" s="25">
        <f t="shared" si="0"/>
        <v>3.7645590682196417E-2</v>
      </c>
    </row>
    <row r="262" spans="1:7">
      <c r="A262" s="50">
        <v>47.46</v>
      </c>
      <c r="B262" s="50">
        <v>47.984999999999999</v>
      </c>
      <c r="C262" s="50">
        <v>47.12</v>
      </c>
      <c r="D262" s="50">
        <v>47.94</v>
      </c>
      <c r="E262" s="50">
        <v>637837</v>
      </c>
      <c r="F262" s="50" t="s">
        <v>299</v>
      </c>
      <c r="G262" s="25">
        <f t="shared" si="0"/>
        <v>-1.0012515644555631E-2</v>
      </c>
    </row>
    <row r="263" spans="1:7">
      <c r="A263" s="50">
        <v>48.2</v>
      </c>
      <c r="B263" s="50">
        <v>48.54</v>
      </c>
      <c r="C263" s="50">
        <v>46.88</v>
      </c>
      <c r="D263" s="50">
        <v>48.39</v>
      </c>
      <c r="E263" s="50">
        <v>703841</v>
      </c>
      <c r="F263" s="50" t="s">
        <v>300</v>
      </c>
      <c r="G263" s="25">
        <f t="shared" si="0"/>
        <v>-3.9264310808018177E-3</v>
      </c>
    </row>
    <row r="264" spans="1:7">
      <c r="A264" s="50">
        <v>48.05</v>
      </c>
      <c r="B264" s="50">
        <v>48.89</v>
      </c>
      <c r="C264" s="50">
        <v>47.65</v>
      </c>
      <c r="D264" s="50">
        <v>48.37</v>
      </c>
      <c r="E264" s="50">
        <v>699369</v>
      </c>
      <c r="F264" s="50" t="s">
        <v>301</v>
      </c>
      <c r="G264" s="25">
        <f t="shared" ref="G264:G327" si="1">A264/D264-1</f>
        <v>-6.6156708703741796E-3</v>
      </c>
    </row>
    <row r="265" spans="1:7">
      <c r="A265" s="50">
        <v>48.45</v>
      </c>
      <c r="B265" s="50">
        <v>49.604999999999997</v>
      </c>
      <c r="C265" s="50">
        <v>48.38</v>
      </c>
      <c r="D265" s="50">
        <v>48.8</v>
      </c>
      <c r="E265" s="50">
        <v>814599</v>
      </c>
      <c r="F265" s="50" t="s">
        <v>302</v>
      </c>
      <c r="G265" s="25">
        <f t="shared" si="1"/>
        <v>-7.1721311475408944E-3</v>
      </c>
    </row>
    <row r="266" spans="1:7">
      <c r="A266" s="50">
        <v>48.88</v>
      </c>
      <c r="B266" s="50">
        <v>49.41</v>
      </c>
      <c r="C266" s="50">
        <v>47.7</v>
      </c>
      <c r="D266" s="50">
        <v>48.5</v>
      </c>
      <c r="E266" s="50">
        <v>718317</v>
      </c>
      <c r="F266" s="50" t="s">
        <v>303</v>
      </c>
      <c r="G266" s="25">
        <f t="shared" si="1"/>
        <v>7.835051546391858E-3</v>
      </c>
    </row>
    <row r="267" spans="1:7">
      <c r="A267" s="50">
        <v>48.87</v>
      </c>
      <c r="B267" s="50">
        <v>49.07</v>
      </c>
      <c r="C267" s="50">
        <v>47.23</v>
      </c>
      <c r="D267" s="50">
        <v>47.6</v>
      </c>
      <c r="E267" s="50">
        <v>1056852</v>
      </c>
      <c r="F267" s="50" t="s">
        <v>304</v>
      </c>
      <c r="G267" s="25">
        <f t="shared" si="1"/>
        <v>2.6680672268907468E-2</v>
      </c>
    </row>
    <row r="268" spans="1:7">
      <c r="A268" s="50">
        <v>47.97</v>
      </c>
      <c r="B268" s="50">
        <v>48.49</v>
      </c>
      <c r="C268" s="50">
        <v>47.825000000000003</v>
      </c>
      <c r="D268" s="50">
        <v>47.97</v>
      </c>
      <c r="E268" s="50">
        <v>540855</v>
      </c>
      <c r="F268" s="50" t="s">
        <v>305</v>
      </c>
      <c r="G268" s="25">
        <f t="shared" si="1"/>
        <v>0</v>
      </c>
    </row>
    <row r="269" spans="1:7">
      <c r="A269" s="50">
        <v>47.96</v>
      </c>
      <c r="B269" s="50">
        <v>48.49</v>
      </c>
      <c r="C269" s="50">
        <v>47.075000000000003</v>
      </c>
      <c r="D269" s="50">
        <v>47.68</v>
      </c>
      <c r="E269" s="50">
        <v>990155</v>
      </c>
      <c r="F269" s="50" t="s">
        <v>306</v>
      </c>
      <c r="G269" s="25">
        <f t="shared" si="1"/>
        <v>5.8724832214764877E-3</v>
      </c>
    </row>
    <row r="270" spans="1:7">
      <c r="A270" s="50">
        <v>48.03</v>
      </c>
      <c r="B270" s="50">
        <v>49.075000000000003</v>
      </c>
      <c r="C270" s="50">
        <v>47.875</v>
      </c>
      <c r="D270" s="50">
        <v>48.22</v>
      </c>
      <c r="E270" s="50">
        <v>720622</v>
      </c>
      <c r="F270" s="50" t="s">
        <v>307</v>
      </c>
      <c r="G270" s="25">
        <f t="shared" si="1"/>
        <v>-3.9402737453337888E-3</v>
      </c>
    </row>
    <row r="271" spans="1:7">
      <c r="A271" s="50">
        <v>48.3</v>
      </c>
      <c r="B271" s="50">
        <v>49.04</v>
      </c>
      <c r="C271" s="50">
        <v>47.69</v>
      </c>
      <c r="D271" s="50">
        <v>49.04</v>
      </c>
      <c r="E271" s="50">
        <v>734723</v>
      </c>
      <c r="F271" s="50" t="s">
        <v>308</v>
      </c>
      <c r="G271" s="25">
        <f t="shared" si="1"/>
        <v>-1.5089722675367123E-2</v>
      </c>
    </row>
    <row r="272" spans="1:7">
      <c r="A272" s="50">
        <v>48.27</v>
      </c>
      <c r="B272" s="50">
        <v>49.6</v>
      </c>
      <c r="C272" s="50">
        <v>48.25</v>
      </c>
      <c r="D272" s="50">
        <v>49.07</v>
      </c>
      <c r="E272" s="50">
        <v>847783</v>
      </c>
      <c r="F272" s="50" t="s">
        <v>309</v>
      </c>
      <c r="G272" s="25">
        <f t="shared" si="1"/>
        <v>-1.6303240269003427E-2</v>
      </c>
    </row>
    <row r="273" spans="1:7">
      <c r="A273" s="50">
        <v>48.99</v>
      </c>
      <c r="B273" s="50">
        <v>50.32</v>
      </c>
      <c r="C273" s="50">
        <v>48.731499999999997</v>
      </c>
      <c r="D273" s="50">
        <v>49.65</v>
      </c>
      <c r="E273" s="50">
        <v>886795</v>
      </c>
      <c r="F273" s="50" t="s">
        <v>310</v>
      </c>
      <c r="G273" s="25">
        <f t="shared" si="1"/>
        <v>-1.3293051359516528E-2</v>
      </c>
    </row>
    <row r="274" spans="1:7">
      <c r="A274" s="50">
        <v>49.26</v>
      </c>
      <c r="B274" s="50">
        <v>50</v>
      </c>
      <c r="C274" s="50">
        <v>48.18</v>
      </c>
      <c r="D274" s="50">
        <v>49.34</v>
      </c>
      <c r="E274" s="50">
        <v>1018930</v>
      </c>
      <c r="F274" s="50" t="s">
        <v>311</v>
      </c>
      <c r="G274" s="25">
        <f t="shared" si="1"/>
        <v>-1.6214025131739973E-3</v>
      </c>
    </row>
    <row r="275" spans="1:7">
      <c r="A275" s="50">
        <v>49.11</v>
      </c>
      <c r="B275" s="50">
        <v>49.57</v>
      </c>
      <c r="C275" s="50">
        <v>48.195</v>
      </c>
      <c r="D275" s="50">
        <v>49.22</v>
      </c>
      <c r="E275" s="50">
        <v>816828</v>
      </c>
      <c r="F275" s="50" t="s">
        <v>312</v>
      </c>
      <c r="G275" s="25">
        <f t="shared" si="1"/>
        <v>-2.2348638764729811E-3</v>
      </c>
    </row>
    <row r="276" spans="1:7">
      <c r="A276" s="50">
        <v>49.1</v>
      </c>
      <c r="B276" s="50">
        <v>49.854999999999997</v>
      </c>
      <c r="C276" s="50">
        <v>48.890999999999998</v>
      </c>
      <c r="D276" s="50">
        <v>49.67</v>
      </c>
      <c r="E276" s="50">
        <v>1711126</v>
      </c>
      <c r="F276" s="50" t="s">
        <v>313</v>
      </c>
      <c r="G276" s="25">
        <f t="shared" si="1"/>
        <v>-1.1475739883229363E-2</v>
      </c>
    </row>
    <row r="277" spans="1:7">
      <c r="A277" s="50">
        <v>49.32</v>
      </c>
      <c r="B277" s="50">
        <v>50.08</v>
      </c>
      <c r="C277" s="50">
        <v>48.75</v>
      </c>
      <c r="D277" s="50">
        <v>50.06</v>
      </c>
      <c r="E277" s="50">
        <v>1096296</v>
      </c>
      <c r="F277" s="50" t="s">
        <v>314</v>
      </c>
      <c r="G277" s="25">
        <f t="shared" si="1"/>
        <v>-1.4782261286456322E-2</v>
      </c>
    </row>
    <row r="278" spans="1:7">
      <c r="A278" s="50">
        <v>49.96</v>
      </c>
      <c r="B278" s="50">
        <v>51.36</v>
      </c>
      <c r="C278" s="50">
        <v>49.85</v>
      </c>
      <c r="D278" s="50">
        <v>51.24</v>
      </c>
      <c r="E278" s="50">
        <v>1190321</v>
      </c>
      <c r="F278" s="50" t="s">
        <v>315</v>
      </c>
      <c r="G278" s="25">
        <f t="shared" si="1"/>
        <v>-2.4980483996877467E-2</v>
      </c>
    </row>
    <row r="279" spans="1:7">
      <c r="A279" s="50">
        <v>51.61</v>
      </c>
      <c r="B279" s="50">
        <v>52.11</v>
      </c>
      <c r="C279" s="50">
        <v>51.2</v>
      </c>
      <c r="D279" s="50">
        <v>51.38</v>
      </c>
      <c r="E279" s="50">
        <v>980494</v>
      </c>
      <c r="F279" s="50" t="s">
        <v>316</v>
      </c>
      <c r="G279" s="25">
        <f t="shared" si="1"/>
        <v>4.4764499805372004E-3</v>
      </c>
    </row>
    <row r="280" spans="1:7">
      <c r="A280" s="50">
        <v>51.37</v>
      </c>
      <c r="B280" s="50">
        <v>53.020600000000002</v>
      </c>
      <c r="C280" s="50">
        <v>51.25</v>
      </c>
      <c r="D280" s="50">
        <v>52.4</v>
      </c>
      <c r="E280" s="50">
        <v>913448</v>
      </c>
      <c r="F280" s="50" t="s">
        <v>317</v>
      </c>
      <c r="G280" s="25">
        <f t="shared" si="1"/>
        <v>-1.9656488549618323E-2</v>
      </c>
    </row>
    <row r="281" spans="1:7">
      <c r="A281" s="50">
        <v>52.26</v>
      </c>
      <c r="B281" s="50">
        <v>52.545000000000002</v>
      </c>
      <c r="C281" s="50">
        <v>51.22</v>
      </c>
      <c r="D281" s="50">
        <v>52.33</v>
      </c>
      <c r="E281" s="50">
        <v>1201803</v>
      </c>
      <c r="F281" s="50" t="s">
        <v>318</v>
      </c>
      <c r="G281" s="25">
        <f t="shared" si="1"/>
        <v>-1.3376648194152185E-3</v>
      </c>
    </row>
    <row r="282" spans="1:7">
      <c r="A282" s="50">
        <v>51.935000000000002</v>
      </c>
      <c r="B282" s="50">
        <v>55.19</v>
      </c>
      <c r="C282" s="50">
        <v>51.6</v>
      </c>
      <c r="D282" s="50">
        <v>54.05</v>
      </c>
      <c r="E282" s="50">
        <v>4317640</v>
      </c>
      <c r="F282" s="50" t="s">
        <v>319</v>
      </c>
      <c r="G282" s="25">
        <f t="shared" si="1"/>
        <v>-3.9130434782608581E-2</v>
      </c>
    </row>
    <row r="283" spans="1:7">
      <c r="A283" s="50">
        <v>63.4</v>
      </c>
      <c r="B283" s="50">
        <v>64.92</v>
      </c>
      <c r="C283" s="50">
        <v>62.9801</v>
      </c>
      <c r="D283" s="50">
        <v>63.99</v>
      </c>
      <c r="E283" s="50">
        <v>826247</v>
      </c>
      <c r="F283" s="50" t="s">
        <v>320</v>
      </c>
      <c r="G283" s="25">
        <f t="shared" si="1"/>
        <v>-9.2201906547898504E-3</v>
      </c>
    </row>
    <row r="284" spans="1:7">
      <c r="A284" s="50">
        <v>64.41</v>
      </c>
      <c r="B284" s="50">
        <v>65.510000000000005</v>
      </c>
      <c r="C284" s="50">
        <v>63.57</v>
      </c>
      <c r="D284" s="50">
        <v>65.06</v>
      </c>
      <c r="E284" s="50">
        <v>925074</v>
      </c>
      <c r="F284" s="50" t="s">
        <v>321</v>
      </c>
      <c r="G284" s="25">
        <f t="shared" si="1"/>
        <v>-9.9907777436213374E-3</v>
      </c>
    </row>
    <row r="285" spans="1:7">
      <c r="A285" s="50">
        <v>64.63</v>
      </c>
      <c r="B285" s="50">
        <v>65.489999999999995</v>
      </c>
      <c r="C285" s="50">
        <v>63.832900000000002</v>
      </c>
      <c r="D285" s="50">
        <v>65.13</v>
      </c>
      <c r="E285" s="50">
        <v>463433</v>
      </c>
      <c r="F285" s="50" t="s">
        <v>322</v>
      </c>
      <c r="G285" s="25">
        <f t="shared" si="1"/>
        <v>-7.6769537847382052E-3</v>
      </c>
    </row>
    <row r="286" spans="1:7">
      <c r="A286" s="50">
        <v>65.125</v>
      </c>
      <c r="B286" s="50">
        <v>66.02</v>
      </c>
      <c r="C286" s="50">
        <v>64.819999999999993</v>
      </c>
      <c r="D286" s="50">
        <v>65.900000000000006</v>
      </c>
      <c r="E286" s="50">
        <v>416389</v>
      </c>
      <c r="F286" s="50" t="s">
        <v>323</v>
      </c>
      <c r="G286" s="25">
        <f t="shared" si="1"/>
        <v>-1.1760242792109299E-2</v>
      </c>
    </row>
    <row r="287" spans="1:7">
      <c r="A287" s="50">
        <v>65.64</v>
      </c>
      <c r="B287" s="50">
        <v>65.790000000000006</v>
      </c>
      <c r="C287" s="50">
        <v>64.62</v>
      </c>
      <c r="D287" s="50">
        <v>64.680000000000007</v>
      </c>
      <c r="E287" s="50">
        <v>376224</v>
      </c>
      <c r="F287" s="50" t="s">
        <v>324</v>
      </c>
      <c r="G287" s="25">
        <f t="shared" si="1"/>
        <v>1.4842300556586085E-2</v>
      </c>
    </row>
    <row r="288" spans="1:7">
      <c r="A288" s="50">
        <v>64.569999999999993</v>
      </c>
      <c r="B288" s="50">
        <v>64.67</v>
      </c>
      <c r="C288" s="50">
        <v>63.68</v>
      </c>
      <c r="D288" s="50">
        <v>63.71</v>
      </c>
      <c r="E288" s="50">
        <v>538513</v>
      </c>
      <c r="F288" s="50" t="s">
        <v>325</v>
      </c>
      <c r="G288" s="25">
        <f t="shared" si="1"/>
        <v>1.3498665829539958E-2</v>
      </c>
    </row>
    <row r="289" spans="1:7">
      <c r="A289" s="50">
        <v>63.6</v>
      </c>
      <c r="B289" s="50">
        <v>63.76</v>
      </c>
      <c r="C289" s="50">
        <v>61.84</v>
      </c>
      <c r="D289" s="50">
        <v>62.26</v>
      </c>
      <c r="E289" s="50">
        <v>413920</v>
      </c>
      <c r="F289" s="50" t="s">
        <v>326</v>
      </c>
      <c r="G289" s="25">
        <f t="shared" si="1"/>
        <v>2.1522646964343028E-2</v>
      </c>
    </row>
    <row r="290" spans="1:7">
      <c r="A290" s="50">
        <v>63.85</v>
      </c>
      <c r="B290" s="50">
        <v>64.37</v>
      </c>
      <c r="C290" s="50">
        <v>63.17</v>
      </c>
      <c r="D290" s="50">
        <v>63.72</v>
      </c>
      <c r="E290" s="50">
        <v>619367</v>
      </c>
      <c r="F290" s="50" t="s">
        <v>327</v>
      </c>
      <c r="G290" s="25">
        <f t="shared" si="1"/>
        <v>2.0401757689894051E-3</v>
      </c>
    </row>
    <row r="291" spans="1:7">
      <c r="A291" s="50">
        <v>63.44</v>
      </c>
      <c r="B291" s="50">
        <v>66.25</v>
      </c>
      <c r="C291" s="50">
        <v>63.274999999999999</v>
      </c>
      <c r="D291" s="50">
        <v>66.25</v>
      </c>
      <c r="E291" s="50">
        <v>880188</v>
      </c>
      <c r="F291" s="50" t="s">
        <v>328</v>
      </c>
      <c r="G291" s="25">
        <f t="shared" si="1"/>
        <v>-4.241509433962265E-2</v>
      </c>
    </row>
    <row r="292" spans="1:7">
      <c r="A292" s="50">
        <v>62.89</v>
      </c>
      <c r="B292" s="50">
        <v>64.81</v>
      </c>
      <c r="C292" s="50">
        <v>62.85</v>
      </c>
      <c r="D292" s="50">
        <v>64.81</v>
      </c>
      <c r="E292" s="50">
        <v>508845</v>
      </c>
      <c r="F292" s="50" t="s">
        <v>329</v>
      </c>
      <c r="G292" s="25">
        <f t="shared" si="1"/>
        <v>-2.9625057861441206E-2</v>
      </c>
    </row>
    <row r="293" spans="1:7">
      <c r="A293" s="50">
        <v>64.900000000000006</v>
      </c>
      <c r="B293" s="50">
        <v>65.14</v>
      </c>
      <c r="C293" s="50">
        <v>61.53</v>
      </c>
      <c r="D293" s="50">
        <v>61.55</v>
      </c>
      <c r="E293" s="50">
        <v>976681</v>
      </c>
      <c r="F293" s="50" t="s">
        <v>330</v>
      </c>
      <c r="G293" s="25">
        <f t="shared" si="1"/>
        <v>5.4427294882209765E-2</v>
      </c>
    </row>
    <row r="294" spans="1:7">
      <c r="A294" s="50">
        <v>61.72</v>
      </c>
      <c r="B294" s="50">
        <v>63.39</v>
      </c>
      <c r="C294" s="50">
        <v>60.03</v>
      </c>
      <c r="D294" s="50">
        <v>60.19</v>
      </c>
      <c r="E294" s="50">
        <v>454679</v>
      </c>
      <c r="F294" s="50" t="s">
        <v>331</v>
      </c>
      <c r="G294" s="25">
        <f t="shared" si="1"/>
        <v>2.5419504901146306E-2</v>
      </c>
    </row>
    <row r="295" spans="1:7">
      <c r="A295" s="50">
        <v>60.46</v>
      </c>
      <c r="B295" s="50">
        <v>61.02</v>
      </c>
      <c r="C295" s="50">
        <v>59.86</v>
      </c>
      <c r="D295" s="50">
        <v>60.56</v>
      </c>
      <c r="E295" s="50">
        <v>429575</v>
      </c>
      <c r="F295" s="50" t="s">
        <v>332</v>
      </c>
      <c r="G295" s="25">
        <f t="shared" si="1"/>
        <v>-1.6512549537648358E-3</v>
      </c>
    </row>
    <row r="296" spans="1:7">
      <c r="A296" s="50">
        <v>60.45</v>
      </c>
      <c r="B296" s="50">
        <v>60.524999999999999</v>
      </c>
      <c r="C296" s="50">
        <v>58.76</v>
      </c>
      <c r="D296" s="50">
        <v>58.98</v>
      </c>
      <c r="E296" s="50">
        <v>349435</v>
      </c>
      <c r="F296" s="50" t="s">
        <v>333</v>
      </c>
      <c r="G296" s="25">
        <f t="shared" si="1"/>
        <v>2.4923702950152782E-2</v>
      </c>
    </row>
    <row r="297" spans="1:7">
      <c r="A297" s="50">
        <v>59.7</v>
      </c>
      <c r="B297" s="50">
        <v>61.38</v>
      </c>
      <c r="C297" s="50">
        <v>58.82</v>
      </c>
      <c r="D297" s="50">
        <v>61.26</v>
      </c>
      <c r="E297" s="50">
        <v>576573</v>
      </c>
      <c r="F297" s="50" t="s">
        <v>334</v>
      </c>
      <c r="G297" s="25">
        <f t="shared" si="1"/>
        <v>-2.5465230166503372E-2</v>
      </c>
    </row>
    <row r="298" spans="1:7">
      <c r="A298" s="50">
        <v>61.2</v>
      </c>
      <c r="B298" s="50">
        <v>61.29</v>
      </c>
      <c r="C298" s="50">
        <v>60</v>
      </c>
      <c r="D298" s="50">
        <v>60.14</v>
      </c>
      <c r="E298" s="50">
        <v>442540</v>
      </c>
      <c r="F298" s="50" t="s">
        <v>335</v>
      </c>
      <c r="G298" s="25">
        <f t="shared" si="1"/>
        <v>1.7625540405719953E-2</v>
      </c>
    </row>
    <row r="299" spans="1:7">
      <c r="A299" s="50">
        <v>59.65</v>
      </c>
      <c r="B299" s="50">
        <v>60.9</v>
      </c>
      <c r="C299" s="50">
        <v>59.465000000000003</v>
      </c>
      <c r="D299" s="50">
        <v>60.79</v>
      </c>
      <c r="E299" s="50">
        <v>425665</v>
      </c>
      <c r="F299" s="50" t="s">
        <v>336</v>
      </c>
      <c r="G299" s="25">
        <f t="shared" si="1"/>
        <v>-1.8753084388879793E-2</v>
      </c>
    </row>
    <row r="300" spans="1:7">
      <c r="A300" s="50">
        <v>60.01</v>
      </c>
      <c r="B300" s="50">
        <v>60.25</v>
      </c>
      <c r="C300" s="50">
        <v>59.15</v>
      </c>
      <c r="D300" s="50">
        <v>59.66</v>
      </c>
      <c r="E300" s="50">
        <v>651260</v>
      </c>
      <c r="F300" s="50" t="s">
        <v>337</v>
      </c>
      <c r="G300" s="25">
        <f t="shared" si="1"/>
        <v>5.8665772712034325E-3</v>
      </c>
    </row>
    <row r="301" spans="1:7">
      <c r="A301" s="50">
        <v>58.67</v>
      </c>
      <c r="B301" s="50">
        <v>59.94</v>
      </c>
      <c r="C301" s="50">
        <v>57.94</v>
      </c>
      <c r="D301" s="50">
        <v>59.54</v>
      </c>
      <c r="E301" s="50">
        <v>425413</v>
      </c>
      <c r="F301" s="50" t="s">
        <v>338</v>
      </c>
      <c r="G301" s="25">
        <f t="shared" si="1"/>
        <v>-1.461202552905605E-2</v>
      </c>
    </row>
    <row r="302" spans="1:7">
      <c r="A302" s="50">
        <v>58.21</v>
      </c>
      <c r="B302" s="50">
        <v>58.424999999999997</v>
      </c>
      <c r="C302" s="50">
        <v>56.204999999999998</v>
      </c>
      <c r="D302" s="50">
        <v>56.78</v>
      </c>
      <c r="E302" s="50">
        <v>617804</v>
      </c>
      <c r="F302" s="50" t="s">
        <v>339</v>
      </c>
      <c r="G302" s="25">
        <f t="shared" si="1"/>
        <v>2.5184924269108899E-2</v>
      </c>
    </row>
    <row r="303" spans="1:7">
      <c r="A303" s="50">
        <v>56.42</v>
      </c>
      <c r="B303" s="50">
        <v>56.49</v>
      </c>
      <c r="C303" s="50">
        <v>55</v>
      </c>
      <c r="D303" s="50">
        <v>55.01</v>
      </c>
      <c r="E303" s="50">
        <v>719418</v>
      </c>
      <c r="F303" s="50" t="s">
        <v>340</v>
      </c>
      <c r="G303" s="25">
        <f t="shared" si="1"/>
        <v>2.5631703326667976E-2</v>
      </c>
    </row>
    <row r="304" spans="1:7">
      <c r="A304" s="50">
        <v>55.66</v>
      </c>
      <c r="B304" s="50">
        <v>56.4</v>
      </c>
      <c r="C304" s="50">
        <v>55.27</v>
      </c>
      <c r="D304" s="50">
        <v>56.2</v>
      </c>
      <c r="E304" s="50">
        <v>515498</v>
      </c>
      <c r="F304" s="50" t="s">
        <v>341</v>
      </c>
      <c r="G304" s="25">
        <f t="shared" si="1"/>
        <v>-9.6085409252669729E-3</v>
      </c>
    </row>
    <row r="305" spans="1:30">
      <c r="A305" s="50">
        <v>57.09</v>
      </c>
      <c r="B305" s="50">
        <v>57.679900000000004</v>
      </c>
      <c r="C305" s="50">
        <v>56.84</v>
      </c>
      <c r="D305" s="50">
        <v>57.34</v>
      </c>
      <c r="E305" s="50">
        <v>500584</v>
      </c>
      <c r="F305" s="50" t="s">
        <v>342</v>
      </c>
      <c r="G305" s="25">
        <f t="shared" si="1"/>
        <v>-4.3599581444018209E-3</v>
      </c>
    </row>
    <row r="306" spans="1:30">
      <c r="A306" s="50">
        <v>57.75</v>
      </c>
      <c r="B306" s="50">
        <v>59.11</v>
      </c>
      <c r="C306" s="50">
        <v>57.46</v>
      </c>
      <c r="D306" s="50">
        <v>58.99</v>
      </c>
      <c r="E306" s="50">
        <v>620668</v>
      </c>
      <c r="F306" s="50" t="s">
        <v>343</v>
      </c>
      <c r="G306" s="25">
        <f t="shared" si="1"/>
        <v>-2.1020511951178156E-2</v>
      </c>
    </row>
    <row r="307" spans="1:30">
      <c r="A307" s="50">
        <v>58.95</v>
      </c>
      <c r="B307" s="50">
        <v>61.41</v>
      </c>
      <c r="C307" s="50">
        <v>58.31</v>
      </c>
      <c r="D307" s="50">
        <v>60.68</v>
      </c>
      <c r="E307" s="50">
        <v>793426</v>
      </c>
      <c r="F307" s="50" t="s">
        <v>344</v>
      </c>
      <c r="G307" s="25">
        <f t="shared" si="1"/>
        <v>-2.8510217534607696E-2</v>
      </c>
    </row>
    <row r="308" spans="1:30">
      <c r="A308" s="50">
        <v>61.64</v>
      </c>
      <c r="B308" s="50">
        <v>61.66</v>
      </c>
      <c r="C308" s="50">
        <v>60.57</v>
      </c>
      <c r="D308" s="50">
        <v>60.87</v>
      </c>
      <c r="E308" s="50">
        <v>376580</v>
      </c>
      <c r="F308" s="50" t="s">
        <v>345</v>
      </c>
      <c r="G308" s="25">
        <f t="shared" si="1"/>
        <v>1.2649909643502655E-2</v>
      </c>
    </row>
    <row r="309" spans="1:30">
      <c r="A309" s="50">
        <v>60.33</v>
      </c>
      <c r="B309" s="50">
        <v>61.27</v>
      </c>
      <c r="C309" s="50">
        <v>59.765000000000001</v>
      </c>
      <c r="D309" s="50">
        <v>61</v>
      </c>
      <c r="E309" s="50">
        <v>426628</v>
      </c>
      <c r="F309" s="50" t="s">
        <v>346</v>
      </c>
      <c r="G309" s="25">
        <f t="shared" si="1"/>
        <v>-1.0983606557377068E-2</v>
      </c>
    </row>
    <row r="310" spans="1:30">
      <c r="A310" s="50">
        <v>60.76</v>
      </c>
      <c r="B310" s="50">
        <v>60.97</v>
      </c>
      <c r="C310" s="50">
        <v>59.674999999999997</v>
      </c>
      <c r="D310" s="50">
        <v>60.77</v>
      </c>
      <c r="E310" s="50">
        <v>578727</v>
      </c>
      <c r="F310" s="50" t="s">
        <v>347</v>
      </c>
      <c r="G310" s="25">
        <f t="shared" si="1"/>
        <v>-1.6455487905220334E-4</v>
      </c>
    </row>
    <row r="311" spans="1:30">
      <c r="A311" s="50">
        <v>60.37</v>
      </c>
      <c r="B311" s="50">
        <v>60.98</v>
      </c>
      <c r="C311" s="50">
        <v>59.545000000000002</v>
      </c>
      <c r="D311" s="50">
        <v>60.59</v>
      </c>
      <c r="E311" s="50">
        <v>657301</v>
      </c>
      <c r="F311" s="50" t="s">
        <v>348</v>
      </c>
      <c r="G311" s="25">
        <f t="shared" si="1"/>
        <v>-3.6309622049843782E-3</v>
      </c>
    </row>
    <row r="312" spans="1:30">
      <c r="A312" s="50">
        <v>61.2</v>
      </c>
      <c r="B312" s="50">
        <v>62.29</v>
      </c>
      <c r="C312" s="50">
        <v>60.54</v>
      </c>
      <c r="D312" s="50">
        <v>62.1</v>
      </c>
      <c r="E312" s="50">
        <v>335414</v>
      </c>
      <c r="F312" s="50" t="s">
        <v>349</v>
      </c>
      <c r="G312" s="25">
        <f t="shared" si="1"/>
        <v>-1.4492753623188359E-2</v>
      </c>
    </row>
    <row r="313" spans="1:30">
      <c r="A313" s="50">
        <v>62.49</v>
      </c>
      <c r="B313" s="50">
        <v>62.63</v>
      </c>
      <c r="C313" s="50">
        <v>61.81</v>
      </c>
      <c r="D313" s="50">
        <v>62.16</v>
      </c>
      <c r="E313" s="50">
        <v>210832</v>
      </c>
      <c r="F313" s="50" t="s">
        <v>350</v>
      </c>
      <c r="G313" s="25">
        <f t="shared" si="1"/>
        <v>5.308880308880326E-3</v>
      </c>
    </row>
    <row r="314" spans="1:30">
      <c r="A314" s="50">
        <v>62.38</v>
      </c>
      <c r="B314" s="50">
        <v>62.54</v>
      </c>
      <c r="C314" s="50">
        <v>61.83</v>
      </c>
      <c r="D314" s="50">
        <v>62.53</v>
      </c>
      <c r="E314" s="50">
        <v>123667</v>
      </c>
      <c r="F314" s="50" t="s">
        <v>351</v>
      </c>
      <c r="G314" s="25">
        <f t="shared" si="1"/>
        <v>-2.3988485526946768E-3</v>
      </c>
    </row>
    <row r="315" spans="1:30">
      <c r="A315" s="50">
        <v>62.17</v>
      </c>
      <c r="B315" s="50">
        <v>63.54</v>
      </c>
      <c r="C315" s="50">
        <v>61.655000000000001</v>
      </c>
      <c r="D315" s="50">
        <v>63.17</v>
      </c>
      <c r="E315" s="50">
        <v>422676</v>
      </c>
      <c r="F315" s="50" t="s">
        <v>352</v>
      </c>
      <c r="G315" s="25">
        <f t="shared" si="1"/>
        <v>-1.5830299192654773E-2</v>
      </c>
    </row>
    <row r="316" spans="1:30">
      <c r="A316" s="50">
        <v>63.43</v>
      </c>
      <c r="B316" s="50">
        <v>63.93</v>
      </c>
      <c r="C316" s="50">
        <v>61.7</v>
      </c>
      <c r="D316" s="50">
        <v>61.7</v>
      </c>
      <c r="E316" s="50">
        <v>1073617</v>
      </c>
      <c r="F316" s="50" t="s">
        <v>353</v>
      </c>
      <c r="G316" s="25">
        <f t="shared" si="1"/>
        <v>2.8038897893030823E-2</v>
      </c>
    </row>
    <row r="317" spans="1:30">
      <c r="A317" s="50">
        <v>62.51</v>
      </c>
      <c r="B317" s="50">
        <v>64.441900000000004</v>
      </c>
      <c r="C317" s="50">
        <v>62.125</v>
      </c>
      <c r="D317" s="50">
        <v>63.17</v>
      </c>
      <c r="E317" s="50">
        <v>635328</v>
      </c>
      <c r="F317" s="50" t="s">
        <v>354</v>
      </c>
      <c r="G317" s="25">
        <f t="shared" si="1"/>
        <v>-1.0447997467152192E-2</v>
      </c>
    </row>
    <row r="318" spans="1:30" ht="15">
      <c r="A318" s="50">
        <v>62.72</v>
      </c>
      <c r="B318" s="50">
        <v>65.099999999999994</v>
      </c>
      <c r="C318" s="50">
        <v>61.63</v>
      </c>
      <c r="D318" s="50">
        <v>64.599999999999994</v>
      </c>
      <c r="E318" s="50">
        <v>953145</v>
      </c>
      <c r="F318" s="50" t="s">
        <v>355</v>
      </c>
      <c r="G318" s="25">
        <f t="shared" si="1"/>
        <v>-2.9102167182662453E-2</v>
      </c>
      <c r="AD318" s="2" t="s">
        <v>204</v>
      </c>
    </row>
    <row r="319" spans="1:30">
      <c r="A319" s="50">
        <v>64.459999999999994</v>
      </c>
      <c r="B319" s="50">
        <v>65.040000000000006</v>
      </c>
      <c r="C319" s="50">
        <v>62.66</v>
      </c>
      <c r="D319" s="50">
        <v>65.040000000000006</v>
      </c>
      <c r="E319" s="50">
        <v>723988</v>
      </c>
      <c r="F319" s="50" t="s">
        <v>356</v>
      </c>
      <c r="G319" s="25">
        <f t="shared" si="1"/>
        <v>-8.9175891758919157E-3</v>
      </c>
      <c r="AD319" s="1" t="s">
        <v>205</v>
      </c>
    </row>
    <row r="320" spans="1:30">
      <c r="A320" s="50">
        <v>64.94</v>
      </c>
      <c r="B320" s="50">
        <v>65.089500000000001</v>
      </c>
      <c r="C320" s="50">
        <v>63.585000000000001</v>
      </c>
      <c r="D320" s="50">
        <v>63.75</v>
      </c>
      <c r="E320" s="50">
        <v>492404</v>
      </c>
      <c r="F320" s="50" t="s">
        <v>357</v>
      </c>
      <c r="G320" s="25">
        <f t="shared" si="1"/>
        <v>1.8666666666666609E-2</v>
      </c>
    </row>
    <row r="321" spans="1:7">
      <c r="A321" s="50">
        <v>63.86</v>
      </c>
      <c r="B321" s="50">
        <v>64.55</v>
      </c>
      <c r="C321" s="50">
        <v>63.26</v>
      </c>
      <c r="D321" s="50">
        <v>64.33</v>
      </c>
      <c r="E321" s="50">
        <v>465511</v>
      </c>
      <c r="F321" s="50" t="s">
        <v>358</v>
      </c>
      <c r="G321" s="25">
        <f t="shared" si="1"/>
        <v>-7.3060780351313914E-3</v>
      </c>
    </row>
    <row r="322" spans="1:7">
      <c r="A322" s="50">
        <v>64.8</v>
      </c>
      <c r="B322" s="50">
        <v>65.004999999999995</v>
      </c>
      <c r="C322" s="50">
        <v>63.66</v>
      </c>
      <c r="D322" s="50">
        <v>64.28</v>
      </c>
      <c r="E322" s="50">
        <v>584558</v>
      </c>
      <c r="F322" s="50" t="s">
        <v>359</v>
      </c>
      <c r="G322" s="25">
        <f t="shared" si="1"/>
        <v>8.0896079651524566E-3</v>
      </c>
    </row>
    <row r="323" spans="1:7">
      <c r="A323" s="50">
        <v>64.680000000000007</v>
      </c>
      <c r="B323" s="50">
        <v>64.95</v>
      </c>
      <c r="C323" s="50">
        <v>62.49</v>
      </c>
      <c r="D323" s="50">
        <v>63.69</v>
      </c>
      <c r="E323" s="50">
        <v>581849</v>
      </c>
      <c r="F323" s="50" t="s">
        <v>360</v>
      </c>
      <c r="G323" s="25">
        <f t="shared" si="1"/>
        <v>1.5544041450777257E-2</v>
      </c>
    </row>
    <row r="324" spans="1:7">
      <c r="A324" s="50">
        <v>63.33</v>
      </c>
      <c r="B324" s="50">
        <v>63.672499999999999</v>
      </c>
      <c r="C324" s="50">
        <v>62.680100000000003</v>
      </c>
      <c r="D324" s="50">
        <v>63.06</v>
      </c>
      <c r="E324" s="50">
        <v>333263</v>
      </c>
      <c r="F324" s="50" t="s">
        <v>361</v>
      </c>
      <c r="G324" s="25">
        <f t="shared" si="1"/>
        <v>4.2816365366316056E-3</v>
      </c>
    </row>
    <row r="325" spans="1:7">
      <c r="A325" s="50">
        <v>63.43</v>
      </c>
      <c r="B325" s="50">
        <v>64.665000000000006</v>
      </c>
      <c r="C325" s="50">
        <v>62.814999999999998</v>
      </c>
      <c r="D325" s="50">
        <v>64.36</v>
      </c>
      <c r="E325" s="50">
        <v>340492</v>
      </c>
      <c r="F325" s="50" t="s">
        <v>362</v>
      </c>
      <c r="G325" s="25">
        <f t="shared" si="1"/>
        <v>-1.4449968924797996E-2</v>
      </c>
    </row>
    <row r="326" spans="1:7">
      <c r="A326" s="50">
        <v>64.23</v>
      </c>
      <c r="B326" s="50">
        <v>64.430000000000007</v>
      </c>
      <c r="C326" s="50">
        <v>63.174999999999997</v>
      </c>
      <c r="D326" s="50">
        <v>63.52</v>
      </c>
      <c r="E326" s="50">
        <v>452836</v>
      </c>
      <c r="F326" s="50" t="s">
        <v>363</v>
      </c>
      <c r="G326" s="25">
        <f t="shared" si="1"/>
        <v>1.117758186397988E-2</v>
      </c>
    </row>
    <row r="327" spans="1:7">
      <c r="A327" s="50">
        <v>62.91</v>
      </c>
      <c r="B327" s="50">
        <v>63.924999999999997</v>
      </c>
      <c r="C327" s="50">
        <v>62.784999999999997</v>
      </c>
      <c r="D327" s="50">
        <v>63.67</v>
      </c>
      <c r="E327" s="50">
        <v>340202</v>
      </c>
      <c r="F327" s="50" t="s">
        <v>364</v>
      </c>
      <c r="G327" s="25">
        <f t="shared" si="1"/>
        <v>-1.1936547824721311E-2</v>
      </c>
    </row>
    <row r="328" spans="1:7">
      <c r="A328" s="50">
        <v>63.5</v>
      </c>
      <c r="B328" s="50">
        <v>64.305000000000007</v>
      </c>
      <c r="C328" s="50">
        <v>62.67</v>
      </c>
      <c r="D328" s="50">
        <v>63.04</v>
      </c>
      <c r="E328" s="50">
        <v>597509</v>
      </c>
      <c r="F328" s="50" t="s">
        <v>365</v>
      </c>
      <c r="G328" s="25">
        <f t="shared" ref="G328:G391" si="2">A328/D328-1</f>
        <v>7.2969543147207716E-3</v>
      </c>
    </row>
    <row r="329" spans="1:7">
      <c r="A329" s="50">
        <v>62.8</v>
      </c>
      <c r="B329" s="50">
        <v>63.12</v>
      </c>
      <c r="C329" s="50">
        <v>61.882300000000001</v>
      </c>
      <c r="D329" s="50">
        <v>62.05</v>
      </c>
      <c r="E329" s="50">
        <v>697167</v>
      </c>
      <c r="F329" s="50" t="s">
        <v>366</v>
      </c>
      <c r="G329" s="25">
        <f t="shared" si="2"/>
        <v>1.208702659145855E-2</v>
      </c>
    </row>
    <row r="330" spans="1:7">
      <c r="A330" s="50">
        <v>62.37</v>
      </c>
      <c r="B330" s="50">
        <v>62.99</v>
      </c>
      <c r="C330" s="50">
        <v>61.4</v>
      </c>
      <c r="D330" s="50">
        <v>62.15</v>
      </c>
      <c r="E330" s="50">
        <v>562792</v>
      </c>
      <c r="F330" s="50" t="s">
        <v>367</v>
      </c>
      <c r="G330" s="25">
        <f t="shared" si="2"/>
        <v>3.5398230088494742E-3</v>
      </c>
    </row>
    <row r="331" spans="1:7">
      <c r="A331" s="50">
        <v>62.01</v>
      </c>
      <c r="B331" s="50">
        <v>62.45</v>
      </c>
      <c r="C331" s="50">
        <v>61.35</v>
      </c>
      <c r="D331" s="50">
        <v>62.16</v>
      </c>
      <c r="E331" s="50">
        <v>213272</v>
      </c>
      <c r="F331" s="50" t="s">
        <v>368</v>
      </c>
      <c r="G331" s="25">
        <f t="shared" si="2"/>
        <v>-2.4131274131273805E-3</v>
      </c>
    </row>
    <row r="332" spans="1:7">
      <c r="A332" s="50">
        <v>61.88</v>
      </c>
      <c r="B332" s="50">
        <v>63.59</v>
      </c>
      <c r="C332" s="50">
        <v>61.83</v>
      </c>
      <c r="D332" s="50">
        <v>63.28</v>
      </c>
      <c r="E332" s="50">
        <v>537094</v>
      </c>
      <c r="F332" s="50" t="s">
        <v>369</v>
      </c>
      <c r="G332" s="25">
        <f t="shared" si="2"/>
        <v>-2.2123893805309658E-2</v>
      </c>
    </row>
    <row r="333" spans="1:7">
      <c r="A333" s="50">
        <v>63.07</v>
      </c>
      <c r="B333" s="50">
        <v>63.5</v>
      </c>
      <c r="C333" s="50">
        <v>61.8</v>
      </c>
      <c r="D333" s="50">
        <v>62.07</v>
      </c>
      <c r="E333" s="50">
        <v>771365</v>
      </c>
      <c r="F333" s="50" t="s">
        <v>370</v>
      </c>
      <c r="G333" s="25">
        <f t="shared" si="2"/>
        <v>1.6110842597067743E-2</v>
      </c>
    </row>
    <row r="334" spans="1:7">
      <c r="A334" s="50">
        <v>62.77</v>
      </c>
      <c r="B334" s="50">
        <v>63.784999999999997</v>
      </c>
      <c r="C334" s="50">
        <v>62.52</v>
      </c>
      <c r="D334" s="50">
        <v>63</v>
      </c>
      <c r="E334" s="50">
        <v>745248</v>
      </c>
      <c r="F334" s="50" t="s">
        <v>371</v>
      </c>
      <c r="G334" s="25">
        <f t="shared" si="2"/>
        <v>-3.6507936507935712E-3</v>
      </c>
    </row>
    <row r="335" spans="1:7">
      <c r="A335" s="50">
        <v>62.7</v>
      </c>
      <c r="B335" s="50">
        <v>63.08</v>
      </c>
      <c r="C335" s="50">
        <v>61.884999999999998</v>
      </c>
      <c r="D335" s="50">
        <v>62.16</v>
      </c>
      <c r="E335" s="50">
        <v>576984</v>
      </c>
      <c r="F335" s="50" t="s">
        <v>372</v>
      </c>
      <c r="G335" s="25">
        <f t="shared" si="2"/>
        <v>8.6872586872588364E-3</v>
      </c>
    </row>
    <row r="336" spans="1:7">
      <c r="A336" s="50">
        <v>61.69</v>
      </c>
      <c r="B336" s="50">
        <v>62.23</v>
      </c>
      <c r="C336" s="50">
        <v>59.255200000000002</v>
      </c>
      <c r="D336" s="50">
        <v>59.67</v>
      </c>
      <c r="E336" s="50">
        <v>973166</v>
      </c>
      <c r="F336" s="50" t="s">
        <v>373</v>
      </c>
      <c r="G336" s="25">
        <f t="shared" si="2"/>
        <v>3.3852857382269175E-2</v>
      </c>
    </row>
    <row r="337" spans="1:7">
      <c r="A337" s="50">
        <v>58.53</v>
      </c>
      <c r="B337" s="50">
        <v>58.55</v>
      </c>
      <c r="C337" s="50">
        <v>56.69</v>
      </c>
      <c r="D337" s="50">
        <v>58.05</v>
      </c>
      <c r="E337" s="50">
        <v>1087828</v>
      </c>
      <c r="F337" s="50" t="s">
        <v>374</v>
      </c>
      <c r="G337" s="25">
        <f t="shared" si="2"/>
        <v>8.2687338501292729E-3</v>
      </c>
    </row>
    <row r="338" spans="1:7">
      <c r="A338" s="50">
        <v>57.7</v>
      </c>
      <c r="B338" s="50">
        <v>59.68</v>
      </c>
      <c r="C338" s="50">
        <v>57.365000000000002</v>
      </c>
      <c r="D338" s="50">
        <v>59.46</v>
      </c>
      <c r="E338" s="50">
        <v>869416</v>
      </c>
      <c r="F338" s="50" t="s">
        <v>375</v>
      </c>
      <c r="G338" s="25">
        <f t="shared" si="2"/>
        <v>-2.9599730911537114E-2</v>
      </c>
    </row>
    <row r="339" spans="1:7">
      <c r="A339" s="50">
        <v>57.96</v>
      </c>
      <c r="B339" s="50">
        <v>59.58</v>
      </c>
      <c r="C339" s="50">
        <v>57.95</v>
      </c>
      <c r="D339" s="50">
        <v>59.5</v>
      </c>
      <c r="E339" s="50">
        <v>491670</v>
      </c>
      <c r="F339" s="50" t="s">
        <v>376</v>
      </c>
      <c r="G339" s="25">
        <f t="shared" si="2"/>
        <v>-2.5882352941176467E-2</v>
      </c>
    </row>
    <row r="340" spans="1:7">
      <c r="A340" s="50">
        <v>59.31</v>
      </c>
      <c r="B340" s="50">
        <v>61.41</v>
      </c>
      <c r="C340" s="50">
        <v>58.94</v>
      </c>
      <c r="D340" s="50">
        <v>61.41</v>
      </c>
      <c r="E340" s="50">
        <v>671778</v>
      </c>
      <c r="F340" s="50" t="s">
        <v>377</v>
      </c>
      <c r="G340" s="25">
        <f t="shared" si="2"/>
        <v>-3.4196384953590564E-2</v>
      </c>
    </row>
    <row r="341" spans="1:7">
      <c r="A341" s="50">
        <v>60.56</v>
      </c>
      <c r="B341" s="50">
        <v>63.11</v>
      </c>
      <c r="C341" s="50">
        <v>60.43</v>
      </c>
      <c r="D341" s="50">
        <v>62.68</v>
      </c>
      <c r="E341" s="50">
        <v>530539</v>
      </c>
      <c r="F341" s="50" t="s">
        <v>378</v>
      </c>
      <c r="G341" s="25">
        <f t="shared" si="2"/>
        <v>-3.3822590938098251E-2</v>
      </c>
    </row>
    <row r="342" spans="1:7">
      <c r="A342" s="50">
        <v>62.39</v>
      </c>
      <c r="B342" s="50">
        <v>63.1</v>
      </c>
      <c r="C342" s="50">
        <v>60.25</v>
      </c>
      <c r="D342" s="50">
        <v>61.42</v>
      </c>
      <c r="E342" s="50">
        <v>699052</v>
      </c>
      <c r="F342" s="50" t="s">
        <v>379</v>
      </c>
      <c r="G342" s="25">
        <f t="shared" si="2"/>
        <v>1.5792901335069942E-2</v>
      </c>
    </row>
    <row r="343" spans="1:7">
      <c r="A343" s="50">
        <v>61.15</v>
      </c>
      <c r="B343" s="50">
        <v>62.8</v>
      </c>
      <c r="C343" s="50">
        <v>60.88</v>
      </c>
      <c r="D343" s="50">
        <v>62.12</v>
      </c>
      <c r="E343" s="50">
        <v>490675</v>
      </c>
      <c r="F343" s="50" t="s">
        <v>380</v>
      </c>
      <c r="G343" s="25">
        <f t="shared" si="2"/>
        <v>-1.5614938828074632E-2</v>
      </c>
    </row>
    <row r="344" spans="1:7">
      <c r="A344" s="50">
        <v>62.52</v>
      </c>
      <c r="B344" s="50">
        <v>62.59</v>
      </c>
      <c r="C344" s="50">
        <v>60.2776</v>
      </c>
      <c r="D344" s="50">
        <v>60.32</v>
      </c>
      <c r="E344" s="50">
        <v>1139175</v>
      </c>
      <c r="F344" s="50" t="s">
        <v>381</v>
      </c>
      <c r="G344" s="25">
        <f t="shared" si="2"/>
        <v>3.6472148541114136E-2</v>
      </c>
    </row>
    <row r="345" spans="1:7">
      <c r="A345" s="50">
        <v>60.37</v>
      </c>
      <c r="B345" s="50">
        <v>61.2</v>
      </c>
      <c r="C345" s="50">
        <v>57.71</v>
      </c>
      <c r="D345" s="50">
        <v>59.85</v>
      </c>
      <c r="E345" s="50">
        <v>1268255</v>
      </c>
      <c r="F345" s="50" t="s">
        <v>382</v>
      </c>
      <c r="G345" s="25">
        <f t="shared" si="2"/>
        <v>8.6883876357559675E-3</v>
      </c>
    </row>
    <row r="346" spans="1:7">
      <c r="A346" s="50">
        <v>59.45</v>
      </c>
      <c r="B346" s="50">
        <v>59.62</v>
      </c>
      <c r="C346" s="50">
        <v>58.26</v>
      </c>
      <c r="D346" s="50">
        <v>58.83</v>
      </c>
      <c r="E346" s="50">
        <v>1313122</v>
      </c>
      <c r="F346" s="50" t="s">
        <v>383</v>
      </c>
      <c r="G346" s="25">
        <f t="shared" si="2"/>
        <v>1.0538840727519982E-2</v>
      </c>
    </row>
    <row r="347" spans="1:7">
      <c r="A347" s="50">
        <v>58.63</v>
      </c>
      <c r="B347" s="50">
        <v>58.96</v>
      </c>
      <c r="C347" s="50">
        <v>57.66</v>
      </c>
      <c r="D347" s="50">
        <v>58.52</v>
      </c>
      <c r="E347" s="50">
        <v>1151249</v>
      </c>
      <c r="F347" s="50" t="s">
        <v>384</v>
      </c>
      <c r="G347" s="25">
        <f t="shared" si="2"/>
        <v>1.879699248120259E-3</v>
      </c>
    </row>
    <row r="348" spans="1:7">
      <c r="A348" s="50">
        <v>55.99</v>
      </c>
      <c r="B348" s="50">
        <v>56.19</v>
      </c>
      <c r="C348" s="50">
        <v>54.87</v>
      </c>
      <c r="D348" s="50">
        <v>54.87</v>
      </c>
      <c r="E348" s="50">
        <v>506632</v>
      </c>
      <c r="F348" s="50" t="s">
        <v>385</v>
      </c>
      <c r="G348" s="25">
        <f t="shared" si="2"/>
        <v>2.0411882631675038E-2</v>
      </c>
    </row>
    <row r="349" spans="1:7">
      <c r="A349" s="50">
        <v>55.11</v>
      </c>
      <c r="B349" s="50">
        <v>55.95</v>
      </c>
      <c r="C349" s="50">
        <v>54.93</v>
      </c>
      <c r="D349" s="50">
        <v>55.24</v>
      </c>
      <c r="E349" s="50">
        <v>248985</v>
      </c>
      <c r="F349" s="50" t="s">
        <v>386</v>
      </c>
      <c r="G349" s="25">
        <f t="shared" si="2"/>
        <v>-2.353367125271566E-3</v>
      </c>
    </row>
    <row r="350" spans="1:7">
      <c r="A350" s="50">
        <v>55.51</v>
      </c>
      <c r="B350" s="50">
        <v>56.17</v>
      </c>
      <c r="C350" s="50">
        <v>55.3</v>
      </c>
      <c r="D350" s="50">
        <v>55.47</v>
      </c>
      <c r="E350" s="50">
        <v>395806</v>
      </c>
      <c r="F350" s="50" t="s">
        <v>387</v>
      </c>
      <c r="G350" s="25">
        <f t="shared" si="2"/>
        <v>7.2111051018564076E-4</v>
      </c>
    </row>
    <row r="351" spans="1:7">
      <c r="A351" s="50">
        <v>55.37</v>
      </c>
      <c r="B351" s="50">
        <v>56.72</v>
      </c>
      <c r="C351" s="50">
        <v>55.37</v>
      </c>
      <c r="D351" s="50">
        <v>56.25</v>
      </c>
      <c r="E351" s="50">
        <v>546244</v>
      </c>
      <c r="F351" s="50" t="s">
        <v>388</v>
      </c>
      <c r="G351" s="25">
        <f t="shared" si="2"/>
        <v>-1.5644444444444461E-2</v>
      </c>
    </row>
    <row r="352" spans="1:7">
      <c r="A352" s="50">
        <v>56.13</v>
      </c>
      <c r="B352" s="50">
        <v>57.515000000000001</v>
      </c>
      <c r="C352" s="50">
        <v>56.05</v>
      </c>
      <c r="D352" s="50">
        <v>57.06</v>
      </c>
      <c r="E352" s="50">
        <v>391635</v>
      </c>
      <c r="F352" s="50" t="s">
        <v>389</v>
      </c>
      <c r="G352" s="25">
        <f t="shared" si="2"/>
        <v>-1.629863301787593E-2</v>
      </c>
    </row>
    <row r="353" spans="1:7">
      <c r="A353" s="50">
        <v>57.33</v>
      </c>
      <c r="B353" s="50">
        <v>57.945</v>
      </c>
      <c r="C353" s="50">
        <v>56.564999999999998</v>
      </c>
      <c r="D353" s="50">
        <v>56.59</v>
      </c>
      <c r="E353" s="50">
        <v>568818</v>
      </c>
      <c r="F353" s="50" t="s">
        <v>390</v>
      </c>
      <c r="G353" s="25">
        <f t="shared" si="2"/>
        <v>1.3076515285386003E-2</v>
      </c>
    </row>
    <row r="354" spans="1:7">
      <c r="A354" s="50">
        <v>57.04</v>
      </c>
      <c r="B354" s="50">
        <v>58.44</v>
      </c>
      <c r="C354" s="50">
        <v>57.02</v>
      </c>
      <c r="D354" s="50">
        <v>57.24</v>
      </c>
      <c r="E354" s="50">
        <v>822407</v>
      </c>
      <c r="F354" s="50" t="s">
        <v>391</v>
      </c>
      <c r="G354" s="25">
        <f t="shared" si="2"/>
        <v>-3.4940600978337066E-3</v>
      </c>
    </row>
    <row r="355" spans="1:7">
      <c r="A355" s="50">
        <v>56.57</v>
      </c>
      <c r="B355" s="50">
        <v>57.63</v>
      </c>
      <c r="C355" s="50">
        <v>56.03</v>
      </c>
      <c r="D355" s="50">
        <v>57.39</v>
      </c>
      <c r="E355" s="50">
        <v>413463</v>
      </c>
      <c r="F355" s="50" t="s">
        <v>392</v>
      </c>
      <c r="G355" s="25">
        <f t="shared" si="2"/>
        <v>-1.4288203519776999E-2</v>
      </c>
    </row>
    <row r="356" spans="1:7">
      <c r="A356" s="50">
        <v>57.22</v>
      </c>
      <c r="B356" s="50">
        <v>57.51</v>
      </c>
      <c r="C356" s="50">
        <v>56.76</v>
      </c>
      <c r="D356" s="50">
        <v>57.13</v>
      </c>
      <c r="E356" s="50">
        <v>340335</v>
      </c>
      <c r="F356" s="50" t="s">
        <v>393</v>
      </c>
      <c r="G356" s="25">
        <f t="shared" si="2"/>
        <v>1.5753544547523202E-3</v>
      </c>
    </row>
    <row r="357" spans="1:7">
      <c r="A357" s="50">
        <v>56.86</v>
      </c>
      <c r="B357" s="50">
        <v>57.55</v>
      </c>
      <c r="C357" s="50">
        <v>56.42</v>
      </c>
      <c r="D357" s="50">
        <v>57.55</v>
      </c>
      <c r="E357" s="50">
        <v>554218</v>
      </c>
      <c r="F357" s="50" t="s">
        <v>394</v>
      </c>
      <c r="G357" s="25">
        <f t="shared" si="2"/>
        <v>-1.1989574283231885E-2</v>
      </c>
    </row>
    <row r="358" spans="1:7">
      <c r="A358" s="50">
        <v>57.57</v>
      </c>
      <c r="B358" s="50">
        <v>57.62</v>
      </c>
      <c r="C358" s="50">
        <v>56.73</v>
      </c>
      <c r="D358" s="50">
        <v>57.12</v>
      </c>
      <c r="E358" s="50">
        <v>337509</v>
      </c>
      <c r="F358" s="50" t="s">
        <v>395</v>
      </c>
      <c r="G358" s="25">
        <f t="shared" si="2"/>
        <v>7.8781512605041737E-3</v>
      </c>
    </row>
    <row r="359" spans="1:7">
      <c r="A359" s="50">
        <v>57.08</v>
      </c>
      <c r="B359" s="50">
        <v>59.13</v>
      </c>
      <c r="C359" s="50">
        <v>57</v>
      </c>
      <c r="D359" s="50">
        <v>59</v>
      </c>
      <c r="E359" s="50">
        <v>406173</v>
      </c>
      <c r="F359" s="50" t="s">
        <v>396</v>
      </c>
      <c r="G359" s="25">
        <f t="shared" si="2"/>
        <v>-3.2542372881355974E-2</v>
      </c>
    </row>
    <row r="360" spans="1:7">
      <c r="A360" s="50">
        <v>58.93</v>
      </c>
      <c r="B360" s="50">
        <v>60.22</v>
      </c>
      <c r="C360" s="50">
        <v>58.8</v>
      </c>
      <c r="D360" s="50">
        <v>59.42</v>
      </c>
      <c r="E360" s="50">
        <v>1000436</v>
      </c>
      <c r="F360" s="50" t="s">
        <v>397</v>
      </c>
      <c r="G360" s="25">
        <f t="shared" si="2"/>
        <v>-8.2463816896668485E-3</v>
      </c>
    </row>
    <row r="361" spans="1:7">
      <c r="A361" s="50">
        <v>59.19</v>
      </c>
      <c r="B361" s="50">
        <v>59.325000000000003</v>
      </c>
      <c r="C361" s="50">
        <v>58.111400000000003</v>
      </c>
      <c r="D361" s="50">
        <v>58.55</v>
      </c>
      <c r="E361" s="50">
        <v>699587</v>
      </c>
      <c r="F361" s="50" t="s">
        <v>398</v>
      </c>
      <c r="G361" s="25">
        <f t="shared" si="2"/>
        <v>1.0930828351836119E-2</v>
      </c>
    </row>
    <row r="362" spans="1:7">
      <c r="A362" s="50">
        <v>58.29</v>
      </c>
      <c r="B362" s="50">
        <v>58.3</v>
      </c>
      <c r="C362" s="50">
        <v>57.545000000000002</v>
      </c>
      <c r="D362" s="50">
        <v>57.58</v>
      </c>
      <c r="E362" s="50">
        <v>807598</v>
      </c>
      <c r="F362" s="50" t="s">
        <v>399</v>
      </c>
      <c r="G362" s="25">
        <f t="shared" si="2"/>
        <v>1.2330670371656804E-2</v>
      </c>
    </row>
    <row r="363" spans="1:7">
      <c r="A363" s="50">
        <v>57.62</v>
      </c>
      <c r="B363" s="50">
        <v>57.73</v>
      </c>
      <c r="C363" s="50">
        <v>56.312100000000001</v>
      </c>
      <c r="D363" s="50">
        <v>56.45</v>
      </c>
      <c r="E363" s="50">
        <v>833328</v>
      </c>
      <c r="F363" s="50" t="s">
        <v>400</v>
      </c>
      <c r="G363" s="25">
        <f t="shared" si="2"/>
        <v>2.0726306465898903E-2</v>
      </c>
    </row>
    <row r="364" spans="1:7">
      <c r="A364" s="50">
        <v>56.4</v>
      </c>
      <c r="B364" s="50">
        <v>56.44</v>
      </c>
      <c r="C364" s="50">
        <v>55.13</v>
      </c>
      <c r="D364" s="50">
        <v>56.14</v>
      </c>
      <c r="E364" s="50">
        <v>528119</v>
      </c>
      <c r="F364" s="50" t="s">
        <v>401</v>
      </c>
      <c r="G364" s="25">
        <f t="shared" si="2"/>
        <v>4.6312789454934222E-3</v>
      </c>
    </row>
    <row r="365" spans="1:7">
      <c r="A365" s="50">
        <v>56.04</v>
      </c>
      <c r="B365" s="50">
        <v>56.11</v>
      </c>
      <c r="C365" s="50">
        <v>54.61</v>
      </c>
      <c r="D365" s="50">
        <v>54.84</v>
      </c>
      <c r="E365" s="50">
        <v>333345</v>
      </c>
      <c r="F365" s="50" t="s">
        <v>402</v>
      </c>
      <c r="G365" s="25">
        <f t="shared" si="2"/>
        <v>2.1881838074398141E-2</v>
      </c>
    </row>
    <row r="366" spans="1:7">
      <c r="A366" s="50">
        <v>54.88</v>
      </c>
      <c r="B366" s="50">
        <v>55.17</v>
      </c>
      <c r="C366" s="50">
        <v>54.295000000000002</v>
      </c>
      <c r="D366" s="50">
        <v>54.72</v>
      </c>
      <c r="E366" s="50">
        <v>328688</v>
      </c>
      <c r="F366" s="50" t="s">
        <v>403</v>
      </c>
      <c r="G366" s="25">
        <f t="shared" si="2"/>
        <v>2.9239766081872176E-3</v>
      </c>
    </row>
    <row r="367" spans="1:7">
      <c r="A367" s="50">
        <v>55.4</v>
      </c>
      <c r="B367" s="50">
        <v>55.58</v>
      </c>
      <c r="C367" s="50">
        <v>54.2</v>
      </c>
      <c r="D367" s="50">
        <v>54.2</v>
      </c>
      <c r="E367" s="50">
        <v>864188</v>
      </c>
      <c r="F367" s="50" t="s">
        <v>404</v>
      </c>
      <c r="G367" s="25">
        <f t="shared" si="2"/>
        <v>2.2140221402213944E-2</v>
      </c>
    </row>
    <row r="368" spans="1:7">
      <c r="A368" s="50">
        <v>54.55</v>
      </c>
      <c r="B368" s="50">
        <v>55.09</v>
      </c>
      <c r="C368" s="50">
        <v>54.354999999999997</v>
      </c>
      <c r="D368" s="50">
        <v>54.42</v>
      </c>
      <c r="E368" s="50">
        <v>516827</v>
      </c>
      <c r="F368" s="50" t="s">
        <v>405</v>
      </c>
      <c r="G368" s="25">
        <f t="shared" si="2"/>
        <v>2.3888276368981831E-3</v>
      </c>
    </row>
    <row r="369" spans="1:7">
      <c r="A369" s="50">
        <v>54.35</v>
      </c>
      <c r="B369" s="50">
        <v>54.94</v>
      </c>
      <c r="C369" s="50">
        <v>54</v>
      </c>
      <c r="D369" s="50">
        <v>54.39</v>
      </c>
      <c r="E369" s="50">
        <v>385976</v>
      </c>
      <c r="F369" s="50" t="s">
        <v>406</v>
      </c>
      <c r="G369" s="25">
        <f t="shared" si="2"/>
        <v>-7.354293068578821E-4</v>
      </c>
    </row>
    <row r="370" spans="1:7">
      <c r="A370" s="50">
        <v>54.51</v>
      </c>
      <c r="B370" s="50">
        <v>54.82</v>
      </c>
      <c r="C370" s="50">
        <v>54.19</v>
      </c>
      <c r="D370" s="50">
        <v>54.63</v>
      </c>
      <c r="E370" s="50">
        <v>479426</v>
      </c>
      <c r="F370" s="50" t="s">
        <v>407</v>
      </c>
      <c r="G370" s="25">
        <f t="shared" si="2"/>
        <v>-2.1965952773201902E-3</v>
      </c>
    </row>
    <row r="371" spans="1:7">
      <c r="A371" s="50">
        <v>53.89</v>
      </c>
      <c r="B371" s="50">
        <v>54.43</v>
      </c>
      <c r="C371" s="50">
        <v>53.63</v>
      </c>
      <c r="D371" s="50">
        <v>54.21</v>
      </c>
      <c r="E371" s="50">
        <v>498862</v>
      </c>
      <c r="F371" s="50" t="s">
        <v>408</v>
      </c>
      <c r="G371" s="25">
        <f t="shared" si="2"/>
        <v>-5.902969931746882E-3</v>
      </c>
    </row>
    <row r="372" spans="1:7">
      <c r="A372" s="50">
        <v>54.6</v>
      </c>
      <c r="B372" s="50">
        <v>55.31</v>
      </c>
      <c r="C372" s="50">
        <v>54.01</v>
      </c>
      <c r="D372" s="50">
        <v>54.13</v>
      </c>
      <c r="E372" s="50">
        <v>490016</v>
      </c>
      <c r="F372" s="50" t="s">
        <v>409</v>
      </c>
      <c r="G372" s="25">
        <f t="shared" si="2"/>
        <v>8.6828006650656597E-3</v>
      </c>
    </row>
    <row r="373" spans="1:7">
      <c r="A373" s="50">
        <v>54.13</v>
      </c>
      <c r="B373" s="50">
        <v>55.02</v>
      </c>
      <c r="C373" s="50">
        <v>53.545000000000002</v>
      </c>
      <c r="D373" s="50">
        <v>55.02</v>
      </c>
      <c r="E373" s="50">
        <v>637323</v>
      </c>
      <c r="F373" s="50" t="s">
        <v>410</v>
      </c>
      <c r="G373" s="25">
        <f t="shared" si="2"/>
        <v>-1.6175936023264281E-2</v>
      </c>
    </row>
    <row r="374" spans="1:7">
      <c r="A374" s="50">
        <v>55.14</v>
      </c>
      <c r="B374" s="50">
        <v>56.48</v>
      </c>
      <c r="C374" s="50">
        <v>53.16</v>
      </c>
      <c r="D374" s="50">
        <v>54.67</v>
      </c>
      <c r="E374" s="50">
        <v>1689419</v>
      </c>
      <c r="F374" s="50" t="s">
        <v>411</v>
      </c>
      <c r="G374" s="25">
        <f t="shared" si="2"/>
        <v>8.5970367660508362E-3</v>
      </c>
    </row>
    <row r="375" spans="1:7">
      <c r="A375" s="50">
        <v>52.85</v>
      </c>
      <c r="B375" s="50">
        <v>53.018999999999998</v>
      </c>
      <c r="C375" s="50">
        <v>52.24</v>
      </c>
      <c r="D375" s="50">
        <v>52.57</v>
      </c>
      <c r="E375" s="50">
        <v>416356</v>
      </c>
      <c r="F375" s="50" t="s">
        <v>412</v>
      </c>
      <c r="G375" s="25">
        <f t="shared" si="2"/>
        <v>5.3262316910784868E-3</v>
      </c>
    </row>
    <row r="376" spans="1:7">
      <c r="A376" s="50">
        <v>52.29</v>
      </c>
      <c r="B376" s="50">
        <v>52.594999999999999</v>
      </c>
      <c r="C376" s="50">
        <v>50.44</v>
      </c>
      <c r="D376" s="50">
        <v>51.53</v>
      </c>
      <c r="E376" s="50">
        <v>651624</v>
      </c>
      <c r="F376" s="50" t="s">
        <v>413</v>
      </c>
      <c r="G376" s="25">
        <f t="shared" si="2"/>
        <v>1.4748690083446592E-2</v>
      </c>
    </row>
    <row r="377" spans="1:7">
      <c r="A377" s="50">
        <v>50.47</v>
      </c>
      <c r="B377" s="50">
        <v>51.32</v>
      </c>
      <c r="C377" s="50">
        <v>50.164999999999999</v>
      </c>
      <c r="D377" s="50">
        <v>51.05</v>
      </c>
      <c r="E377" s="50">
        <v>830726</v>
      </c>
      <c r="F377" s="50" t="s">
        <v>414</v>
      </c>
      <c r="G377" s="25">
        <f t="shared" si="2"/>
        <v>-1.1361410381978465E-2</v>
      </c>
    </row>
    <row r="378" spans="1:7">
      <c r="A378" s="50">
        <v>51.11</v>
      </c>
      <c r="B378" s="50">
        <v>52.0441</v>
      </c>
      <c r="C378" s="50">
        <v>50.64</v>
      </c>
      <c r="D378" s="50">
        <v>51.47</v>
      </c>
      <c r="E378" s="50">
        <v>1275229</v>
      </c>
      <c r="F378" s="50" t="s">
        <v>415</v>
      </c>
      <c r="G378" s="25">
        <f t="shared" si="2"/>
        <v>-6.9943656498930862E-3</v>
      </c>
    </row>
    <row r="379" spans="1:7">
      <c r="A379" s="50">
        <v>51.24</v>
      </c>
      <c r="B379" s="50">
        <v>52.1</v>
      </c>
      <c r="C379" s="50">
        <v>51.18</v>
      </c>
      <c r="D379" s="50">
        <v>51.93</v>
      </c>
      <c r="E379" s="50">
        <v>693214</v>
      </c>
      <c r="F379" s="50" t="s">
        <v>416</v>
      </c>
      <c r="G379" s="25">
        <f t="shared" si="2"/>
        <v>-1.328711727325238E-2</v>
      </c>
    </row>
    <row r="380" spans="1:7">
      <c r="A380" s="50">
        <v>51.98</v>
      </c>
      <c r="B380" s="50">
        <v>52.08</v>
      </c>
      <c r="C380" s="50">
        <v>51.36</v>
      </c>
      <c r="D380" s="50">
        <v>52.03</v>
      </c>
      <c r="E380" s="50">
        <v>1014995</v>
      </c>
      <c r="F380" s="50" t="s">
        <v>417</v>
      </c>
      <c r="G380" s="25">
        <f t="shared" si="2"/>
        <v>-9.6098404766487011E-4</v>
      </c>
    </row>
    <row r="381" spans="1:7">
      <c r="A381" s="50">
        <v>51.91</v>
      </c>
      <c r="B381" s="50">
        <v>52.57</v>
      </c>
      <c r="C381" s="50">
        <v>51.29</v>
      </c>
      <c r="D381" s="50">
        <v>52.57</v>
      </c>
      <c r="E381" s="50">
        <v>468154</v>
      </c>
      <c r="F381" s="50" t="s">
        <v>418</v>
      </c>
      <c r="G381" s="25">
        <f t="shared" si="2"/>
        <v>-1.2554688986113782E-2</v>
      </c>
    </row>
    <row r="382" spans="1:7">
      <c r="A382" s="50">
        <v>51.3</v>
      </c>
      <c r="B382" s="50">
        <v>51.68</v>
      </c>
      <c r="C382" s="50">
        <v>50.520099999999999</v>
      </c>
      <c r="D382" s="50">
        <v>50.78</v>
      </c>
      <c r="E382" s="50">
        <v>593940</v>
      </c>
      <c r="F382" s="50" t="s">
        <v>419</v>
      </c>
      <c r="G382" s="25">
        <f t="shared" si="2"/>
        <v>1.024025206774315E-2</v>
      </c>
    </row>
    <row r="383" spans="1:7">
      <c r="A383" s="50">
        <v>50.79</v>
      </c>
      <c r="B383" s="50">
        <v>51.094999999999999</v>
      </c>
      <c r="C383" s="50">
        <v>50.3</v>
      </c>
      <c r="D383" s="50">
        <v>50.35</v>
      </c>
      <c r="E383" s="50">
        <v>298635</v>
      </c>
      <c r="F383" s="50" t="s">
        <v>420</v>
      </c>
      <c r="G383" s="25">
        <f t="shared" si="2"/>
        <v>8.738828202581983E-3</v>
      </c>
    </row>
    <row r="384" spans="1:7">
      <c r="A384" s="50">
        <v>50.06</v>
      </c>
      <c r="B384" s="50">
        <v>50.83</v>
      </c>
      <c r="C384" s="50">
        <v>49.56</v>
      </c>
      <c r="D384" s="50">
        <v>50.22</v>
      </c>
      <c r="E384" s="50">
        <v>530236</v>
      </c>
      <c r="F384" s="50" t="s">
        <v>421</v>
      </c>
      <c r="G384" s="25">
        <f t="shared" si="2"/>
        <v>-3.1859816806052432E-3</v>
      </c>
    </row>
    <row r="385" spans="1:7">
      <c r="A385" s="50">
        <v>50.01</v>
      </c>
      <c r="B385" s="50">
        <v>50.16</v>
      </c>
      <c r="C385" s="50">
        <v>49.354999999999997</v>
      </c>
      <c r="D385" s="50">
        <v>49.67</v>
      </c>
      <c r="E385" s="50">
        <v>423605</v>
      </c>
      <c r="F385" s="50" t="s">
        <v>422</v>
      </c>
      <c r="G385" s="25">
        <f t="shared" si="2"/>
        <v>6.8451781759613084E-3</v>
      </c>
    </row>
    <row r="386" spans="1:7">
      <c r="A386" s="50">
        <v>49.26</v>
      </c>
      <c r="B386" s="50">
        <v>49.48</v>
      </c>
      <c r="C386" s="50">
        <v>48.408000000000001</v>
      </c>
      <c r="D386" s="50">
        <v>49.04</v>
      </c>
      <c r="E386" s="50">
        <v>426815</v>
      </c>
      <c r="F386" s="50" t="s">
        <v>423</v>
      </c>
      <c r="G386" s="25">
        <f t="shared" si="2"/>
        <v>4.486133768352385E-3</v>
      </c>
    </row>
    <row r="387" spans="1:7">
      <c r="A387" s="50">
        <v>48.88</v>
      </c>
      <c r="B387" s="50">
        <v>48.96</v>
      </c>
      <c r="C387" s="50">
        <v>47.66</v>
      </c>
      <c r="D387" s="50">
        <v>48.17</v>
      </c>
      <c r="E387" s="50">
        <v>549086</v>
      </c>
      <c r="F387" s="50" t="s">
        <v>424</v>
      </c>
      <c r="G387" s="25">
        <f t="shared" si="2"/>
        <v>1.4739464396927637E-2</v>
      </c>
    </row>
    <row r="388" spans="1:7">
      <c r="A388" s="50">
        <v>48.18</v>
      </c>
      <c r="B388" s="50">
        <v>48.39</v>
      </c>
      <c r="C388" s="50">
        <v>47.255000000000003</v>
      </c>
      <c r="D388" s="50">
        <v>47.9</v>
      </c>
      <c r="E388" s="50">
        <v>510510</v>
      </c>
      <c r="F388" s="50" t="s">
        <v>425</v>
      </c>
      <c r="G388" s="25">
        <f t="shared" si="2"/>
        <v>5.8455114822546506E-3</v>
      </c>
    </row>
    <row r="389" spans="1:7">
      <c r="A389" s="50">
        <v>47.71</v>
      </c>
      <c r="B389" s="50">
        <v>48.48</v>
      </c>
      <c r="C389" s="50">
        <v>47.6</v>
      </c>
      <c r="D389" s="50">
        <v>47.91</v>
      </c>
      <c r="E389" s="50">
        <v>562110</v>
      </c>
      <c r="F389" s="50" t="s">
        <v>426</v>
      </c>
      <c r="G389" s="25">
        <f t="shared" si="2"/>
        <v>-4.1744938426214739E-3</v>
      </c>
    </row>
    <row r="390" spans="1:7">
      <c r="A390" s="50">
        <v>47.92</v>
      </c>
      <c r="B390" s="50">
        <v>48.79</v>
      </c>
      <c r="C390" s="50">
        <v>47.75</v>
      </c>
      <c r="D390" s="50">
        <v>48.42</v>
      </c>
      <c r="E390" s="50">
        <v>862696</v>
      </c>
      <c r="F390" s="50" t="s">
        <v>427</v>
      </c>
      <c r="G390" s="25">
        <f t="shared" si="2"/>
        <v>-1.0326311441553049E-2</v>
      </c>
    </row>
    <row r="391" spans="1:7">
      <c r="A391" s="50">
        <v>48.35</v>
      </c>
      <c r="B391" s="50">
        <v>49.15</v>
      </c>
      <c r="C391" s="50">
        <v>48.26</v>
      </c>
      <c r="D391" s="50">
        <v>49.15</v>
      </c>
      <c r="E391" s="50">
        <v>893743</v>
      </c>
      <c r="F391" s="50" t="s">
        <v>428</v>
      </c>
      <c r="G391" s="25">
        <f t="shared" si="2"/>
        <v>-1.6276703967446515E-2</v>
      </c>
    </row>
    <row r="392" spans="1:7">
      <c r="A392" s="50">
        <v>48.97</v>
      </c>
      <c r="B392" s="50">
        <v>49.2</v>
      </c>
      <c r="C392" s="50">
        <v>48</v>
      </c>
      <c r="D392" s="50">
        <v>48.13</v>
      </c>
      <c r="E392" s="50">
        <v>335079</v>
      </c>
      <c r="F392" s="50" t="s">
        <v>429</v>
      </c>
      <c r="G392" s="25">
        <f t="shared" ref="G392:G455" si="3">A392/D392-1</f>
        <v>1.7452732183669051E-2</v>
      </c>
    </row>
    <row r="393" spans="1:7">
      <c r="A393" s="50">
        <v>48.51</v>
      </c>
      <c r="B393" s="50">
        <v>49.65</v>
      </c>
      <c r="C393" s="50">
        <v>48.414999999999999</v>
      </c>
      <c r="D393" s="50">
        <v>49.1</v>
      </c>
      <c r="E393" s="50">
        <v>432259</v>
      </c>
      <c r="F393" s="50" t="s">
        <v>430</v>
      </c>
      <c r="G393" s="25">
        <f t="shared" si="3"/>
        <v>-1.2016293279022427E-2</v>
      </c>
    </row>
    <row r="394" spans="1:7">
      <c r="A394" s="50">
        <v>49.55</v>
      </c>
      <c r="B394" s="50">
        <v>50.25</v>
      </c>
      <c r="C394" s="50">
        <v>49.18</v>
      </c>
      <c r="D394" s="50">
        <v>49.89</v>
      </c>
      <c r="E394" s="50">
        <v>738765</v>
      </c>
      <c r="F394" s="50" t="s">
        <v>431</v>
      </c>
      <c r="G394" s="25">
        <f t="shared" si="3"/>
        <v>-6.814992984566115E-3</v>
      </c>
    </row>
    <row r="395" spans="1:7">
      <c r="A395" s="50">
        <v>49.79</v>
      </c>
      <c r="B395" s="50">
        <v>50.21</v>
      </c>
      <c r="C395" s="50">
        <v>49.4</v>
      </c>
      <c r="D395" s="50">
        <v>49.72</v>
      </c>
      <c r="E395" s="50">
        <v>1017588</v>
      </c>
      <c r="F395" s="50" t="s">
        <v>432</v>
      </c>
      <c r="G395" s="25">
        <f t="shared" si="3"/>
        <v>1.4078841512470408E-3</v>
      </c>
    </row>
    <row r="396" spans="1:7">
      <c r="A396" s="50">
        <v>49.26</v>
      </c>
      <c r="B396" s="50">
        <v>50.12</v>
      </c>
      <c r="C396" s="50">
        <v>48.9</v>
      </c>
      <c r="D396" s="50">
        <v>49.73</v>
      </c>
      <c r="E396" s="50">
        <v>750067</v>
      </c>
      <c r="F396" s="50" t="s">
        <v>433</v>
      </c>
      <c r="G396" s="25">
        <f t="shared" si="3"/>
        <v>-9.4510355921978428E-3</v>
      </c>
    </row>
    <row r="397" spans="1:7">
      <c r="A397" s="50">
        <v>49.95</v>
      </c>
      <c r="B397" s="50">
        <v>50.43</v>
      </c>
      <c r="C397" s="50">
        <v>49.84</v>
      </c>
      <c r="D397" s="50">
        <v>49.98</v>
      </c>
      <c r="E397" s="50">
        <v>579470</v>
      </c>
      <c r="F397" s="50" t="s">
        <v>434</v>
      </c>
      <c r="G397" s="25">
        <f t="shared" si="3"/>
        <v>-6.0024009603831807E-4</v>
      </c>
    </row>
    <row r="398" spans="1:7">
      <c r="A398" s="50">
        <v>50.25</v>
      </c>
      <c r="B398" s="50">
        <v>51.22</v>
      </c>
      <c r="C398" s="50">
        <v>50.2</v>
      </c>
      <c r="D398" s="50">
        <v>50.91</v>
      </c>
      <c r="E398" s="50">
        <v>909133</v>
      </c>
      <c r="F398" s="50" t="s">
        <v>435</v>
      </c>
      <c r="G398" s="25">
        <f t="shared" si="3"/>
        <v>-1.2964054213317588E-2</v>
      </c>
    </row>
    <row r="399" spans="1:7">
      <c r="A399" s="50">
        <v>50.83</v>
      </c>
      <c r="B399" s="50">
        <v>50.98</v>
      </c>
      <c r="C399" s="50">
        <v>49.54</v>
      </c>
      <c r="D399" s="50">
        <v>50</v>
      </c>
      <c r="E399" s="50">
        <v>730203</v>
      </c>
      <c r="F399" s="50" t="s">
        <v>436</v>
      </c>
      <c r="G399" s="25">
        <f t="shared" si="3"/>
        <v>1.6599999999999948E-2</v>
      </c>
    </row>
    <row r="400" spans="1:7">
      <c r="A400" s="50">
        <v>49.5</v>
      </c>
      <c r="B400" s="50">
        <v>51.38</v>
      </c>
      <c r="C400" s="50">
        <v>49.44</v>
      </c>
      <c r="D400" s="50">
        <v>50.9</v>
      </c>
      <c r="E400" s="50">
        <v>703919</v>
      </c>
      <c r="F400" s="50" t="s">
        <v>437</v>
      </c>
      <c r="G400" s="25">
        <f t="shared" si="3"/>
        <v>-2.7504911591355596E-2</v>
      </c>
    </row>
    <row r="401" spans="1:7">
      <c r="A401" s="50">
        <v>50.9</v>
      </c>
      <c r="B401" s="50">
        <v>52.08</v>
      </c>
      <c r="C401" s="50">
        <v>50.59</v>
      </c>
      <c r="D401" s="50">
        <v>51.7</v>
      </c>
      <c r="E401" s="50">
        <v>1251833</v>
      </c>
      <c r="F401" s="50" t="s">
        <v>438</v>
      </c>
      <c r="G401" s="25">
        <f t="shared" si="3"/>
        <v>-1.5473887814313469E-2</v>
      </c>
    </row>
    <row r="402" spans="1:7">
      <c r="A402" s="50">
        <v>51.59</v>
      </c>
      <c r="B402" s="50">
        <v>52.494999999999997</v>
      </c>
      <c r="C402" s="50">
        <v>51.56</v>
      </c>
      <c r="D402" s="50">
        <v>52.49</v>
      </c>
      <c r="E402" s="50">
        <v>787447</v>
      </c>
      <c r="F402" s="50" t="s">
        <v>439</v>
      </c>
      <c r="G402" s="25">
        <f t="shared" si="3"/>
        <v>-1.7146123071061115E-2</v>
      </c>
    </row>
    <row r="403" spans="1:7">
      <c r="A403" s="50">
        <v>52.32</v>
      </c>
      <c r="B403" s="50">
        <v>52.43</v>
      </c>
      <c r="C403" s="50">
        <v>51.52</v>
      </c>
      <c r="D403" s="50">
        <v>51.73</v>
      </c>
      <c r="E403" s="50">
        <v>629621</v>
      </c>
      <c r="F403" s="50" t="s">
        <v>440</v>
      </c>
      <c r="G403" s="25">
        <f t="shared" si="3"/>
        <v>1.1405374057606776E-2</v>
      </c>
    </row>
    <row r="404" spans="1:7">
      <c r="A404" s="50">
        <v>51.56</v>
      </c>
      <c r="B404" s="50">
        <v>51.984999999999999</v>
      </c>
      <c r="C404" s="50">
        <v>51.25</v>
      </c>
      <c r="D404" s="50">
        <v>51.59</v>
      </c>
      <c r="E404" s="50">
        <v>506976</v>
      </c>
      <c r="F404" s="50" t="s">
        <v>441</v>
      </c>
      <c r="G404" s="25">
        <f t="shared" si="3"/>
        <v>-5.8150804419465629E-4</v>
      </c>
    </row>
    <row r="405" spans="1:7">
      <c r="A405" s="50">
        <v>51.79</v>
      </c>
      <c r="B405" s="50">
        <v>52.79</v>
      </c>
      <c r="C405" s="50">
        <v>51.38</v>
      </c>
      <c r="D405" s="50">
        <v>52.42</v>
      </c>
      <c r="E405" s="50">
        <v>801992</v>
      </c>
      <c r="F405" s="50" t="s">
        <v>442</v>
      </c>
      <c r="G405" s="25">
        <f t="shared" si="3"/>
        <v>-1.201831362075545E-2</v>
      </c>
    </row>
    <row r="406" spans="1:7">
      <c r="A406" s="50">
        <v>51.99</v>
      </c>
      <c r="B406" s="50">
        <v>52.84</v>
      </c>
      <c r="C406" s="50">
        <v>51.81</v>
      </c>
      <c r="D406" s="50">
        <v>52.2</v>
      </c>
      <c r="E406" s="50">
        <v>1189402</v>
      </c>
      <c r="F406" s="50" t="s">
        <v>443</v>
      </c>
      <c r="G406" s="25">
        <f t="shared" si="3"/>
        <v>-4.022988505747116E-3</v>
      </c>
    </row>
    <row r="407" spans="1:7">
      <c r="A407" s="50">
        <v>52.19</v>
      </c>
      <c r="B407" s="50">
        <v>52.33</v>
      </c>
      <c r="C407" s="50">
        <v>51.47</v>
      </c>
      <c r="D407" s="50">
        <v>51.73</v>
      </c>
      <c r="E407" s="50">
        <v>800594</v>
      </c>
      <c r="F407" s="50" t="s">
        <v>444</v>
      </c>
      <c r="G407" s="25">
        <f t="shared" si="3"/>
        <v>8.8923255364392606E-3</v>
      </c>
    </row>
    <row r="408" spans="1:7">
      <c r="A408" s="50">
        <v>51.06</v>
      </c>
      <c r="B408" s="50">
        <v>51.95</v>
      </c>
      <c r="C408" s="50">
        <v>50.76</v>
      </c>
      <c r="D408" s="50">
        <v>51.53</v>
      </c>
      <c r="E408" s="50">
        <v>529896</v>
      </c>
      <c r="F408" s="50" t="s">
        <v>445</v>
      </c>
      <c r="G408" s="25">
        <f t="shared" si="3"/>
        <v>-9.1209004463419507E-3</v>
      </c>
    </row>
    <row r="409" spans="1:7">
      <c r="A409" s="50">
        <v>51.66</v>
      </c>
      <c r="B409" s="50">
        <v>52.145000000000003</v>
      </c>
      <c r="C409" s="50">
        <v>50.81</v>
      </c>
      <c r="D409" s="50">
        <v>51.29</v>
      </c>
      <c r="E409" s="50">
        <v>750576</v>
      </c>
      <c r="F409" s="50" t="s">
        <v>446</v>
      </c>
      <c r="G409" s="25">
        <f t="shared" si="3"/>
        <v>7.2138818483133971E-3</v>
      </c>
    </row>
    <row r="410" spans="1:7">
      <c r="A410" s="50">
        <v>51.18</v>
      </c>
      <c r="B410" s="50">
        <v>51.284999999999997</v>
      </c>
      <c r="C410" s="50">
        <v>49.41</v>
      </c>
      <c r="D410" s="50">
        <v>49.67</v>
      </c>
      <c r="E410" s="50">
        <v>1447863</v>
      </c>
      <c r="F410" s="50" t="s">
        <v>447</v>
      </c>
      <c r="G410" s="25">
        <f t="shared" si="3"/>
        <v>3.040064425206368E-2</v>
      </c>
    </row>
    <row r="411" spans="1:7">
      <c r="A411" s="50">
        <v>49.33</v>
      </c>
      <c r="B411" s="50">
        <v>50.48</v>
      </c>
      <c r="C411" s="50">
        <v>47.66</v>
      </c>
      <c r="D411" s="50">
        <v>48.8</v>
      </c>
      <c r="E411" s="50">
        <v>2293526</v>
      </c>
      <c r="F411" s="50" t="s">
        <v>448</v>
      </c>
      <c r="G411" s="25">
        <f t="shared" si="3"/>
        <v>1.0860655737704894E-2</v>
      </c>
    </row>
    <row r="412" spans="1:7">
      <c r="A412" s="50">
        <v>44.09</v>
      </c>
      <c r="B412" s="50">
        <v>44.47</v>
      </c>
      <c r="C412" s="50">
        <v>43.534999999999997</v>
      </c>
      <c r="D412" s="50">
        <v>43.73</v>
      </c>
      <c r="E412" s="50">
        <v>1163938</v>
      </c>
      <c r="F412" s="50" t="s">
        <v>449</v>
      </c>
      <c r="G412" s="25">
        <f t="shared" si="3"/>
        <v>8.2323347816146697E-3</v>
      </c>
    </row>
    <row r="413" spans="1:7">
      <c r="A413" s="50">
        <v>43.75</v>
      </c>
      <c r="B413" s="50">
        <v>44.56</v>
      </c>
      <c r="C413" s="50">
        <v>43.368000000000002</v>
      </c>
      <c r="D413" s="50">
        <v>43.9</v>
      </c>
      <c r="E413" s="50">
        <v>1045910</v>
      </c>
      <c r="F413" s="50" t="s">
        <v>450</v>
      </c>
      <c r="G413" s="25">
        <f t="shared" si="3"/>
        <v>-3.4168564920272759E-3</v>
      </c>
    </row>
    <row r="414" spans="1:7">
      <c r="A414" s="50">
        <v>45.57</v>
      </c>
      <c r="B414" s="50">
        <v>45.65</v>
      </c>
      <c r="C414" s="50">
        <v>44.44</v>
      </c>
      <c r="D414" s="50">
        <v>44.44</v>
      </c>
      <c r="E414" s="50">
        <v>750751</v>
      </c>
      <c r="F414" s="50" t="s">
        <v>451</v>
      </c>
      <c r="G414" s="25">
        <f t="shared" si="3"/>
        <v>2.542754275427539E-2</v>
      </c>
    </row>
    <row r="415" spans="1:7">
      <c r="A415" s="50">
        <v>46.17</v>
      </c>
      <c r="B415" s="50">
        <v>48.01</v>
      </c>
      <c r="C415" s="50">
        <v>45.82</v>
      </c>
      <c r="D415" s="50">
        <v>47.58</v>
      </c>
      <c r="E415" s="50">
        <v>730568</v>
      </c>
      <c r="F415" s="50" t="s">
        <v>452</v>
      </c>
      <c r="G415" s="25">
        <f t="shared" si="3"/>
        <v>-2.9634300126103352E-2</v>
      </c>
    </row>
    <row r="416" spans="1:7">
      <c r="A416" s="50">
        <v>47.52</v>
      </c>
      <c r="B416" s="50">
        <v>48.21</v>
      </c>
      <c r="C416" s="50">
        <v>47.34</v>
      </c>
      <c r="D416" s="50">
        <v>47.96</v>
      </c>
      <c r="E416" s="50">
        <v>640405</v>
      </c>
      <c r="F416" s="50" t="s">
        <v>453</v>
      </c>
      <c r="G416" s="25">
        <f t="shared" si="3"/>
        <v>-9.1743119266054496E-3</v>
      </c>
    </row>
    <row r="417" spans="1:7">
      <c r="A417" s="50">
        <v>47.63</v>
      </c>
      <c r="B417" s="50">
        <v>47.91</v>
      </c>
      <c r="C417" s="50">
        <v>47.33</v>
      </c>
      <c r="D417" s="50">
        <v>47.33</v>
      </c>
      <c r="E417" s="50">
        <v>559403</v>
      </c>
      <c r="F417" s="50" t="s">
        <v>454</v>
      </c>
      <c r="G417" s="25">
        <f t="shared" si="3"/>
        <v>6.3384745404606591E-3</v>
      </c>
    </row>
    <row r="418" spans="1:7">
      <c r="A418" s="50">
        <v>47.52</v>
      </c>
      <c r="B418" s="50">
        <v>48.158999999999999</v>
      </c>
      <c r="C418" s="50">
        <v>47.35</v>
      </c>
      <c r="D418" s="50">
        <v>47.84</v>
      </c>
      <c r="E418" s="50">
        <v>524305</v>
      </c>
      <c r="F418" s="50" t="s">
        <v>455</v>
      </c>
      <c r="G418" s="25">
        <f t="shared" si="3"/>
        <v>-6.6889632107023367E-3</v>
      </c>
    </row>
    <row r="419" spans="1:7">
      <c r="A419" s="50">
        <v>47.82</v>
      </c>
      <c r="B419" s="50">
        <v>48.34</v>
      </c>
      <c r="C419" s="50">
        <v>47.55</v>
      </c>
      <c r="D419" s="50">
        <v>48.07</v>
      </c>
      <c r="E419" s="50">
        <v>577768</v>
      </c>
      <c r="F419" s="50" t="s">
        <v>456</v>
      </c>
      <c r="G419" s="25">
        <f t="shared" si="3"/>
        <v>-5.2007489078427227E-3</v>
      </c>
    </row>
    <row r="420" spans="1:7">
      <c r="A420" s="50">
        <v>47.51</v>
      </c>
      <c r="B420" s="50">
        <v>48.51</v>
      </c>
      <c r="C420" s="50">
        <v>46.87</v>
      </c>
      <c r="D420" s="50">
        <v>47.19</v>
      </c>
      <c r="E420" s="50">
        <v>780980</v>
      </c>
      <c r="F420" s="50" t="s">
        <v>457</v>
      </c>
      <c r="G420" s="25">
        <f t="shared" si="3"/>
        <v>6.7810976901885311E-3</v>
      </c>
    </row>
    <row r="421" spans="1:7">
      <c r="A421" s="50">
        <v>46.82</v>
      </c>
      <c r="B421" s="50">
        <v>48.46</v>
      </c>
      <c r="C421" s="50">
        <v>46.795000000000002</v>
      </c>
      <c r="D421" s="50">
        <v>47.93</v>
      </c>
      <c r="E421" s="50">
        <v>709836</v>
      </c>
      <c r="F421" s="50" t="s">
        <v>458</v>
      </c>
      <c r="G421" s="25">
        <f t="shared" si="3"/>
        <v>-2.3158773210932626E-2</v>
      </c>
    </row>
    <row r="422" spans="1:7">
      <c r="A422" s="50">
        <v>47.74</v>
      </c>
      <c r="B422" s="50">
        <v>48.03</v>
      </c>
      <c r="C422" s="50">
        <v>46.97</v>
      </c>
      <c r="D422" s="50">
        <v>46.97</v>
      </c>
      <c r="E422" s="50">
        <v>1113945</v>
      </c>
      <c r="F422" s="50" t="s">
        <v>459</v>
      </c>
      <c r="G422" s="25">
        <f t="shared" si="3"/>
        <v>1.6393442622950838E-2</v>
      </c>
    </row>
    <row r="423" spans="1:7">
      <c r="A423" s="50">
        <v>47</v>
      </c>
      <c r="B423" s="50">
        <v>47.23</v>
      </c>
      <c r="C423" s="50">
        <v>45.75</v>
      </c>
      <c r="D423" s="50">
        <v>47.23</v>
      </c>
      <c r="E423" s="50">
        <v>827338</v>
      </c>
      <c r="F423" s="50" t="s">
        <v>460</v>
      </c>
      <c r="G423" s="25">
        <f t="shared" si="3"/>
        <v>-4.8697861528689268E-3</v>
      </c>
    </row>
    <row r="424" spans="1:7">
      <c r="A424" s="50">
        <v>46.77</v>
      </c>
      <c r="B424" s="50">
        <v>47.2</v>
      </c>
      <c r="C424" s="50">
        <v>46.1</v>
      </c>
      <c r="D424" s="50">
        <v>46.59</v>
      </c>
      <c r="E424" s="50">
        <v>996812</v>
      </c>
      <c r="F424" s="50" t="s">
        <v>461</v>
      </c>
      <c r="G424" s="25">
        <f t="shared" si="3"/>
        <v>3.863490019317517E-3</v>
      </c>
    </row>
    <row r="425" spans="1:7">
      <c r="A425" s="50">
        <v>46.59</v>
      </c>
      <c r="B425" s="50">
        <v>48.185000000000002</v>
      </c>
      <c r="C425" s="50">
        <v>46.15</v>
      </c>
      <c r="D425" s="50">
        <v>47.7</v>
      </c>
      <c r="E425" s="50">
        <v>1197558</v>
      </c>
      <c r="F425" s="50" t="s">
        <v>462</v>
      </c>
      <c r="G425" s="25">
        <f t="shared" si="3"/>
        <v>-2.3270440251572322E-2</v>
      </c>
    </row>
    <row r="426" spans="1:7">
      <c r="A426" s="50">
        <v>47.93</v>
      </c>
      <c r="B426" s="50">
        <v>48.42</v>
      </c>
      <c r="C426" s="50">
        <v>47.36</v>
      </c>
      <c r="D426" s="50">
        <v>48.07</v>
      </c>
      <c r="E426" s="50">
        <v>1028762</v>
      </c>
      <c r="F426" s="50" t="s">
        <v>463</v>
      </c>
      <c r="G426" s="25">
        <f t="shared" si="3"/>
        <v>-2.9124193883919292E-3</v>
      </c>
    </row>
    <row r="427" spans="1:7">
      <c r="A427" s="50">
        <v>48.68</v>
      </c>
      <c r="B427" s="50">
        <v>49.21</v>
      </c>
      <c r="C427" s="50">
        <v>48.4</v>
      </c>
      <c r="D427" s="50">
        <v>48.63</v>
      </c>
      <c r="E427" s="50">
        <v>861289</v>
      </c>
      <c r="F427" s="50" t="s">
        <v>464</v>
      </c>
      <c r="G427" s="25">
        <f t="shared" si="3"/>
        <v>1.0281719103433229E-3</v>
      </c>
    </row>
    <row r="428" spans="1:7">
      <c r="A428" s="50">
        <v>48.23</v>
      </c>
      <c r="B428" s="50">
        <v>48.66</v>
      </c>
      <c r="C428" s="50">
        <v>47.83</v>
      </c>
      <c r="D428" s="50">
        <v>48.3</v>
      </c>
      <c r="E428" s="50">
        <v>885449</v>
      </c>
      <c r="F428" s="50" t="s">
        <v>465</v>
      </c>
      <c r="G428" s="25">
        <f t="shared" si="3"/>
        <v>-1.4492753623188692E-3</v>
      </c>
    </row>
    <row r="429" spans="1:7">
      <c r="A429" s="50">
        <v>47.99</v>
      </c>
      <c r="B429" s="50">
        <v>48.5</v>
      </c>
      <c r="C429" s="50">
        <v>47.74</v>
      </c>
      <c r="D429" s="50">
        <v>48.13</v>
      </c>
      <c r="E429" s="50">
        <v>641124</v>
      </c>
      <c r="F429" s="50" t="s">
        <v>466</v>
      </c>
      <c r="G429" s="25">
        <f t="shared" si="3"/>
        <v>-2.9087886972781751E-3</v>
      </c>
    </row>
    <row r="430" spans="1:7">
      <c r="A430" s="50">
        <v>47.89</v>
      </c>
      <c r="B430" s="50">
        <v>48.58</v>
      </c>
      <c r="C430" s="50">
        <v>47.22</v>
      </c>
      <c r="D430" s="50">
        <v>48.3</v>
      </c>
      <c r="E430" s="50">
        <v>1012991</v>
      </c>
      <c r="F430" s="50" t="s">
        <v>467</v>
      </c>
      <c r="G430" s="25">
        <f t="shared" si="3"/>
        <v>-8.4886128364388691E-3</v>
      </c>
    </row>
    <row r="431" spans="1:7">
      <c r="A431" s="50">
        <v>47.18</v>
      </c>
      <c r="B431" s="50">
        <v>47.45</v>
      </c>
      <c r="C431" s="50">
        <v>46.67</v>
      </c>
      <c r="D431" s="50">
        <v>47.42</v>
      </c>
      <c r="E431" s="50">
        <v>481107</v>
      </c>
      <c r="F431" s="50" t="s">
        <v>468</v>
      </c>
      <c r="G431" s="25">
        <f t="shared" si="3"/>
        <v>-5.0611556305356631E-3</v>
      </c>
    </row>
    <row r="432" spans="1:7">
      <c r="A432" s="50">
        <v>47.21</v>
      </c>
      <c r="B432" s="50">
        <v>48.61</v>
      </c>
      <c r="C432" s="50">
        <v>46.99</v>
      </c>
      <c r="D432" s="50">
        <v>48.61</v>
      </c>
      <c r="E432" s="50">
        <v>848644</v>
      </c>
      <c r="F432" s="50" t="s">
        <v>469</v>
      </c>
      <c r="G432" s="25">
        <f t="shared" si="3"/>
        <v>-2.8800658300761173E-2</v>
      </c>
    </row>
    <row r="433" spans="1:7">
      <c r="A433" s="50">
        <v>48.78</v>
      </c>
      <c r="B433" s="50">
        <v>48.93</v>
      </c>
      <c r="C433" s="50">
        <v>48.32</v>
      </c>
      <c r="D433" s="50">
        <v>48.42</v>
      </c>
      <c r="E433" s="50">
        <v>848991</v>
      </c>
      <c r="F433" s="50" t="s">
        <v>470</v>
      </c>
      <c r="G433" s="25">
        <f t="shared" si="3"/>
        <v>7.4349442379182396E-3</v>
      </c>
    </row>
    <row r="434" spans="1:7">
      <c r="A434" s="50">
        <v>48.29</v>
      </c>
      <c r="B434" s="50">
        <v>48.65</v>
      </c>
      <c r="C434" s="50">
        <v>47.914999999999999</v>
      </c>
      <c r="D434" s="50">
        <v>48.04</v>
      </c>
      <c r="E434" s="50">
        <v>832815</v>
      </c>
      <c r="F434" s="50" t="s">
        <v>471</v>
      </c>
      <c r="G434" s="25">
        <f t="shared" si="3"/>
        <v>5.2039966694421569E-3</v>
      </c>
    </row>
    <row r="435" spans="1:7">
      <c r="A435" s="50">
        <v>48.34</v>
      </c>
      <c r="B435" s="50">
        <v>48.64</v>
      </c>
      <c r="C435" s="50">
        <v>47.84</v>
      </c>
      <c r="D435" s="50">
        <v>48.11</v>
      </c>
      <c r="E435" s="50">
        <v>651395</v>
      </c>
      <c r="F435" s="50" t="s">
        <v>472</v>
      </c>
      <c r="G435" s="25">
        <f t="shared" si="3"/>
        <v>4.7807108709208013E-3</v>
      </c>
    </row>
    <row r="436" spans="1:7">
      <c r="A436" s="50">
        <v>48.07</v>
      </c>
      <c r="B436" s="50">
        <v>48.814999999999998</v>
      </c>
      <c r="C436" s="50">
        <v>47.76</v>
      </c>
      <c r="D436" s="50">
        <v>48.43</v>
      </c>
      <c r="E436" s="50">
        <v>1193719</v>
      </c>
      <c r="F436" s="50" t="s">
        <v>473</v>
      </c>
      <c r="G436" s="25">
        <f t="shared" si="3"/>
        <v>-7.433409043981043E-3</v>
      </c>
    </row>
    <row r="437" spans="1:7">
      <c r="A437" s="50">
        <v>48.05</v>
      </c>
      <c r="B437" s="50">
        <v>48.56</v>
      </c>
      <c r="C437" s="50">
        <v>47.36</v>
      </c>
      <c r="D437" s="50">
        <v>48.08</v>
      </c>
      <c r="E437" s="50">
        <v>1094034</v>
      </c>
      <c r="F437" s="50" t="s">
        <v>474</v>
      </c>
      <c r="G437" s="25">
        <f t="shared" si="3"/>
        <v>-6.2396006655573988E-4</v>
      </c>
    </row>
    <row r="438" spans="1:7">
      <c r="A438" s="50">
        <v>48.45</v>
      </c>
      <c r="B438" s="50">
        <v>48.71</v>
      </c>
      <c r="C438" s="50">
        <v>47.66</v>
      </c>
      <c r="D438" s="50">
        <v>48.2</v>
      </c>
      <c r="E438" s="50">
        <v>1456377</v>
      </c>
      <c r="F438" s="50" t="s">
        <v>475</v>
      </c>
      <c r="G438" s="25">
        <f t="shared" si="3"/>
        <v>5.1867219917012264E-3</v>
      </c>
    </row>
    <row r="439" spans="1:7">
      <c r="A439" s="50">
        <v>47.85</v>
      </c>
      <c r="B439" s="50">
        <v>48.35</v>
      </c>
      <c r="C439" s="50">
        <v>46.83</v>
      </c>
      <c r="D439" s="50">
        <v>47.34</v>
      </c>
      <c r="E439" s="50">
        <v>1448086</v>
      </c>
      <c r="F439" s="50" t="s">
        <v>476</v>
      </c>
      <c r="G439" s="25">
        <f t="shared" si="3"/>
        <v>1.0773130544993625E-2</v>
      </c>
    </row>
    <row r="440" spans="1:7">
      <c r="A440" s="50">
        <v>47.17</v>
      </c>
      <c r="B440" s="50">
        <v>47.66</v>
      </c>
      <c r="C440" s="50">
        <v>45.5</v>
      </c>
      <c r="D440" s="50">
        <v>46.22</v>
      </c>
      <c r="E440" s="50">
        <v>1481469</v>
      </c>
      <c r="F440" s="50" t="s">
        <v>477</v>
      </c>
      <c r="G440" s="25">
        <f t="shared" si="3"/>
        <v>2.0553872782345328E-2</v>
      </c>
    </row>
    <row r="441" spans="1:7">
      <c r="A441" s="50">
        <v>46.67</v>
      </c>
      <c r="B441" s="50">
        <v>47.91</v>
      </c>
      <c r="C441" s="50">
        <v>46.54</v>
      </c>
      <c r="D441" s="50">
        <v>47.78</v>
      </c>
      <c r="E441" s="50">
        <v>1742418</v>
      </c>
      <c r="F441" s="50" t="s">
        <v>478</v>
      </c>
      <c r="G441" s="25">
        <f t="shared" si="3"/>
        <v>-2.3231477605692774E-2</v>
      </c>
    </row>
    <row r="442" spans="1:7">
      <c r="A442" s="50">
        <v>47.52</v>
      </c>
      <c r="B442" s="50">
        <v>49.82</v>
      </c>
      <c r="C442" s="50">
        <v>45.6</v>
      </c>
      <c r="D442" s="50">
        <v>45.62</v>
      </c>
      <c r="E442" s="50">
        <v>2944990</v>
      </c>
      <c r="F442" s="50" t="s">
        <v>479</v>
      </c>
      <c r="G442" s="25">
        <f t="shared" si="3"/>
        <v>4.1648399824638416E-2</v>
      </c>
    </row>
    <row r="443" spans="1:7">
      <c r="A443" s="50">
        <v>45.84</v>
      </c>
      <c r="B443" s="50">
        <v>45.9</v>
      </c>
      <c r="C443" s="50">
        <v>44.704999999999998</v>
      </c>
      <c r="D443" s="50">
        <v>44.8</v>
      </c>
      <c r="E443" s="50">
        <v>1483904</v>
      </c>
      <c r="F443" s="50" t="s">
        <v>480</v>
      </c>
      <c r="G443" s="25">
        <f t="shared" si="3"/>
        <v>2.3214285714285854E-2</v>
      </c>
    </row>
    <row r="444" spans="1:7">
      <c r="A444" s="50">
        <v>44.89</v>
      </c>
      <c r="B444" s="50">
        <v>44.99</v>
      </c>
      <c r="C444" s="50">
        <v>43.795000000000002</v>
      </c>
      <c r="D444" s="50">
        <v>44</v>
      </c>
      <c r="E444" s="50">
        <v>709288</v>
      </c>
      <c r="F444" s="50" t="s">
        <v>481</v>
      </c>
      <c r="G444" s="25">
        <f t="shared" si="3"/>
        <v>2.022727272727276E-2</v>
      </c>
    </row>
    <row r="445" spans="1:7">
      <c r="A445" s="50">
        <v>44.06</v>
      </c>
      <c r="B445" s="50">
        <v>45.14</v>
      </c>
      <c r="C445" s="50">
        <v>43.92</v>
      </c>
      <c r="D445" s="50">
        <v>45.09</v>
      </c>
      <c r="E445" s="50">
        <v>878993</v>
      </c>
      <c r="F445" s="50" t="s">
        <v>482</v>
      </c>
      <c r="G445" s="25">
        <f t="shared" si="3"/>
        <v>-2.2843202483921021E-2</v>
      </c>
    </row>
    <row r="446" spans="1:7">
      <c r="A446" s="50">
        <v>45.37</v>
      </c>
      <c r="B446" s="50">
        <v>45.6</v>
      </c>
      <c r="C446" s="50">
        <v>45.040799999999997</v>
      </c>
      <c r="D446" s="50">
        <v>45.26</v>
      </c>
      <c r="E446" s="50">
        <v>780203</v>
      </c>
      <c r="F446" s="50" t="s">
        <v>483</v>
      </c>
      <c r="G446" s="25">
        <f t="shared" si="3"/>
        <v>2.4304021210781457E-3</v>
      </c>
    </row>
    <row r="447" spans="1:7">
      <c r="A447" s="50">
        <v>45.52</v>
      </c>
      <c r="B447" s="50">
        <v>45.625</v>
      </c>
      <c r="C447" s="50">
        <v>44.62</v>
      </c>
      <c r="D447" s="50">
        <v>45.06</v>
      </c>
      <c r="E447" s="50">
        <v>493818</v>
      </c>
      <c r="F447" s="50" t="s">
        <v>484</v>
      </c>
      <c r="G447" s="25">
        <f t="shared" si="3"/>
        <v>1.0208610741234025E-2</v>
      </c>
    </row>
    <row r="448" spans="1:7">
      <c r="A448" s="50">
        <v>45.42</v>
      </c>
      <c r="B448" s="50">
        <v>46.63</v>
      </c>
      <c r="C448" s="50">
        <v>44.59</v>
      </c>
      <c r="D448" s="50">
        <v>46.63</v>
      </c>
      <c r="E448" s="50">
        <v>1238282</v>
      </c>
      <c r="F448" s="50" t="s">
        <v>485</v>
      </c>
      <c r="G448" s="25">
        <f t="shared" si="3"/>
        <v>-2.5948959897062029E-2</v>
      </c>
    </row>
    <row r="449" spans="1:7">
      <c r="A449" s="50">
        <v>46.06</v>
      </c>
      <c r="B449" s="50">
        <v>47.66</v>
      </c>
      <c r="C449" s="50">
        <v>45.74</v>
      </c>
      <c r="D449" s="50">
        <v>47.23</v>
      </c>
      <c r="E449" s="50">
        <v>826306</v>
      </c>
      <c r="F449" s="50" t="s">
        <v>486</v>
      </c>
      <c r="G449" s="25">
        <f t="shared" si="3"/>
        <v>-2.4772390429811497E-2</v>
      </c>
    </row>
    <row r="450" spans="1:7">
      <c r="A450" s="50">
        <v>45.81</v>
      </c>
      <c r="B450" s="50">
        <v>46.32</v>
      </c>
      <c r="C450" s="50">
        <v>45.05</v>
      </c>
      <c r="D450" s="50">
        <v>45.49</v>
      </c>
      <c r="E450" s="50">
        <v>686258</v>
      </c>
      <c r="F450" s="50" t="s">
        <v>487</v>
      </c>
      <c r="G450" s="25">
        <f t="shared" si="3"/>
        <v>7.034513079797744E-3</v>
      </c>
    </row>
    <row r="451" spans="1:7">
      <c r="A451" s="50">
        <v>45.86</v>
      </c>
      <c r="B451" s="50">
        <v>46.08</v>
      </c>
      <c r="C451" s="50">
        <v>44.92</v>
      </c>
      <c r="D451" s="50">
        <v>45.3</v>
      </c>
      <c r="E451" s="50">
        <v>1123186</v>
      </c>
      <c r="F451" s="50" t="s">
        <v>488</v>
      </c>
      <c r="G451" s="25">
        <f t="shared" si="3"/>
        <v>1.236203090507737E-2</v>
      </c>
    </row>
    <row r="452" spans="1:7">
      <c r="A452" s="50">
        <v>46.01</v>
      </c>
      <c r="B452" s="50">
        <v>46.954999999999998</v>
      </c>
      <c r="C452" s="50">
        <v>45.63</v>
      </c>
      <c r="D452" s="50">
        <v>46.55</v>
      </c>
      <c r="E452" s="50">
        <v>826709</v>
      </c>
      <c r="F452" s="50" t="s">
        <v>489</v>
      </c>
      <c r="G452" s="25">
        <f t="shared" si="3"/>
        <v>-1.1600429645542421E-2</v>
      </c>
    </row>
    <row r="453" spans="1:7">
      <c r="A453" s="50">
        <v>47.14</v>
      </c>
      <c r="B453" s="50">
        <v>48.059899999999999</v>
      </c>
      <c r="C453" s="50">
        <v>47.01</v>
      </c>
      <c r="D453" s="50">
        <v>47.56</v>
      </c>
      <c r="E453" s="50">
        <v>863911</v>
      </c>
      <c r="F453" s="50" t="s">
        <v>490</v>
      </c>
      <c r="G453" s="25">
        <f t="shared" si="3"/>
        <v>-8.830950378469371E-3</v>
      </c>
    </row>
    <row r="454" spans="1:7">
      <c r="A454" s="50">
        <v>47.83</v>
      </c>
      <c r="B454" s="50">
        <v>48.43</v>
      </c>
      <c r="C454" s="50">
        <v>47.47</v>
      </c>
      <c r="D454" s="50">
        <v>47.86</v>
      </c>
      <c r="E454" s="50">
        <v>1020274</v>
      </c>
      <c r="F454" s="50" t="s">
        <v>491</v>
      </c>
      <c r="G454" s="25">
        <f t="shared" si="3"/>
        <v>-6.2682824905979651E-4</v>
      </c>
    </row>
    <row r="455" spans="1:7">
      <c r="A455" s="50">
        <v>47.46</v>
      </c>
      <c r="B455" s="50">
        <v>48.41</v>
      </c>
      <c r="C455" s="50">
        <v>46.75</v>
      </c>
      <c r="D455" s="50">
        <v>46.93</v>
      </c>
      <c r="E455" s="50">
        <v>1551277</v>
      </c>
      <c r="F455" s="50" t="s">
        <v>492</v>
      </c>
      <c r="G455" s="25">
        <f t="shared" si="3"/>
        <v>1.129341572554865E-2</v>
      </c>
    </row>
    <row r="456" spans="1:7">
      <c r="A456" s="50">
        <v>46.99</v>
      </c>
      <c r="B456" s="50">
        <v>48.480400000000003</v>
      </c>
      <c r="C456" s="50">
        <v>46.75</v>
      </c>
      <c r="D456" s="50">
        <v>48.25</v>
      </c>
      <c r="E456" s="50">
        <v>928210</v>
      </c>
      <c r="F456" s="50" t="s">
        <v>493</v>
      </c>
      <c r="G456" s="25">
        <f t="shared" ref="G456:G519" si="4">A456/D456-1</f>
        <v>-2.6113989637305712E-2</v>
      </c>
    </row>
    <row r="457" spans="1:7">
      <c r="A457" s="50">
        <v>47.72</v>
      </c>
      <c r="B457" s="50">
        <v>48.085000000000001</v>
      </c>
      <c r="C457" s="50">
        <v>47.261000000000003</v>
      </c>
      <c r="D457" s="50">
        <v>48.05</v>
      </c>
      <c r="E457" s="50">
        <v>946444</v>
      </c>
      <c r="F457" s="50" t="s">
        <v>494</v>
      </c>
      <c r="G457" s="25">
        <f t="shared" si="4"/>
        <v>-6.8678459937564496E-3</v>
      </c>
    </row>
    <row r="458" spans="1:7">
      <c r="A458" s="50">
        <v>47.74</v>
      </c>
      <c r="B458" s="50">
        <v>48.77</v>
      </c>
      <c r="C458" s="50">
        <v>47.37</v>
      </c>
      <c r="D458" s="50">
        <v>48.73</v>
      </c>
      <c r="E458" s="50">
        <v>961669</v>
      </c>
      <c r="F458" s="50" t="s">
        <v>495</v>
      </c>
      <c r="G458" s="25">
        <f t="shared" si="4"/>
        <v>-2.0316027088036037E-2</v>
      </c>
    </row>
    <row r="459" spans="1:7">
      <c r="A459" s="50">
        <v>48.86</v>
      </c>
      <c r="B459" s="50">
        <v>49.687899999999999</v>
      </c>
      <c r="C459" s="50">
        <v>48</v>
      </c>
      <c r="D459" s="50">
        <v>48.6</v>
      </c>
      <c r="E459" s="50">
        <v>1389152</v>
      </c>
      <c r="F459" s="50" t="s">
        <v>496</v>
      </c>
      <c r="G459" s="25">
        <f t="shared" si="4"/>
        <v>5.3497942386830921E-3</v>
      </c>
    </row>
    <row r="460" spans="1:7">
      <c r="A460" s="50">
        <v>48.72</v>
      </c>
      <c r="B460" s="50">
        <v>50.19</v>
      </c>
      <c r="C460" s="50">
        <v>48.35</v>
      </c>
      <c r="D460" s="50">
        <v>50.04</v>
      </c>
      <c r="E460" s="50">
        <v>1699483</v>
      </c>
      <c r="F460" s="50" t="s">
        <v>497</v>
      </c>
      <c r="G460" s="25">
        <f t="shared" si="4"/>
        <v>-2.6378896882494063E-2</v>
      </c>
    </row>
    <row r="461" spans="1:7">
      <c r="A461" s="50">
        <v>49.64</v>
      </c>
      <c r="B461" s="50">
        <v>50.67</v>
      </c>
      <c r="C461" s="50">
        <v>49.52</v>
      </c>
      <c r="D461" s="50">
        <v>50.65</v>
      </c>
      <c r="E461" s="50">
        <v>1066588</v>
      </c>
      <c r="F461" s="50" t="s">
        <v>498</v>
      </c>
      <c r="G461" s="25">
        <f t="shared" si="4"/>
        <v>-1.9940769990128282E-2</v>
      </c>
    </row>
    <row r="462" spans="1:7">
      <c r="A462" s="50">
        <v>50.62</v>
      </c>
      <c r="B462" s="50">
        <v>52.255000000000003</v>
      </c>
      <c r="C462" s="50">
        <v>50.02</v>
      </c>
      <c r="D462" s="50">
        <v>52.15</v>
      </c>
      <c r="E462" s="50">
        <v>1687680</v>
      </c>
      <c r="F462" s="50" t="s">
        <v>499</v>
      </c>
      <c r="G462" s="25">
        <f t="shared" si="4"/>
        <v>-2.9338446788111261E-2</v>
      </c>
    </row>
    <row r="463" spans="1:7">
      <c r="A463" s="50">
        <v>52.02</v>
      </c>
      <c r="B463" s="50">
        <v>52.85</v>
      </c>
      <c r="C463" s="50">
        <v>51.87</v>
      </c>
      <c r="D463" s="50">
        <v>52.45</v>
      </c>
      <c r="E463" s="50">
        <v>5740445</v>
      </c>
      <c r="F463" s="50" t="s">
        <v>500</v>
      </c>
      <c r="G463" s="25">
        <f t="shared" si="4"/>
        <v>-8.1982840800762791E-3</v>
      </c>
    </row>
    <row r="464" spans="1:7">
      <c r="A464" s="50">
        <v>52.67</v>
      </c>
      <c r="B464" s="50">
        <v>55.65</v>
      </c>
      <c r="C464" s="50">
        <v>52.6</v>
      </c>
      <c r="D464" s="50">
        <v>55.43</v>
      </c>
      <c r="E464" s="50">
        <v>3426443</v>
      </c>
      <c r="F464" s="50" t="s">
        <v>501</v>
      </c>
      <c r="G464" s="25">
        <f t="shared" si="4"/>
        <v>-4.9792531120331884E-2</v>
      </c>
    </row>
    <row r="465" spans="1:7">
      <c r="A465" s="50">
        <v>57.88</v>
      </c>
      <c r="B465" s="50">
        <v>58.43</v>
      </c>
      <c r="C465" s="50">
        <v>57.28</v>
      </c>
      <c r="D465" s="50">
        <v>58.28</v>
      </c>
      <c r="E465" s="50">
        <v>411385</v>
      </c>
      <c r="F465" s="50" t="s">
        <v>502</v>
      </c>
      <c r="G465" s="25">
        <f t="shared" si="4"/>
        <v>-6.8634179821550623E-3</v>
      </c>
    </row>
    <row r="466" spans="1:7">
      <c r="A466" s="50">
        <v>58.46</v>
      </c>
      <c r="B466" s="50">
        <v>59.51</v>
      </c>
      <c r="C466" s="50">
        <v>58.06</v>
      </c>
      <c r="D466" s="50">
        <v>59.12</v>
      </c>
      <c r="E466" s="50">
        <v>381497</v>
      </c>
      <c r="F466" s="50" t="s">
        <v>503</v>
      </c>
      <c r="G466" s="25">
        <f t="shared" si="4"/>
        <v>-1.1163734776725276E-2</v>
      </c>
    </row>
    <row r="467" spans="1:7">
      <c r="A467" s="50">
        <v>59.07</v>
      </c>
      <c r="B467" s="50">
        <v>59.43</v>
      </c>
      <c r="C467" s="50">
        <v>58.06</v>
      </c>
      <c r="D467" s="50">
        <v>58.83</v>
      </c>
      <c r="E467" s="50">
        <v>418051</v>
      </c>
      <c r="F467" s="50" t="s">
        <v>504</v>
      </c>
      <c r="G467" s="25">
        <f t="shared" si="4"/>
        <v>4.0795512493625452E-3</v>
      </c>
    </row>
    <row r="468" spans="1:7">
      <c r="A468" s="50">
        <v>58.9</v>
      </c>
      <c r="B468" s="50">
        <v>59.314999999999998</v>
      </c>
      <c r="C468" s="50">
        <v>58.02</v>
      </c>
      <c r="D468" s="50">
        <v>59</v>
      </c>
      <c r="E468" s="50">
        <v>472071</v>
      </c>
      <c r="F468" s="50" t="s">
        <v>505</v>
      </c>
      <c r="G468" s="25">
        <f t="shared" si="4"/>
        <v>-1.6949152542372614E-3</v>
      </c>
    </row>
    <row r="469" spans="1:7">
      <c r="A469" s="50">
        <v>57.84</v>
      </c>
      <c r="B469" s="50">
        <v>59.62</v>
      </c>
      <c r="C469" s="50">
        <v>57.78</v>
      </c>
      <c r="D469" s="50">
        <v>58.96</v>
      </c>
      <c r="E469" s="50">
        <v>522101</v>
      </c>
      <c r="F469" s="50" t="s">
        <v>506</v>
      </c>
      <c r="G469" s="25">
        <f t="shared" si="4"/>
        <v>-1.8995929443690551E-2</v>
      </c>
    </row>
    <row r="470" spans="1:7">
      <c r="A470" s="50">
        <v>57.92</v>
      </c>
      <c r="B470" s="50">
        <v>58.945</v>
      </c>
      <c r="C470" s="50">
        <v>57.75</v>
      </c>
      <c r="D470" s="50">
        <v>58.76</v>
      </c>
      <c r="E470" s="50">
        <v>640234</v>
      </c>
      <c r="F470" s="50" t="s">
        <v>507</v>
      </c>
      <c r="G470" s="25">
        <f t="shared" si="4"/>
        <v>-1.4295439074200056E-2</v>
      </c>
    </row>
    <row r="471" spans="1:7">
      <c r="A471" s="50">
        <v>58.22</v>
      </c>
      <c r="B471" s="50">
        <v>59.12</v>
      </c>
      <c r="C471" s="50">
        <v>57.83</v>
      </c>
      <c r="D471" s="50">
        <v>59.12</v>
      </c>
      <c r="E471" s="50">
        <v>757105</v>
      </c>
      <c r="F471" s="50" t="s">
        <v>508</v>
      </c>
      <c r="G471" s="25">
        <f t="shared" si="4"/>
        <v>-1.5223274695534528E-2</v>
      </c>
    </row>
    <row r="472" spans="1:7">
      <c r="A472" s="50">
        <v>58.99</v>
      </c>
      <c r="B472" s="50">
        <v>59.865000000000002</v>
      </c>
      <c r="C472" s="50">
        <v>58.47</v>
      </c>
      <c r="D472" s="50">
        <v>59.33</v>
      </c>
      <c r="E472" s="50">
        <v>831029</v>
      </c>
      <c r="F472" s="50" t="s">
        <v>509</v>
      </c>
      <c r="G472" s="25">
        <f t="shared" si="4"/>
        <v>-5.7306590257879542E-3</v>
      </c>
    </row>
    <row r="473" spans="1:7">
      <c r="A473" s="50">
        <v>59.51</v>
      </c>
      <c r="B473" s="50">
        <v>63.305</v>
      </c>
      <c r="C473" s="50">
        <v>59.16</v>
      </c>
      <c r="D473" s="50">
        <v>59.25</v>
      </c>
      <c r="E473" s="50">
        <v>1235106</v>
      </c>
      <c r="F473" s="50" t="s">
        <v>510</v>
      </c>
      <c r="G473" s="25">
        <f t="shared" si="4"/>
        <v>4.3881856540084474E-3</v>
      </c>
    </row>
    <row r="474" spans="1:7">
      <c r="A474" s="50">
        <v>60.43</v>
      </c>
      <c r="B474" s="50">
        <v>60.95</v>
      </c>
      <c r="C474" s="50">
        <v>59.88</v>
      </c>
      <c r="D474" s="50">
        <v>60.83</v>
      </c>
      <c r="E474" s="50">
        <v>677005</v>
      </c>
      <c r="F474" s="50" t="s">
        <v>511</v>
      </c>
      <c r="G474" s="25">
        <f t="shared" si="4"/>
        <v>-6.5757027782343824E-3</v>
      </c>
    </row>
    <row r="475" spans="1:7">
      <c r="A475" s="50">
        <v>60.71</v>
      </c>
      <c r="B475" s="50">
        <v>61.41</v>
      </c>
      <c r="C475" s="50">
        <v>60.070099999999996</v>
      </c>
      <c r="D475" s="50">
        <v>61.21</v>
      </c>
      <c r="E475" s="50">
        <v>734601</v>
      </c>
      <c r="F475" s="50" t="s">
        <v>512</v>
      </c>
      <c r="G475" s="25">
        <f t="shared" si="4"/>
        <v>-8.1685999019768252E-3</v>
      </c>
    </row>
    <row r="476" spans="1:7">
      <c r="A476" s="50">
        <v>60.91</v>
      </c>
      <c r="B476" s="50">
        <v>61.9</v>
      </c>
      <c r="C476" s="50">
        <v>59.69</v>
      </c>
      <c r="D476" s="50">
        <v>60.81</v>
      </c>
      <c r="E476" s="50">
        <v>675236</v>
      </c>
      <c r="F476" s="50" t="s">
        <v>513</v>
      </c>
      <c r="G476" s="25">
        <f t="shared" si="4"/>
        <v>1.6444663706627338E-3</v>
      </c>
    </row>
    <row r="477" spans="1:7">
      <c r="A477" s="50">
        <v>59.69</v>
      </c>
      <c r="B477" s="50">
        <v>59.784999999999997</v>
      </c>
      <c r="C477" s="50">
        <v>57.8</v>
      </c>
      <c r="D477" s="50">
        <v>59</v>
      </c>
      <c r="E477" s="50">
        <v>766254</v>
      </c>
      <c r="F477" s="50" t="s">
        <v>514</v>
      </c>
      <c r="G477" s="25">
        <f t="shared" si="4"/>
        <v>1.1694915254237159E-2</v>
      </c>
    </row>
    <row r="478" spans="1:7">
      <c r="A478" s="50">
        <v>57.94</v>
      </c>
      <c r="B478" s="50">
        <v>59.48</v>
      </c>
      <c r="C478" s="50">
        <v>56.81</v>
      </c>
      <c r="D478" s="50">
        <v>58</v>
      </c>
      <c r="E478" s="50">
        <v>809390</v>
      </c>
      <c r="F478" s="50" t="s">
        <v>515</v>
      </c>
      <c r="G478" s="25">
        <f t="shared" si="4"/>
        <v>-1.034482758620725E-3</v>
      </c>
    </row>
    <row r="479" spans="1:7">
      <c r="A479" s="50">
        <v>58.05</v>
      </c>
      <c r="B479" s="50">
        <v>59.895000000000003</v>
      </c>
      <c r="C479" s="50">
        <v>58</v>
      </c>
      <c r="D479" s="50">
        <v>59.51</v>
      </c>
      <c r="E479" s="50">
        <v>914596</v>
      </c>
      <c r="F479" s="50" t="s">
        <v>516</v>
      </c>
      <c r="G479" s="25">
        <f t="shared" si="4"/>
        <v>-2.4533691816501446E-2</v>
      </c>
    </row>
    <row r="480" spans="1:7">
      <c r="A480" s="50">
        <v>60.28</v>
      </c>
      <c r="B480" s="50">
        <v>61.95</v>
      </c>
      <c r="C480" s="50">
        <v>60.2</v>
      </c>
      <c r="D480" s="50">
        <v>61.26</v>
      </c>
      <c r="E480" s="50">
        <v>583327</v>
      </c>
      <c r="F480" s="50" t="s">
        <v>517</v>
      </c>
      <c r="G480" s="25">
        <f t="shared" si="4"/>
        <v>-1.5997388181521299E-2</v>
      </c>
    </row>
    <row r="481" spans="1:7">
      <c r="A481" s="50">
        <v>60.83</v>
      </c>
      <c r="B481" s="50">
        <v>60.92</v>
      </c>
      <c r="C481" s="50">
        <v>59.005000000000003</v>
      </c>
      <c r="D481" s="50">
        <v>59.21</v>
      </c>
      <c r="E481" s="50">
        <v>592743</v>
      </c>
      <c r="F481" s="50" t="s">
        <v>518</v>
      </c>
      <c r="G481" s="25">
        <f t="shared" si="4"/>
        <v>2.7360243202161794E-2</v>
      </c>
    </row>
    <row r="482" spans="1:7">
      <c r="A482" s="50">
        <v>58.89</v>
      </c>
      <c r="B482" s="50">
        <v>59.314999999999998</v>
      </c>
      <c r="C482" s="50">
        <v>57.97</v>
      </c>
      <c r="D482" s="50">
        <v>58.51</v>
      </c>
      <c r="E482" s="50">
        <v>540408</v>
      </c>
      <c r="F482" s="50" t="s">
        <v>519</v>
      </c>
      <c r="G482" s="25">
        <f t="shared" si="4"/>
        <v>6.4946163049051098E-3</v>
      </c>
    </row>
    <row r="483" spans="1:7">
      <c r="A483" s="50">
        <v>59.93</v>
      </c>
      <c r="B483" s="50">
        <v>61.65</v>
      </c>
      <c r="C483" s="50">
        <v>59.220100000000002</v>
      </c>
      <c r="D483" s="50">
        <v>61.01</v>
      </c>
      <c r="E483" s="50">
        <v>554934</v>
      </c>
      <c r="F483" s="50" t="s">
        <v>520</v>
      </c>
      <c r="G483" s="25">
        <f t="shared" si="4"/>
        <v>-1.7702016062940529E-2</v>
      </c>
    </row>
    <row r="484" spans="1:7">
      <c r="A484" s="50">
        <v>61.46</v>
      </c>
      <c r="B484" s="50">
        <v>61.59</v>
      </c>
      <c r="C484" s="50">
        <v>59.58</v>
      </c>
      <c r="D484" s="50">
        <v>60.22</v>
      </c>
      <c r="E484" s="50">
        <v>641462</v>
      </c>
      <c r="F484" s="50" t="s">
        <v>521</v>
      </c>
      <c r="G484" s="25">
        <f t="shared" si="4"/>
        <v>2.0591165725672544E-2</v>
      </c>
    </row>
    <row r="485" spans="1:7">
      <c r="A485" s="50">
        <v>58.39</v>
      </c>
      <c r="B485" s="50">
        <v>58.71</v>
      </c>
      <c r="C485" s="50">
        <v>57.2</v>
      </c>
      <c r="D485" s="50">
        <v>57.58</v>
      </c>
      <c r="E485" s="50">
        <v>467384</v>
      </c>
      <c r="F485" s="50" t="s">
        <v>522</v>
      </c>
      <c r="G485" s="25">
        <f t="shared" si="4"/>
        <v>1.4067384508509972E-2</v>
      </c>
    </row>
    <row r="486" spans="1:7">
      <c r="A486" s="50">
        <v>57.37</v>
      </c>
      <c r="B486" s="50">
        <v>58.484999999999999</v>
      </c>
      <c r="C486" s="50">
        <v>56.49</v>
      </c>
      <c r="D486" s="50">
        <v>57.59</v>
      </c>
      <c r="E486" s="50">
        <v>672499</v>
      </c>
      <c r="F486" s="50" t="s">
        <v>523</v>
      </c>
      <c r="G486" s="25">
        <f t="shared" si="4"/>
        <v>-3.8201076575795634E-3</v>
      </c>
    </row>
    <row r="487" spans="1:7">
      <c r="A487" s="50">
        <v>57.85</v>
      </c>
      <c r="B487" s="50">
        <v>59.22</v>
      </c>
      <c r="C487" s="50">
        <v>57.7</v>
      </c>
      <c r="D487" s="50">
        <v>58.67</v>
      </c>
      <c r="E487" s="50">
        <v>1063467</v>
      </c>
      <c r="F487" s="50" t="s">
        <v>524</v>
      </c>
      <c r="G487" s="25">
        <f t="shared" si="4"/>
        <v>-1.3976478609169951E-2</v>
      </c>
    </row>
    <row r="488" spans="1:7">
      <c r="A488" s="50">
        <v>58.67</v>
      </c>
      <c r="B488" s="50">
        <v>60.93</v>
      </c>
      <c r="C488" s="50">
        <v>58.61</v>
      </c>
      <c r="D488" s="50">
        <v>60.02</v>
      </c>
      <c r="E488" s="50">
        <v>926398</v>
      </c>
      <c r="F488" s="50" t="s">
        <v>525</v>
      </c>
      <c r="G488" s="25">
        <f t="shared" si="4"/>
        <v>-2.2492502499167011E-2</v>
      </c>
    </row>
    <row r="489" spans="1:7">
      <c r="A489" s="50">
        <v>59.68</v>
      </c>
      <c r="B489" s="50">
        <v>61.27</v>
      </c>
      <c r="C489" s="50">
        <v>59.5</v>
      </c>
      <c r="D489" s="50">
        <v>60.62</v>
      </c>
      <c r="E489" s="50">
        <v>616694</v>
      </c>
      <c r="F489" s="50" t="s">
        <v>526</v>
      </c>
      <c r="G489" s="25">
        <f t="shared" si="4"/>
        <v>-1.5506433520290241E-2</v>
      </c>
    </row>
    <row r="490" spans="1:7">
      <c r="A490" s="50">
        <v>60.84</v>
      </c>
      <c r="B490" s="50">
        <v>63.66</v>
      </c>
      <c r="C490" s="50">
        <v>60.74</v>
      </c>
      <c r="D490" s="50">
        <v>63.57</v>
      </c>
      <c r="E490" s="50">
        <v>802461</v>
      </c>
      <c r="F490" s="50" t="s">
        <v>527</v>
      </c>
      <c r="G490" s="25">
        <f t="shared" si="4"/>
        <v>-4.2944785276073594E-2</v>
      </c>
    </row>
    <row r="491" spans="1:7">
      <c r="A491" s="50">
        <v>63.54</v>
      </c>
      <c r="B491" s="50">
        <v>64.25</v>
      </c>
      <c r="C491" s="50">
        <v>63.216999999999999</v>
      </c>
      <c r="D491" s="50">
        <v>64.02</v>
      </c>
      <c r="E491" s="50">
        <v>516970</v>
      </c>
      <c r="F491" s="50" t="s">
        <v>528</v>
      </c>
      <c r="G491" s="25">
        <f t="shared" si="4"/>
        <v>-7.4976569821930683E-3</v>
      </c>
    </row>
    <row r="492" spans="1:7">
      <c r="A492" s="50">
        <v>64.709999999999994</v>
      </c>
      <c r="B492" s="50">
        <v>65.034999999999997</v>
      </c>
      <c r="C492" s="50">
        <v>63.64</v>
      </c>
      <c r="D492" s="50">
        <v>64.63</v>
      </c>
      <c r="E492" s="50">
        <v>330919</v>
      </c>
      <c r="F492" s="50" t="s">
        <v>529</v>
      </c>
      <c r="G492" s="25">
        <f t="shared" si="4"/>
        <v>1.2378152560730271E-3</v>
      </c>
    </row>
    <row r="493" spans="1:7">
      <c r="A493" s="50">
        <v>64.209999999999994</v>
      </c>
      <c r="B493" s="50">
        <v>66.48</v>
      </c>
      <c r="C493" s="50">
        <v>63.91</v>
      </c>
      <c r="D493" s="50">
        <v>66.08</v>
      </c>
      <c r="E493" s="50">
        <v>901229</v>
      </c>
      <c r="F493" s="50" t="s">
        <v>530</v>
      </c>
      <c r="G493" s="25">
        <f t="shared" si="4"/>
        <v>-2.8299031476997638E-2</v>
      </c>
    </row>
    <row r="494" spans="1:7">
      <c r="A494" s="50">
        <v>68.61</v>
      </c>
      <c r="B494" s="50">
        <v>69.09</v>
      </c>
      <c r="C494" s="50">
        <v>65.099999999999994</v>
      </c>
      <c r="D494" s="50">
        <v>65.349999999999994</v>
      </c>
      <c r="E494" s="50">
        <v>1101527</v>
      </c>
      <c r="F494" s="50" t="s">
        <v>531</v>
      </c>
      <c r="G494" s="25">
        <f t="shared" si="4"/>
        <v>4.98852333588371E-2</v>
      </c>
    </row>
    <row r="495" spans="1:7">
      <c r="A495" s="50">
        <v>64.98</v>
      </c>
      <c r="B495" s="50">
        <v>65.015000000000001</v>
      </c>
      <c r="C495" s="50">
        <v>62.51</v>
      </c>
      <c r="D495" s="50">
        <v>62.86</v>
      </c>
      <c r="E495" s="50">
        <v>644407</v>
      </c>
      <c r="F495" s="50" t="s">
        <v>532</v>
      </c>
      <c r="G495" s="25">
        <f t="shared" si="4"/>
        <v>3.3725739739102867E-2</v>
      </c>
    </row>
    <row r="496" spans="1:7">
      <c r="A496" s="50">
        <v>62.2</v>
      </c>
      <c r="B496" s="50">
        <v>63.21</v>
      </c>
      <c r="C496" s="50">
        <v>61.74</v>
      </c>
      <c r="D496" s="50">
        <v>62.36</v>
      </c>
      <c r="E496" s="50">
        <v>535425</v>
      </c>
      <c r="F496" s="50" t="s">
        <v>533</v>
      </c>
      <c r="G496" s="25">
        <f t="shared" si="4"/>
        <v>-2.5657472738934706E-3</v>
      </c>
    </row>
    <row r="497" spans="1:7">
      <c r="A497" s="50">
        <v>62.56</v>
      </c>
      <c r="B497" s="50">
        <v>66.17</v>
      </c>
      <c r="C497" s="50">
        <v>62.49</v>
      </c>
      <c r="D497" s="50">
        <v>64.95</v>
      </c>
      <c r="E497" s="50">
        <v>794324</v>
      </c>
      <c r="F497" s="50" t="s">
        <v>534</v>
      </c>
      <c r="G497" s="25">
        <f t="shared" si="4"/>
        <v>-3.6797536566589684E-2</v>
      </c>
    </row>
    <row r="498" spans="1:7">
      <c r="A498" s="50">
        <v>63.92</v>
      </c>
      <c r="B498" s="50">
        <v>64.02</v>
      </c>
      <c r="C498" s="50">
        <v>61.8</v>
      </c>
      <c r="D498" s="50">
        <v>61.94</v>
      </c>
      <c r="E498" s="50">
        <v>651149</v>
      </c>
      <c r="F498" s="50" t="s">
        <v>535</v>
      </c>
      <c r="G498" s="25">
        <f t="shared" si="4"/>
        <v>3.196641911527287E-2</v>
      </c>
    </row>
    <row r="499" spans="1:7">
      <c r="A499" s="50">
        <v>62.52</v>
      </c>
      <c r="B499" s="50">
        <v>62.994999999999997</v>
      </c>
      <c r="C499" s="50">
        <v>61.84</v>
      </c>
      <c r="D499" s="50">
        <v>62.59</v>
      </c>
      <c r="E499" s="50">
        <v>1062316</v>
      </c>
      <c r="F499" s="50" t="s">
        <v>536</v>
      </c>
      <c r="G499" s="25">
        <f t="shared" si="4"/>
        <v>-1.1183895190924886E-3</v>
      </c>
    </row>
    <row r="500" spans="1:7">
      <c r="A500" s="50">
        <v>64</v>
      </c>
      <c r="B500" s="50">
        <v>64.900000000000006</v>
      </c>
      <c r="C500" s="50">
        <v>63.18</v>
      </c>
      <c r="D500" s="50">
        <v>64.900000000000006</v>
      </c>
      <c r="E500" s="50">
        <v>968098</v>
      </c>
      <c r="F500" s="50" t="s">
        <v>537</v>
      </c>
      <c r="G500" s="25">
        <f t="shared" si="4"/>
        <v>-1.3867488443759735E-2</v>
      </c>
    </row>
    <row r="501" spans="1:7">
      <c r="A501" s="50">
        <v>64.58</v>
      </c>
      <c r="B501" s="50">
        <v>65.25</v>
      </c>
      <c r="C501" s="50">
        <v>63.64</v>
      </c>
      <c r="D501" s="50">
        <v>63.64</v>
      </c>
      <c r="E501" s="50">
        <v>646688</v>
      </c>
      <c r="F501" s="50" t="s">
        <v>538</v>
      </c>
      <c r="G501" s="25">
        <f t="shared" si="4"/>
        <v>1.4770584538026377E-2</v>
      </c>
    </row>
    <row r="502" spans="1:7">
      <c r="A502" s="50">
        <v>63.63</v>
      </c>
      <c r="B502" s="50">
        <v>63.865000000000002</v>
      </c>
      <c r="C502" s="50">
        <v>62.66</v>
      </c>
      <c r="D502" s="50">
        <v>63.08</v>
      </c>
      <c r="E502" s="50">
        <v>653626</v>
      </c>
      <c r="F502" s="50" t="s">
        <v>539</v>
      </c>
      <c r="G502" s="25">
        <f t="shared" si="4"/>
        <v>8.7190868738111771E-3</v>
      </c>
    </row>
    <row r="503" spans="1:7">
      <c r="A503" s="50">
        <v>62.33</v>
      </c>
      <c r="B503" s="50">
        <v>63.74</v>
      </c>
      <c r="C503" s="50">
        <v>62.164999999999999</v>
      </c>
      <c r="D503" s="50">
        <v>63.74</v>
      </c>
      <c r="E503" s="50">
        <v>532256</v>
      </c>
      <c r="F503" s="50" t="s">
        <v>540</v>
      </c>
      <c r="G503" s="25">
        <f t="shared" si="4"/>
        <v>-2.212111703796682E-2</v>
      </c>
    </row>
    <row r="504" spans="1:7">
      <c r="A504" s="50">
        <v>63.31</v>
      </c>
      <c r="B504" s="50">
        <v>63.805</v>
      </c>
      <c r="C504" s="50">
        <v>62.83</v>
      </c>
      <c r="D504" s="50">
        <v>62.99</v>
      </c>
      <c r="E504" s="50">
        <v>363805</v>
      </c>
      <c r="F504" s="50" t="s">
        <v>541</v>
      </c>
      <c r="G504" s="25">
        <f t="shared" si="4"/>
        <v>5.0801714557866529E-3</v>
      </c>
    </row>
    <row r="505" spans="1:7">
      <c r="A505" s="50">
        <v>63.29</v>
      </c>
      <c r="B505" s="50">
        <v>64.459999999999994</v>
      </c>
      <c r="C505" s="50">
        <v>63.06</v>
      </c>
      <c r="D505" s="50">
        <v>63.18</v>
      </c>
      <c r="E505" s="50">
        <v>844941</v>
      </c>
      <c r="F505" s="50" t="s">
        <v>542</v>
      </c>
      <c r="G505" s="25">
        <f t="shared" si="4"/>
        <v>1.7410572966127802E-3</v>
      </c>
    </row>
    <row r="506" spans="1:7">
      <c r="A506" s="50">
        <v>63.33</v>
      </c>
      <c r="B506" s="50">
        <v>64.83</v>
      </c>
      <c r="C506" s="50">
        <v>63.11</v>
      </c>
      <c r="D506" s="50">
        <v>63.11</v>
      </c>
      <c r="E506" s="50">
        <v>869819</v>
      </c>
      <c r="F506" s="50" t="s">
        <v>543</v>
      </c>
      <c r="G506" s="25">
        <f t="shared" si="4"/>
        <v>3.4859768657897749E-3</v>
      </c>
    </row>
    <row r="507" spans="1:7">
      <c r="A507" s="50">
        <v>63.08</v>
      </c>
      <c r="B507" s="50">
        <v>64.674999999999997</v>
      </c>
      <c r="C507" s="50">
        <v>62.86</v>
      </c>
      <c r="D507" s="50">
        <v>63.63</v>
      </c>
      <c r="E507" s="50">
        <v>1264187</v>
      </c>
      <c r="F507" s="50" t="s">
        <v>544</v>
      </c>
      <c r="G507" s="25">
        <f t="shared" si="4"/>
        <v>-8.6437215150086955E-3</v>
      </c>
    </row>
    <row r="508" spans="1:7">
      <c r="A508" s="50">
        <v>64.28</v>
      </c>
      <c r="B508" s="50">
        <v>65.61</v>
      </c>
      <c r="C508" s="50">
        <v>62.9</v>
      </c>
      <c r="D508" s="50">
        <v>63.28</v>
      </c>
      <c r="E508" s="50">
        <v>740643</v>
      </c>
      <c r="F508" s="50" t="s">
        <v>545</v>
      </c>
      <c r="G508" s="25">
        <f t="shared" si="4"/>
        <v>1.5802781289506962E-2</v>
      </c>
    </row>
    <row r="509" spans="1:7">
      <c r="A509" s="50">
        <v>63.99</v>
      </c>
      <c r="B509" s="50">
        <v>65.5</v>
      </c>
      <c r="C509" s="50">
        <v>63.89</v>
      </c>
      <c r="D509" s="50">
        <v>64.61</v>
      </c>
      <c r="E509" s="50">
        <v>1321854</v>
      </c>
      <c r="F509" s="50" t="s">
        <v>546</v>
      </c>
      <c r="G509" s="25">
        <f t="shared" si="4"/>
        <v>-9.5960377650518014E-3</v>
      </c>
    </row>
    <row r="510" spans="1:7">
      <c r="A510" s="50">
        <v>65.63</v>
      </c>
      <c r="B510" s="50">
        <v>67.319999999999993</v>
      </c>
      <c r="C510" s="50">
        <v>64.989999999999995</v>
      </c>
      <c r="D510" s="50">
        <v>65.92</v>
      </c>
      <c r="E510" s="50">
        <v>11261483</v>
      </c>
      <c r="F510" s="50" t="s">
        <v>547</v>
      </c>
      <c r="G510" s="25">
        <f t="shared" si="4"/>
        <v>-4.3992718446602685E-3</v>
      </c>
    </row>
    <row r="511" spans="1:7">
      <c r="A511" s="50">
        <v>66.510000000000005</v>
      </c>
      <c r="B511" s="50">
        <v>68.540000000000006</v>
      </c>
      <c r="C511" s="50">
        <v>66.12</v>
      </c>
      <c r="D511" s="50">
        <v>67.8</v>
      </c>
      <c r="E511" s="50">
        <v>1385193</v>
      </c>
      <c r="F511" s="50" t="s">
        <v>548</v>
      </c>
      <c r="G511" s="25">
        <f t="shared" si="4"/>
        <v>-1.9026548672566257E-2</v>
      </c>
    </row>
    <row r="512" spans="1:7">
      <c r="A512" s="50">
        <v>68.03</v>
      </c>
      <c r="B512" s="50">
        <v>69.31</v>
      </c>
      <c r="C512" s="50">
        <v>67.849999999999994</v>
      </c>
      <c r="D512" s="50">
        <v>68.5</v>
      </c>
      <c r="E512" s="50">
        <v>1523173</v>
      </c>
      <c r="F512" s="50" t="s">
        <v>549</v>
      </c>
      <c r="G512" s="25">
        <f t="shared" si="4"/>
        <v>-6.8613138686131059E-3</v>
      </c>
    </row>
    <row r="513" spans="1:7">
      <c r="A513" s="50">
        <v>68.650000000000006</v>
      </c>
      <c r="B513" s="50">
        <v>68.75</v>
      </c>
      <c r="C513" s="50">
        <v>66.61</v>
      </c>
      <c r="D513" s="50">
        <v>67.13</v>
      </c>
      <c r="E513" s="50">
        <v>1761693</v>
      </c>
      <c r="F513" s="50" t="s">
        <v>550</v>
      </c>
      <c r="G513" s="25">
        <f t="shared" si="4"/>
        <v>2.2642633695814318E-2</v>
      </c>
    </row>
    <row r="514" spans="1:7">
      <c r="A514" s="50">
        <v>67.14</v>
      </c>
      <c r="B514" s="50">
        <v>67.42</v>
      </c>
      <c r="C514" s="50">
        <v>65.734999999999999</v>
      </c>
      <c r="D514" s="50">
        <v>66.67</v>
      </c>
      <c r="E514" s="50">
        <v>1370923</v>
      </c>
      <c r="F514" s="50" t="s">
        <v>551</v>
      </c>
      <c r="G514" s="25">
        <f t="shared" si="4"/>
        <v>7.049647517624047E-3</v>
      </c>
    </row>
    <row r="515" spans="1:7">
      <c r="A515" s="50">
        <v>67.010000000000005</v>
      </c>
      <c r="B515" s="50">
        <v>67.81</v>
      </c>
      <c r="C515" s="50">
        <v>66.239999999999995</v>
      </c>
      <c r="D515" s="50">
        <v>66.87</v>
      </c>
      <c r="E515" s="50">
        <v>1297101</v>
      </c>
      <c r="F515" s="50" t="s">
        <v>552</v>
      </c>
      <c r="G515" s="25">
        <f t="shared" si="4"/>
        <v>2.0936144758487707E-3</v>
      </c>
    </row>
    <row r="516" spans="1:7">
      <c r="A516" s="50">
        <v>66.14</v>
      </c>
      <c r="B516" s="50">
        <v>67.209999999999994</v>
      </c>
      <c r="C516" s="50">
        <v>65.849999999999994</v>
      </c>
      <c r="D516" s="50">
        <v>66.11</v>
      </c>
      <c r="E516" s="50">
        <v>1511762</v>
      </c>
      <c r="F516" s="50" t="s">
        <v>553</v>
      </c>
      <c r="G516" s="25">
        <f t="shared" si="4"/>
        <v>4.5378913931326537E-4</v>
      </c>
    </row>
    <row r="517" spans="1:7">
      <c r="A517" s="50">
        <v>65.78</v>
      </c>
      <c r="B517" s="50">
        <v>66.11</v>
      </c>
      <c r="C517" s="50">
        <v>64.06</v>
      </c>
      <c r="D517" s="50">
        <v>64.45</v>
      </c>
      <c r="E517" s="50">
        <v>1611677</v>
      </c>
      <c r="F517" s="50" t="s">
        <v>554</v>
      </c>
      <c r="G517" s="25">
        <f t="shared" si="4"/>
        <v>2.0636152055857115E-2</v>
      </c>
    </row>
    <row r="518" spans="1:7">
      <c r="A518" s="50">
        <v>62.58</v>
      </c>
      <c r="B518" s="50">
        <v>66.45</v>
      </c>
      <c r="C518" s="50">
        <v>61.76</v>
      </c>
      <c r="D518" s="50">
        <v>66.45</v>
      </c>
      <c r="E518" s="50">
        <v>1613138</v>
      </c>
      <c r="F518" s="50" t="s">
        <v>555</v>
      </c>
      <c r="G518" s="25">
        <f t="shared" si="4"/>
        <v>-5.8239277652370247E-2</v>
      </c>
    </row>
    <row r="519" spans="1:7">
      <c r="A519" s="50">
        <v>65.349999999999994</v>
      </c>
      <c r="B519" s="50">
        <v>65.64</v>
      </c>
      <c r="C519" s="50">
        <v>61.01</v>
      </c>
      <c r="D519" s="50">
        <v>61.52</v>
      </c>
      <c r="E519" s="50">
        <v>3328451</v>
      </c>
      <c r="F519" s="50" t="s">
        <v>556</v>
      </c>
      <c r="G519" s="25">
        <f t="shared" si="4"/>
        <v>6.2256176853055845E-2</v>
      </c>
    </row>
    <row r="520" spans="1:7">
      <c r="A520" s="50">
        <v>58.71</v>
      </c>
      <c r="B520" s="50">
        <v>58.81</v>
      </c>
      <c r="C520" s="50">
        <v>56.634999999999998</v>
      </c>
      <c r="D520" s="50">
        <v>57.01</v>
      </c>
      <c r="E520" s="50">
        <v>526822</v>
      </c>
      <c r="F520" s="50" t="s">
        <v>557</v>
      </c>
      <c r="G520" s="25">
        <f t="shared" ref="G520:G583" si="5">A520/D520-1</f>
        <v>2.9819329942115447E-2</v>
      </c>
    </row>
    <row r="521" spans="1:7">
      <c r="A521" s="50">
        <v>56.73</v>
      </c>
      <c r="B521" s="50">
        <v>57.68</v>
      </c>
      <c r="C521" s="50">
        <v>56.174999999999997</v>
      </c>
      <c r="D521" s="50">
        <v>57.5</v>
      </c>
      <c r="E521" s="50">
        <v>611245</v>
      </c>
      <c r="F521" s="50" t="s">
        <v>558</v>
      </c>
      <c r="G521" s="25">
        <f t="shared" si="5"/>
        <v>-1.3391304347826094E-2</v>
      </c>
    </row>
    <row r="522" spans="1:7">
      <c r="A522" s="50">
        <v>56.69</v>
      </c>
      <c r="B522" s="50">
        <v>56.998100000000001</v>
      </c>
      <c r="C522" s="50">
        <v>56.36</v>
      </c>
      <c r="D522" s="50">
        <v>56.56</v>
      </c>
      <c r="E522" s="50">
        <v>276898</v>
      </c>
      <c r="F522" s="50" t="s">
        <v>559</v>
      </c>
      <c r="G522" s="25">
        <f t="shared" si="5"/>
        <v>2.2984441301272529E-3</v>
      </c>
    </row>
    <row r="523" spans="1:7">
      <c r="A523" s="50">
        <v>57.06</v>
      </c>
      <c r="B523" s="50">
        <v>57.5</v>
      </c>
      <c r="C523" s="50">
        <v>56.46</v>
      </c>
      <c r="D523" s="50">
        <v>57.31</v>
      </c>
      <c r="E523" s="50">
        <v>464086</v>
      </c>
      <c r="F523" s="50" t="s">
        <v>560</v>
      </c>
      <c r="G523" s="25">
        <f t="shared" si="5"/>
        <v>-4.3622404466934217E-3</v>
      </c>
    </row>
    <row r="524" spans="1:7">
      <c r="A524" s="50">
        <v>56.84</v>
      </c>
      <c r="B524" s="50">
        <v>57.38</v>
      </c>
      <c r="C524" s="50">
        <v>56.124499999999998</v>
      </c>
      <c r="D524" s="50">
        <v>56.4</v>
      </c>
      <c r="E524" s="50">
        <v>386826</v>
      </c>
      <c r="F524" s="50" t="s">
        <v>561</v>
      </c>
      <c r="G524" s="25">
        <f t="shared" si="5"/>
        <v>7.8014184397163788E-3</v>
      </c>
    </row>
    <row r="525" spans="1:7">
      <c r="A525" s="50">
        <v>56.69</v>
      </c>
      <c r="B525" s="50">
        <v>57.09</v>
      </c>
      <c r="C525" s="50">
        <v>56.32</v>
      </c>
      <c r="D525" s="50">
        <v>56.74</v>
      </c>
      <c r="E525" s="50">
        <v>322589</v>
      </c>
      <c r="F525" s="50" t="s">
        <v>562</v>
      </c>
      <c r="G525" s="25">
        <f t="shared" si="5"/>
        <v>-8.8121254846673658E-4</v>
      </c>
    </row>
    <row r="526" spans="1:7">
      <c r="A526" s="50">
        <v>56.72</v>
      </c>
      <c r="B526" s="50">
        <v>57.2</v>
      </c>
      <c r="C526" s="50">
        <v>56.06</v>
      </c>
      <c r="D526" s="50">
        <v>56.75</v>
      </c>
      <c r="E526" s="50">
        <v>463595</v>
      </c>
      <c r="F526" s="50" t="s">
        <v>563</v>
      </c>
      <c r="G526" s="25">
        <f t="shared" si="5"/>
        <v>-5.2863436123351537E-4</v>
      </c>
    </row>
    <row r="527" spans="1:7">
      <c r="A527" s="50">
        <v>56.27</v>
      </c>
      <c r="B527" s="50">
        <v>56.82</v>
      </c>
      <c r="C527" s="50">
        <v>55.49</v>
      </c>
      <c r="D527" s="50">
        <v>56.15</v>
      </c>
      <c r="E527" s="50">
        <v>864662</v>
      </c>
      <c r="F527" s="50" t="s">
        <v>564</v>
      </c>
      <c r="G527" s="25">
        <f t="shared" si="5"/>
        <v>2.1371326803205637E-3</v>
      </c>
    </row>
    <row r="528" spans="1:7">
      <c r="A528" s="50">
        <v>57.45</v>
      </c>
      <c r="B528" s="50">
        <v>57.692500000000003</v>
      </c>
      <c r="C528" s="50">
        <v>56.64</v>
      </c>
      <c r="D528" s="50">
        <v>56.65</v>
      </c>
      <c r="E528" s="50">
        <v>604687</v>
      </c>
      <c r="F528" s="50" t="s">
        <v>565</v>
      </c>
      <c r="G528" s="25">
        <f t="shared" si="5"/>
        <v>1.4121800529567574E-2</v>
      </c>
    </row>
    <row r="529" spans="1:7">
      <c r="A529" s="50">
        <v>57.61</v>
      </c>
      <c r="B529" s="50">
        <v>59.74</v>
      </c>
      <c r="C529" s="50">
        <v>57.55</v>
      </c>
      <c r="D529" s="50">
        <v>59.74</v>
      </c>
      <c r="E529" s="50">
        <v>519120</v>
      </c>
      <c r="F529" s="50" t="s">
        <v>566</v>
      </c>
      <c r="G529" s="25">
        <f t="shared" si="5"/>
        <v>-3.5654502845664626E-2</v>
      </c>
    </row>
    <row r="530" spans="1:7">
      <c r="A530" s="50">
        <v>60.12</v>
      </c>
      <c r="B530" s="50">
        <v>60.145000000000003</v>
      </c>
      <c r="C530" s="50">
        <v>57.72</v>
      </c>
      <c r="D530" s="50">
        <v>59.55</v>
      </c>
      <c r="E530" s="50">
        <v>683926</v>
      </c>
      <c r="F530" s="50" t="s">
        <v>567</v>
      </c>
      <c r="G530" s="25">
        <f t="shared" si="5"/>
        <v>9.5717884130981368E-3</v>
      </c>
    </row>
    <row r="531" spans="1:7">
      <c r="A531" s="50">
        <v>58.57</v>
      </c>
      <c r="B531" s="50">
        <v>61.14</v>
      </c>
      <c r="C531" s="50">
        <v>53.25</v>
      </c>
      <c r="D531" s="50">
        <v>53.25</v>
      </c>
      <c r="E531" s="50">
        <v>2358258</v>
      </c>
      <c r="F531" s="50" t="s">
        <v>568</v>
      </c>
      <c r="G531" s="25">
        <f t="shared" si="5"/>
        <v>9.9906103286385051E-2</v>
      </c>
    </row>
    <row r="532" spans="1:7">
      <c r="A532" s="50">
        <v>58.3</v>
      </c>
      <c r="B532" s="50">
        <v>59.52</v>
      </c>
      <c r="C532" s="50">
        <v>57.41</v>
      </c>
      <c r="D532" s="50">
        <v>57.96</v>
      </c>
      <c r="E532" s="50">
        <v>1613669</v>
      </c>
      <c r="F532" s="50" t="s">
        <v>569</v>
      </c>
      <c r="G532" s="25">
        <f t="shared" si="5"/>
        <v>5.8661145617666666E-3</v>
      </c>
    </row>
    <row r="533" spans="1:7">
      <c r="A533" s="50">
        <v>60.84</v>
      </c>
      <c r="B533" s="50">
        <v>62.56</v>
      </c>
      <c r="C533" s="50">
        <v>60.64</v>
      </c>
      <c r="D533" s="50">
        <v>62.07</v>
      </c>
      <c r="E533" s="50">
        <v>823473</v>
      </c>
      <c r="F533" s="50" t="s">
        <v>570</v>
      </c>
      <c r="G533" s="25">
        <f t="shared" si="5"/>
        <v>-1.9816336394393397E-2</v>
      </c>
    </row>
    <row r="534" spans="1:7">
      <c r="A534" s="50">
        <v>61.94</v>
      </c>
      <c r="B534" s="50">
        <v>62.71</v>
      </c>
      <c r="C534" s="50">
        <v>61.25</v>
      </c>
      <c r="D534" s="50">
        <v>62.43</v>
      </c>
      <c r="E534" s="50">
        <v>468093</v>
      </c>
      <c r="F534" s="50" t="s">
        <v>571</v>
      </c>
      <c r="G534" s="25">
        <f t="shared" si="5"/>
        <v>-7.8487906455230183E-3</v>
      </c>
    </row>
    <row r="535" spans="1:7">
      <c r="A535" s="50">
        <v>61.75</v>
      </c>
      <c r="B535" s="50">
        <v>61.77</v>
      </c>
      <c r="C535" s="50">
        <v>59.41</v>
      </c>
      <c r="D535" s="50">
        <v>60.2</v>
      </c>
      <c r="E535" s="50">
        <v>587454</v>
      </c>
      <c r="F535" s="50" t="s">
        <v>572</v>
      </c>
      <c r="G535" s="25">
        <f t="shared" si="5"/>
        <v>2.5747508305647759E-2</v>
      </c>
    </row>
    <row r="536" spans="1:7">
      <c r="A536" s="50">
        <v>60.24</v>
      </c>
      <c r="B536" s="50">
        <v>60.62</v>
      </c>
      <c r="C536" s="50">
        <v>59.354999999999997</v>
      </c>
      <c r="D536" s="50">
        <v>60.12</v>
      </c>
      <c r="E536" s="50">
        <v>599415</v>
      </c>
      <c r="F536" s="50" t="s">
        <v>573</v>
      </c>
      <c r="G536" s="25">
        <f t="shared" si="5"/>
        <v>1.9960079840319889E-3</v>
      </c>
    </row>
    <row r="537" spans="1:7">
      <c r="A537" s="50">
        <v>59.91</v>
      </c>
      <c r="B537" s="50">
        <v>60.318399999999997</v>
      </c>
      <c r="C537" s="50">
        <v>58.110100000000003</v>
      </c>
      <c r="D537" s="50">
        <v>58.52</v>
      </c>
      <c r="E537" s="50">
        <v>531292</v>
      </c>
      <c r="F537" s="50" t="s">
        <v>574</v>
      </c>
      <c r="G537" s="25">
        <f t="shared" si="5"/>
        <v>2.3752563226247414E-2</v>
      </c>
    </row>
    <row r="538" spans="1:7">
      <c r="A538" s="50">
        <v>58.41</v>
      </c>
      <c r="B538" s="50">
        <v>60</v>
      </c>
      <c r="C538" s="50">
        <v>57.94</v>
      </c>
      <c r="D538" s="50">
        <v>59.71</v>
      </c>
      <c r="E538" s="50">
        <v>428366</v>
      </c>
      <c r="F538" s="50" t="s">
        <v>575</v>
      </c>
      <c r="G538" s="25">
        <f t="shared" si="5"/>
        <v>-2.177189750460562E-2</v>
      </c>
    </row>
    <row r="539" spans="1:7">
      <c r="A539" s="50">
        <v>60.3</v>
      </c>
      <c r="B539" s="50">
        <v>60.55</v>
      </c>
      <c r="C539" s="50">
        <v>59.23</v>
      </c>
      <c r="D539" s="50">
        <v>59.44</v>
      </c>
      <c r="E539" s="50">
        <v>336282</v>
      </c>
      <c r="F539" s="50" t="s">
        <v>576</v>
      </c>
      <c r="G539" s="25">
        <f t="shared" si="5"/>
        <v>1.4468371467025509E-2</v>
      </c>
    </row>
    <row r="540" spans="1:7">
      <c r="A540" s="50">
        <v>60.53</v>
      </c>
      <c r="B540" s="50">
        <v>60.66</v>
      </c>
      <c r="C540" s="50">
        <v>58.890099999999997</v>
      </c>
      <c r="D540" s="50">
        <v>58.95</v>
      </c>
      <c r="E540" s="50">
        <v>842015</v>
      </c>
      <c r="F540" s="50" t="s">
        <v>577</v>
      </c>
      <c r="G540" s="25">
        <f t="shared" si="5"/>
        <v>2.6802374893977854E-2</v>
      </c>
    </row>
    <row r="541" spans="1:7">
      <c r="A541" s="50">
        <v>58.68</v>
      </c>
      <c r="B541" s="50">
        <v>61.19</v>
      </c>
      <c r="C541" s="50">
        <v>58.39</v>
      </c>
      <c r="D541" s="50">
        <v>60.21</v>
      </c>
      <c r="E541" s="50">
        <v>508930</v>
      </c>
      <c r="F541" s="50" t="s">
        <v>578</v>
      </c>
      <c r="G541" s="25">
        <f t="shared" si="5"/>
        <v>-2.5411061285500747E-2</v>
      </c>
    </row>
    <row r="542" spans="1:7">
      <c r="A542" s="50">
        <v>59.97</v>
      </c>
      <c r="B542" s="50">
        <v>62.28</v>
      </c>
      <c r="C542" s="50">
        <v>59.97</v>
      </c>
      <c r="D542" s="50">
        <v>62.07</v>
      </c>
      <c r="E542" s="50">
        <v>314892</v>
      </c>
      <c r="F542" s="50" t="s">
        <v>579</v>
      </c>
      <c r="G542" s="25">
        <f t="shared" si="5"/>
        <v>-3.3832769453842504E-2</v>
      </c>
    </row>
    <row r="543" spans="1:7">
      <c r="A543" s="50">
        <v>62.29</v>
      </c>
      <c r="B543" s="50">
        <v>62.38</v>
      </c>
      <c r="C543" s="50">
        <v>59.86</v>
      </c>
      <c r="D543" s="50">
        <v>59.86</v>
      </c>
      <c r="E543" s="50">
        <v>299585</v>
      </c>
      <c r="F543" s="50" t="s">
        <v>580</v>
      </c>
      <c r="G543" s="25">
        <f t="shared" si="5"/>
        <v>4.0594721015703383E-2</v>
      </c>
    </row>
    <row r="544" spans="1:7">
      <c r="A544" s="50">
        <v>59.95</v>
      </c>
      <c r="B544" s="50">
        <v>60.954999999999998</v>
      </c>
      <c r="C544" s="50">
        <v>59.81</v>
      </c>
      <c r="D544" s="50">
        <v>60.63</v>
      </c>
      <c r="E544" s="50">
        <v>518087</v>
      </c>
      <c r="F544" s="50" t="s">
        <v>581</v>
      </c>
      <c r="G544" s="25">
        <f t="shared" si="5"/>
        <v>-1.1215569849909235E-2</v>
      </c>
    </row>
    <row r="545" spans="1:7">
      <c r="A545" s="50">
        <v>60.1</v>
      </c>
      <c r="B545" s="50">
        <v>61.94</v>
      </c>
      <c r="C545" s="50">
        <v>59.927100000000003</v>
      </c>
      <c r="D545" s="50">
        <v>61.55</v>
      </c>
      <c r="E545" s="50">
        <v>528127</v>
      </c>
      <c r="F545" s="50" t="s">
        <v>582</v>
      </c>
      <c r="G545" s="25">
        <f t="shared" si="5"/>
        <v>-2.3558082859463814E-2</v>
      </c>
    </row>
    <row r="546" spans="1:7">
      <c r="A546" s="50">
        <v>60.55</v>
      </c>
      <c r="B546" s="50">
        <v>62.37</v>
      </c>
      <c r="C546" s="50">
        <v>60.49</v>
      </c>
      <c r="D546" s="50">
        <v>62.37</v>
      </c>
      <c r="E546" s="50">
        <v>369182</v>
      </c>
      <c r="F546" s="50" t="s">
        <v>583</v>
      </c>
      <c r="G546" s="25">
        <f t="shared" si="5"/>
        <v>-2.9180695847362492E-2</v>
      </c>
    </row>
    <row r="547" spans="1:7">
      <c r="A547" s="50">
        <v>61.33</v>
      </c>
      <c r="B547" s="50">
        <v>62.13</v>
      </c>
      <c r="C547" s="50">
        <v>60.1</v>
      </c>
      <c r="D547" s="50">
        <v>61.58</v>
      </c>
      <c r="E547" s="50">
        <v>304445</v>
      </c>
      <c r="F547" s="50" t="s">
        <v>584</v>
      </c>
      <c r="G547" s="25">
        <f t="shared" si="5"/>
        <v>-4.0597596622280463E-3</v>
      </c>
    </row>
    <row r="548" spans="1:7">
      <c r="A548" s="50">
        <v>60.8</v>
      </c>
      <c r="B548" s="50">
        <v>61.174999999999997</v>
      </c>
      <c r="C548" s="50">
        <v>59.72</v>
      </c>
      <c r="D548" s="50">
        <v>60.78</v>
      </c>
      <c r="E548" s="50">
        <v>250223</v>
      </c>
      <c r="F548" s="50" t="s">
        <v>585</v>
      </c>
      <c r="G548" s="25">
        <f t="shared" si="5"/>
        <v>3.2905561039808795E-4</v>
      </c>
    </row>
    <row r="549" spans="1:7">
      <c r="A549" s="50">
        <v>59.81</v>
      </c>
      <c r="B549" s="50">
        <v>60.09</v>
      </c>
      <c r="C549" s="50">
        <v>57.76</v>
      </c>
      <c r="D549" s="50">
        <v>59.07</v>
      </c>
      <c r="E549" s="50">
        <v>358071</v>
      </c>
      <c r="F549" s="50" t="s">
        <v>586</v>
      </c>
      <c r="G549" s="25">
        <f t="shared" si="5"/>
        <v>1.2527509734213682E-2</v>
      </c>
    </row>
    <row r="550" spans="1:7">
      <c r="A550" s="50">
        <v>58.55</v>
      </c>
      <c r="B550" s="50">
        <v>61.04</v>
      </c>
      <c r="C550" s="50">
        <v>58.274999999999999</v>
      </c>
      <c r="D550" s="50">
        <v>60.89</v>
      </c>
      <c r="E550" s="50">
        <v>660042</v>
      </c>
      <c r="F550" s="50" t="s">
        <v>587</v>
      </c>
      <c r="G550" s="25">
        <f t="shared" si="5"/>
        <v>-3.8429955657743542E-2</v>
      </c>
    </row>
    <row r="551" spans="1:7">
      <c r="A551" s="50">
        <v>60.43</v>
      </c>
      <c r="B551" s="50">
        <v>60.72</v>
      </c>
      <c r="C551" s="50">
        <v>56.52</v>
      </c>
      <c r="D551" s="50">
        <v>56.52</v>
      </c>
      <c r="E551" s="50">
        <v>1068526</v>
      </c>
      <c r="F551" s="50" t="s">
        <v>588</v>
      </c>
      <c r="G551" s="25">
        <f t="shared" si="5"/>
        <v>6.9179051663128099E-2</v>
      </c>
    </row>
    <row r="552" spans="1:7">
      <c r="A552" s="50">
        <v>57.62</v>
      </c>
      <c r="B552" s="50">
        <v>57.975000000000001</v>
      </c>
      <c r="C552" s="50">
        <v>56.43</v>
      </c>
      <c r="D552" s="50">
        <v>56.82</v>
      </c>
      <c r="E552" s="50">
        <v>366496</v>
      </c>
      <c r="F552" s="50" t="s">
        <v>589</v>
      </c>
      <c r="G552" s="25">
        <f t="shared" si="5"/>
        <v>1.4079549454417473E-2</v>
      </c>
    </row>
    <row r="553" spans="1:7">
      <c r="A553" s="50">
        <v>57.57</v>
      </c>
      <c r="B553" s="50">
        <v>58.865299999999998</v>
      </c>
      <c r="C553" s="50">
        <v>57.46</v>
      </c>
      <c r="D553" s="50">
        <v>58.58</v>
      </c>
      <c r="E553" s="50">
        <v>304653</v>
      </c>
      <c r="F553" s="50" t="s">
        <v>590</v>
      </c>
      <c r="G553" s="25">
        <f t="shared" si="5"/>
        <v>-1.7241379310344751E-2</v>
      </c>
    </row>
    <row r="554" spans="1:7">
      <c r="A554" s="50">
        <v>57.85</v>
      </c>
      <c r="B554" s="50">
        <v>58.61</v>
      </c>
      <c r="C554" s="50">
        <v>56.59</v>
      </c>
      <c r="D554" s="50">
        <v>58.1</v>
      </c>
      <c r="E554" s="50">
        <v>407954</v>
      </c>
      <c r="F554" s="50" t="s">
        <v>591</v>
      </c>
      <c r="G554" s="25">
        <f t="shared" si="5"/>
        <v>-4.3029259896729677E-3</v>
      </c>
    </row>
    <row r="555" spans="1:7">
      <c r="A555" s="50">
        <v>58.17</v>
      </c>
      <c r="B555" s="50">
        <v>58.238500000000002</v>
      </c>
      <c r="C555" s="50">
        <v>56.62</v>
      </c>
      <c r="D555" s="50">
        <v>57.16</v>
      </c>
      <c r="E555" s="50">
        <v>309425</v>
      </c>
      <c r="F555" s="50" t="s">
        <v>592</v>
      </c>
      <c r="G555" s="25">
        <f t="shared" si="5"/>
        <v>1.7669699090272939E-2</v>
      </c>
    </row>
    <row r="556" spans="1:7">
      <c r="A556" s="50">
        <v>57.25</v>
      </c>
      <c r="B556" s="50">
        <v>57.79</v>
      </c>
      <c r="C556" s="50">
        <v>56.52</v>
      </c>
      <c r="D556" s="50">
        <v>56.69</v>
      </c>
      <c r="E556" s="50">
        <v>435563</v>
      </c>
      <c r="F556" s="50" t="s">
        <v>593</v>
      </c>
      <c r="G556" s="25">
        <f t="shared" si="5"/>
        <v>9.8782854118892871E-3</v>
      </c>
    </row>
    <row r="557" spans="1:7">
      <c r="A557" s="50">
        <v>57.78</v>
      </c>
      <c r="B557" s="50">
        <v>57.97</v>
      </c>
      <c r="C557" s="50">
        <v>55.58</v>
      </c>
      <c r="D557" s="50">
        <v>55.82</v>
      </c>
      <c r="E557" s="50">
        <v>463377</v>
      </c>
      <c r="F557" s="50" t="s">
        <v>594</v>
      </c>
      <c r="G557" s="25">
        <f t="shared" si="5"/>
        <v>3.5112862773199582E-2</v>
      </c>
    </row>
    <row r="558" spans="1:7">
      <c r="A558" s="50">
        <v>55.71</v>
      </c>
      <c r="B558" s="50">
        <v>56.6</v>
      </c>
      <c r="C558" s="50">
        <v>55.24</v>
      </c>
      <c r="D558" s="50">
        <v>55.24</v>
      </c>
      <c r="E558" s="50">
        <v>617130</v>
      </c>
      <c r="F558" s="50" t="s">
        <v>595</v>
      </c>
      <c r="G558" s="25">
        <f t="shared" si="5"/>
        <v>8.5083272990587044E-3</v>
      </c>
    </row>
    <row r="559" spans="1:7">
      <c r="A559" s="50">
        <v>55.98</v>
      </c>
      <c r="B559" s="50">
        <v>57.13</v>
      </c>
      <c r="C559" s="50">
        <v>55.78</v>
      </c>
      <c r="D559" s="50">
        <v>56.3</v>
      </c>
      <c r="E559" s="50">
        <v>614783</v>
      </c>
      <c r="F559" s="50" t="s">
        <v>596</v>
      </c>
      <c r="G559" s="25">
        <f t="shared" si="5"/>
        <v>-5.6838365896980658E-3</v>
      </c>
    </row>
    <row r="560" spans="1:7">
      <c r="A560" s="50">
        <v>56.35</v>
      </c>
      <c r="B560" s="50">
        <v>58.534999999999997</v>
      </c>
      <c r="C560" s="50">
        <v>56.26</v>
      </c>
      <c r="D560" s="50">
        <v>58.39</v>
      </c>
      <c r="E560" s="50">
        <v>849622</v>
      </c>
      <c r="F560" s="50" t="s">
        <v>597</v>
      </c>
      <c r="G560" s="25">
        <f t="shared" si="5"/>
        <v>-3.493748929611229E-2</v>
      </c>
    </row>
    <row r="561" spans="1:7">
      <c r="A561" s="50">
        <v>58.97</v>
      </c>
      <c r="B561" s="50">
        <v>61.55</v>
      </c>
      <c r="C561" s="50">
        <v>58.78</v>
      </c>
      <c r="D561" s="50">
        <v>60.58</v>
      </c>
      <c r="E561" s="50">
        <v>757779</v>
      </c>
      <c r="F561" s="50" t="s">
        <v>598</v>
      </c>
      <c r="G561" s="25">
        <f t="shared" si="5"/>
        <v>-2.6576427863981511E-2</v>
      </c>
    </row>
    <row r="562" spans="1:7">
      <c r="A562" s="50">
        <v>62.44</v>
      </c>
      <c r="B562" s="50">
        <v>64.98</v>
      </c>
      <c r="C562" s="50">
        <v>62.314999999999998</v>
      </c>
      <c r="D562" s="50">
        <v>64.5</v>
      </c>
      <c r="E562" s="50">
        <v>362179</v>
      </c>
      <c r="F562" s="50" t="s">
        <v>599</v>
      </c>
      <c r="G562" s="25">
        <f t="shared" si="5"/>
        <v>-3.1937984496124061E-2</v>
      </c>
    </row>
    <row r="563" spans="1:7">
      <c r="A563" s="50">
        <v>64.78</v>
      </c>
      <c r="B563" s="50">
        <v>64.91</v>
      </c>
      <c r="C563" s="50">
        <v>63.62</v>
      </c>
      <c r="D563" s="50">
        <v>64.37</v>
      </c>
      <c r="E563" s="50">
        <v>262991</v>
      </c>
      <c r="F563" s="50" t="s">
        <v>600</v>
      </c>
      <c r="G563" s="25">
        <f t="shared" si="5"/>
        <v>6.3694267515923553E-3</v>
      </c>
    </row>
    <row r="564" spans="1:7">
      <c r="A564" s="50">
        <v>64.489999999999995</v>
      </c>
      <c r="B564" s="50">
        <v>64.64</v>
      </c>
      <c r="C564" s="50">
        <v>63.88</v>
      </c>
      <c r="D564" s="50">
        <v>64.64</v>
      </c>
      <c r="E564" s="50">
        <v>240355</v>
      </c>
      <c r="F564" s="50" t="s">
        <v>601</v>
      </c>
      <c r="G564" s="25">
        <f t="shared" si="5"/>
        <v>-2.320544554455517E-3</v>
      </c>
    </row>
    <row r="565" spans="1:7">
      <c r="A565" s="50">
        <v>64.52</v>
      </c>
      <c r="B565" s="50">
        <v>64.534999999999997</v>
      </c>
      <c r="C565" s="50">
        <v>63.34</v>
      </c>
      <c r="D565" s="50">
        <v>64.069999999999993</v>
      </c>
      <c r="E565" s="50">
        <v>228382</v>
      </c>
      <c r="F565" s="50" t="s">
        <v>602</v>
      </c>
      <c r="G565" s="25">
        <f t="shared" si="5"/>
        <v>7.0235679725301203E-3</v>
      </c>
    </row>
    <row r="566" spans="1:7">
      <c r="A566" s="50">
        <v>63.91</v>
      </c>
      <c r="B566" s="50">
        <v>63.97</v>
      </c>
      <c r="C566" s="50">
        <v>62.67</v>
      </c>
      <c r="D566" s="50">
        <v>63.19</v>
      </c>
      <c r="E566" s="50">
        <v>364444</v>
      </c>
      <c r="F566" s="50" t="s">
        <v>603</v>
      </c>
      <c r="G566" s="25">
        <f t="shared" si="5"/>
        <v>1.1394207944295021E-2</v>
      </c>
    </row>
    <row r="567" spans="1:7">
      <c r="A567" s="50">
        <v>63.01</v>
      </c>
      <c r="B567" s="50">
        <v>63.18</v>
      </c>
      <c r="C567" s="50">
        <v>62.097499999999997</v>
      </c>
      <c r="D567" s="50">
        <v>62.94</v>
      </c>
      <c r="E567" s="50">
        <v>320736</v>
      </c>
      <c r="F567" s="50" t="s">
        <v>604</v>
      </c>
      <c r="G567" s="25">
        <f t="shared" si="5"/>
        <v>1.1121703209406864E-3</v>
      </c>
    </row>
    <row r="568" spans="1:7">
      <c r="A568" s="50">
        <v>62</v>
      </c>
      <c r="B568" s="50">
        <v>64.47</v>
      </c>
      <c r="C568" s="50">
        <v>61.95</v>
      </c>
      <c r="D568" s="50">
        <v>64.33</v>
      </c>
      <c r="E568" s="50">
        <v>719488</v>
      </c>
      <c r="F568" s="50" t="s">
        <v>605</v>
      </c>
      <c r="G568" s="25">
        <f t="shared" si="5"/>
        <v>-3.6219493237991562E-2</v>
      </c>
    </row>
    <row r="569" spans="1:7">
      <c r="A569" s="50">
        <v>64.52</v>
      </c>
      <c r="B569" s="50">
        <v>64.694999999999993</v>
      </c>
      <c r="C569" s="50">
        <v>62.2</v>
      </c>
      <c r="D569" s="50">
        <v>62.56</v>
      </c>
      <c r="E569" s="50">
        <v>934920</v>
      </c>
      <c r="F569" s="50" t="s">
        <v>606</v>
      </c>
      <c r="G569" s="25">
        <f t="shared" si="5"/>
        <v>3.1329923273657245E-2</v>
      </c>
    </row>
    <row r="570" spans="1:7">
      <c r="A570" s="50">
        <v>61.94</v>
      </c>
      <c r="B570" s="50">
        <v>62.61</v>
      </c>
      <c r="C570" s="50">
        <v>61.414999999999999</v>
      </c>
      <c r="D570" s="50">
        <v>62.45</v>
      </c>
      <c r="E570" s="50">
        <v>480367</v>
      </c>
      <c r="F570" s="50" t="s">
        <v>607</v>
      </c>
      <c r="G570" s="25">
        <f t="shared" si="5"/>
        <v>-8.1665332265813406E-3</v>
      </c>
    </row>
    <row r="571" spans="1:7">
      <c r="A571" s="50">
        <v>62.11</v>
      </c>
      <c r="B571" s="50">
        <v>62.74</v>
      </c>
      <c r="C571" s="50">
        <v>61.09</v>
      </c>
      <c r="D571" s="50">
        <v>62.67</v>
      </c>
      <c r="E571" s="50">
        <v>719207</v>
      </c>
      <c r="F571" s="50" t="s">
        <v>608</v>
      </c>
      <c r="G571" s="25">
        <f t="shared" si="5"/>
        <v>-8.9356949098452487E-3</v>
      </c>
    </row>
    <row r="572" spans="1:7">
      <c r="A572" s="50">
        <v>62.22</v>
      </c>
      <c r="B572" s="50">
        <v>63.66</v>
      </c>
      <c r="C572" s="50">
        <v>61.83</v>
      </c>
      <c r="D572" s="50">
        <v>62.97</v>
      </c>
      <c r="E572" s="50">
        <v>772038</v>
      </c>
      <c r="F572" s="50" t="s">
        <v>609</v>
      </c>
      <c r="G572" s="25">
        <f t="shared" si="5"/>
        <v>-1.1910433539780829E-2</v>
      </c>
    </row>
    <row r="573" spans="1:7">
      <c r="A573" s="50">
        <v>61.9</v>
      </c>
      <c r="B573" s="50">
        <v>61.99</v>
      </c>
      <c r="C573" s="50">
        <v>59.02</v>
      </c>
      <c r="D573" s="50">
        <v>60.4</v>
      </c>
      <c r="E573" s="50">
        <v>767363</v>
      </c>
      <c r="F573" s="50" t="s">
        <v>610</v>
      </c>
      <c r="G573" s="25">
        <f t="shared" si="5"/>
        <v>2.4834437086092676E-2</v>
      </c>
    </row>
    <row r="574" spans="1:7">
      <c r="A574" s="50">
        <v>60.18</v>
      </c>
      <c r="B574" s="50">
        <v>60.74</v>
      </c>
      <c r="C574" s="50">
        <v>59.42</v>
      </c>
      <c r="D574" s="50">
        <v>60.39</v>
      </c>
      <c r="E574" s="50">
        <v>451344</v>
      </c>
      <c r="F574" s="50" t="s">
        <v>611</v>
      </c>
      <c r="G574" s="25">
        <f t="shared" si="5"/>
        <v>-3.4773969200199151E-3</v>
      </c>
    </row>
    <row r="575" spans="1:7">
      <c r="A575" s="50">
        <v>60.41</v>
      </c>
      <c r="B575" s="50">
        <v>61.66</v>
      </c>
      <c r="C575" s="50">
        <v>60.21</v>
      </c>
      <c r="D575" s="50">
        <v>60.82</v>
      </c>
      <c r="E575" s="50">
        <v>398609</v>
      </c>
      <c r="F575" s="50" t="s">
        <v>612</v>
      </c>
      <c r="G575" s="25">
        <f t="shared" si="5"/>
        <v>-6.7412035514633484E-3</v>
      </c>
    </row>
    <row r="576" spans="1:7">
      <c r="A576" s="50">
        <v>61.07</v>
      </c>
      <c r="B576" s="50">
        <v>61.13</v>
      </c>
      <c r="C576" s="50">
        <v>59.81</v>
      </c>
      <c r="D576" s="50">
        <v>59.99</v>
      </c>
      <c r="E576" s="50">
        <v>287051</v>
      </c>
      <c r="F576" s="50" t="s">
        <v>613</v>
      </c>
      <c r="G576" s="25">
        <f t="shared" si="5"/>
        <v>1.8003000500083299E-2</v>
      </c>
    </row>
    <row r="577" spans="1:7">
      <c r="A577" s="50">
        <v>60.19</v>
      </c>
      <c r="B577" s="50">
        <v>61.73</v>
      </c>
      <c r="C577" s="50">
        <v>60.16</v>
      </c>
      <c r="D577" s="50">
        <v>61.37</v>
      </c>
      <c r="E577" s="50">
        <v>467933</v>
      </c>
      <c r="F577" s="50" t="s">
        <v>614</v>
      </c>
      <c r="G577" s="25">
        <f t="shared" si="5"/>
        <v>-1.9227635652598996E-2</v>
      </c>
    </row>
    <row r="578" spans="1:7">
      <c r="A578" s="50">
        <v>61.37</v>
      </c>
      <c r="B578" s="50">
        <v>61.505000000000003</v>
      </c>
      <c r="C578" s="50">
        <v>58.74</v>
      </c>
      <c r="D578" s="50">
        <v>59.25</v>
      </c>
      <c r="E578" s="50">
        <v>595708</v>
      </c>
      <c r="F578" s="50" t="s">
        <v>615</v>
      </c>
      <c r="G578" s="25">
        <f t="shared" si="5"/>
        <v>3.5780590717299443E-2</v>
      </c>
    </row>
    <row r="579" spans="1:7">
      <c r="A579" s="50">
        <v>58.81</v>
      </c>
      <c r="B579" s="50">
        <v>59.37</v>
      </c>
      <c r="C579" s="50">
        <v>58.46</v>
      </c>
      <c r="D579" s="50">
        <v>59.27</v>
      </c>
      <c r="E579" s="50">
        <v>522762</v>
      </c>
      <c r="F579" s="50" t="s">
        <v>616</v>
      </c>
      <c r="G579" s="25">
        <f t="shared" si="5"/>
        <v>-7.7610933018390504E-3</v>
      </c>
    </row>
    <row r="580" spans="1:7">
      <c r="A580" s="50">
        <v>59.72</v>
      </c>
      <c r="B580" s="50">
        <v>60.39</v>
      </c>
      <c r="C580" s="50">
        <v>59.18</v>
      </c>
      <c r="D580" s="50">
        <v>59.61</v>
      </c>
      <c r="E580" s="50">
        <v>540473</v>
      </c>
      <c r="F580" s="50" t="s">
        <v>617</v>
      </c>
      <c r="G580" s="25">
        <f t="shared" si="5"/>
        <v>1.8453279651065024E-3</v>
      </c>
    </row>
    <row r="581" spans="1:7">
      <c r="A581" s="50">
        <v>60</v>
      </c>
      <c r="B581" s="50">
        <v>60.01</v>
      </c>
      <c r="C581" s="50">
        <v>57.6</v>
      </c>
      <c r="D581" s="50">
        <v>57.83</v>
      </c>
      <c r="E581" s="50">
        <v>564007</v>
      </c>
      <c r="F581" s="50" t="s">
        <v>618</v>
      </c>
      <c r="G581" s="25">
        <f t="shared" si="5"/>
        <v>3.752377658654682E-2</v>
      </c>
    </row>
    <row r="582" spans="1:7">
      <c r="A582" s="50">
        <v>57.85</v>
      </c>
      <c r="B582" s="50">
        <v>58.82</v>
      </c>
      <c r="C582" s="50">
        <v>57.524999999999999</v>
      </c>
      <c r="D582" s="50">
        <v>58.35</v>
      </c>
      <c r="E582" s="50">
        <v>615357</v>
      </c>
      <c r="F582" s="50" t="s">
        <v>619</v>
      </c>
      <c r="G582" s="25">
        <f t="shared" si="5"/>
        <v>-8.5689802913453406E-3</v>
      </c>
    </row>
    <row r="583" spans="1:7">
      <c r="A583" s="50">
        <v>58.39</v>
      </c>
      <c r="B583" s="50">
        <v>59.56</v>
      </c>
      <c r="C583" s="50">
        <v>58.064999999999998</v>
      </c>
      <c r="D583" s="50">
        <v>59.04</v>
      </c>
      <c r="E583" s="50">
        <v>395362</v>
      </c>
      <c r="F583" s="50" t="s">
        <v>620</v>
      </c>
      <c r="G583" s="25">
        <f t="shared" si="5"/>
        <v>-1.100948509485089E-2</v>
      </c>
    </row>
    <row r="584" spans="1:7">
      <c r="A584" s="50">
        <v>57.92</v>
      </c>
      <c r="B584" s="50">
        <v>58.67</v>
      </c>
      <c r="C584" s="50">
        <v>57.18</v>
      </c>
      <c r="D584" s="50">
        <v>57.45</v>
      </c>
      <c r="E584" s="50">
        <v>434501</v>
      </c>
      <c r="F584" s="50" t="s">
        <v>621</v>
      </c>
      <c r="G584" s="25">
        <f t="shared" ref="G584:G647" si="6">A584/D584-1</f>
        <v>8.1810269799824642E-3</v>
      </c>
    </row>
    <row r="585" spans="1:7">
      <c r="A585" s="50">
        <v>57.66</v>
      </c>
      <c r="B585" s="50">
        <v>57.984999999999999</v>
      </c>
      <c r="C585" s="50">
        <v>56.331200000000003</v>
      </c>
      <c r="D585" s="50">
        <v>57</v>
      </c>
      <c r="E585" s="50">
        <v>403967</v>
      </c>
      <c r="F585" s="50" t="s">
        <v>622</v>
      </c>
      <c r="G585" s="25">
        <f t="shared" si="6"/>
        <v>1.1578947368420911E-2</v>
      </c>
    </row>
    <row r="586" spans="1:7">
      <c r="A586" s="50">
        <v>57.3</v>
      </c>
      <c r="B586" s="50">
        <v>57.5</v>
      </c>
      <c r="C586" s="50">
        <v>56.51</v>
      </c>
      <c r="D586" s="50">
        <v>56.61</v>
      </c>
      <c r="E586" s="50">
        <v>229525</v>
      </c>
      <c r="F586" s="50" t="s">
        <v>623</v>
      </c>
      <c r="G586" s="25">
        <f t="shared" si="6"/>
        <v>1.2188659247482692E-2</v>
      </c>
    </row>
    <row r="587" spans="1:7">
      <c r="A587" s="50">
        <v>56.97</v>
      </c>
      <c r="B587" s="50">
        <v>57.2</v>
      </c>
      <c r="C587" s="50">
        <v>56.16</v>
      </c>
      <c r="D587" s="50">
        <v>56.52</v>
      </c>
      <c r="E587" s="50">
        <v>227909</v>
      </c>
      <c r="F587" s="50" t="s">
        <v>624</v>
      </c>
      <c r="G587" s="25">
        <f t="shared" si="6"/>
        <v>7.9617834394902776E-3</v>
      </c>
    </row>
    <row r="588" spans="1:7">
      <c r="A588" s="50">
        <v>56.01</v>
      </c>
      <c r="B588" s="50">
        <v>57.69</v>
      </c>
      <c r="C588" s="50">
        <v>55.99</v>
      </c>
      <c r="D588" s="50">
        <v>56.76</v>
      </c>
      <c r="E588" s="50">
        <v>604936</v>
      </c>
      <c r="F588" s="50" t="s">
        <v>625</v>
      </c>
      <c r="G588" s="25">
        <f t="shared" si="6"/>
        <v>-1.3213530655391104E-2</v>
      </c>
    </row>
    <row r="589" spans="1:7">
      <c r="A589" s="50">
        <v>57.69</v>
      </c>
      <c r="B589" s="50">
        <v>58.35</v>
      </c>
      <c r="C589" s="50">
        <v>56.4</v>
      </c>
      <c r="D589" s="50">
        <v>56.4</v>
      </c>
      <c r="E589" s="50">
        <v>764692</v>
      </c>
      <c r="F589" s="50" t="s">
        <v>626</v>
      </c>
      <c r="G589" s="25">
        <f t="shared" si="6"/>
        <v>2.287234042553199E-2</v>
      </c>
    </row>
    <row r="590" spans="1:7">
      <c r="A590" s="50">
        <v>56.4</v>
      </c>
      <c r="B590" s="50">
        <v>56.77</v>
      </c>
      <c r="C590" s="50">
        <v>55.25</v>
      </c>
      <c r="D590" s="50">
        <v>56.25</v>
      </c>
      <c r="E590" s="50">
        <v>596779</v>
      </c>
      <c r="F590" s="50" t="s">
        <v>627</v>
      </c>
      <c r="G590" s="25">
        <f t="shared" si="6"/>
        <v>2.666666666666595E-3</v>
      </c>
    </row>
    <row r="591" spans="1:7">
      <c r="A591" s="50">
        <v>56.06</v>
      </c>
      <c r="B591" s="50">
        <v>56.19</v>
      </c>
      <c r="C591" s="50">
        <v>55.08</v>
      </c>
      <c r="D591" s="50">
        <v>55.84</v>
      </c>
      <c r="E591" s="50">
        <v>449064</v>
      </c>
      <c r="F591" s="50" t="s">
        <v>628</v>
      </c>
      <c r="G591" s="25">
        <f t="shared" si="6"/>
        <v>3.9398280802291907E-3</v>
      </c>
    </row>
    <row r="592" spans="1:7">
      <c r="A592" s="50">
        <v>56.08</v>
      </c>
      <c r="B592" s="50">
        <v>56.7</v>
      </c>
      <c r="C592" s="50">
        <v>55.28</v>
      </c>
      <c r="D592" s="50">
        <v>55.97</v>
      </c>
      <c r="E592" s="50">
        <v>625141</v>
      </c>
      <c r="F592" s="50" t="s">
        <v>629</v>
      </c>
      <c r="G592" s="25">
        <f t="shared" si="6"/>
        <v>1.9653385742361973E-3</v>
      </c>
    </row>
    <row r="593" spans="1:7">
      <c r="A593" s="50">
        <v>55.8</v>
      </c>
      <c r="B593" s="50">
        <v>56.164999999999999</v>
      </c>
      <c r="C593" s="50">
        <v>53.54</v>
      </c>
      <c r="D593" s="50">
        <v>54</v>
      </c>
      <c r="E593" s="50">
        <v>987947</v>
      </c>
      <c r="F593" s="50" t="s">
        <v>630</v>
      </c>
      <c r="G593" s="25">
        <f t="shared" si="6"/>
        <v>3.3333333333333215E-2</v>
      </c>
    </row>
    <row r="594" spans="1:7">
      <c r="A594" s="50">
        <v>52.14</v>
      </c>
      <c r="B594" s="50">
        <v>52.44</v>
      </c>
      <c r="C594" s="50">
        <v>50.98</v>
      </c>
      <c r="D594" s="50">
        <v>51.75</v>
      </c>
      <c r="E594" s="50">
        <v>406217</v>
      </c>
      <c r="F594" s="50" t="s">
        <v>631</v>
      </c>
      <c r="G594" s="25">
        <f t="shared" si="6"/>
        <v>7.5362318840579423E-3</v>
      </c>
    </row>
    <row r="595" spans="1:7">
      <c r="A595" s="50">
        <v>52.29</v>
      </c>
      <c r="B595" s="50">
        <v>52.74</v>
      </c>
      <c r="C595" s="50">
        <v>51.5</v>
      </c>
      <c r="D595" s="50">
        <v>51.98</v>
      </c>
      <c r="E595" s="50">
        <v>561130</v>
      </c>
      <c r="F595" s="50" t="s">
        <v>632</v>
      </c>
      <c r="G595" s="25">
        <f t="shared" si="6"/>
        <v>5.9638322431705415E-3</v>
      </c>
    </row>
    <row r="596" spans="1:7">
      <c r="A596" s="50">
        <v>52</v>
      </c>
      <c r="B596" s="50">
        <v>54.05</v>
      </c>
      <c r="C596" s="50">
        <v>51.77</v>
      </c>
      <c r="D596" s="50">
        <v>53.53</v>
      </c>
      <c r="E596" s="50">
        <v>524797</v>
      </c>
      <c r="F596" s="50" t="s">
        <v>633</v>
      </c>
      <c r="G596" s="25">
        <f t="shared" si="6"/>
        <v>-2.8582103493368205E-2</v>
      </c>
    </row>
    <row r="597" spans="1:7">
      <c r="A597" s="50">
        <v>53.21</v>
      </c>
      <c r="B597" s="50">
        <v>53.86</v>
      </c>
      <c r="C597" s="50">
        <v>53.08</v>
      </c>
      <c r="D597" s="50">
        <v>53.77</v>
      </c>
      <c r="E597" s="50">
        <v>677828</v>
      </c>
      <c r="F597" s="50" t="s">
        <v>634</v>
      </c>
      <c r="G597" s="25">
        <f t="shared" si="6"/>
        <v>-1.0414729403012912E-2</v>
      </c>
    </row>
    <row r="598" spans="1:7">
      <c r="A598" s="50">
        <v>54.16</v>
      </c>
      <c r="B598" s="50">
        <v>55.2</v>
      </c>
      <c r="C598" s="50">
        <v>53.48</v>
      </c>
      <c r="D598" s="50">
        <v>54.13</v>
      </c>
      <c r="E598" s="50">
        <v>434157</v>
      </c>
      <c r="F598" s="50" t="s">
        <v>635</v>
      </c>
      <c r="G598" s="25">
        <f t="shared" si="6"/>
        <v>5.5422131904658833E-4</v>
      </c>
    </row>
    <row r="599" spans="1:7">
      <c r="A599" s="50">
        <v>53.79</v>
      </c>
      <c r="B599" s="50">
        <v>55.197499999999998</v>
      </c>
      <c r="C599" s="50">
        <v>52.314999999999998</v>
      </c>
      <c r="D599" s="50">
        <v>55.07</v>
      </c>
      <c r="E599" s="50">
        <v>532721</v>
      </c>
      <c r="F599" s="50" t="s">
        <v>636</v>
      </c>
      <c r="G599" s="25">
        <f t="shared" si="6"/>
        <v>-2.3243145088069794E-2</v>
      </c>
    </row>
    <row r="600" spans="1:7">
      <c r="A600" s="50">
        <v>55.19</v>
      </c>
      <c r="B600" s="50">
        <v>55.39</v>
      </c>
      <c r="C600" s="50">
        <v>52.78</v>
      </c>
      <c r="D600" s="50">
        <v>52.78</v>
      </c>
      <c r="E600" s="50">
        <v>1433584</v>
      </c>
      <c r="F600" s="50" t="s">
        <v>637</v>
      </c>
      <c r="G600" s="25">
        <f t="shared" si="6"/>
        <v>4.5661235316407645E-2</v>
      </c>
    </row>
    <row r="601" spans="1:7">
      <c r="A601" s="50">
        <v>50.88</v>
      </c>
      <c r="B601" s="50">
        <v>51.05</v>
      </c>
      <c r="C601" s="50">
        <v>49.3</v>
      </c>
      <c r="D601" s="50">
        <v>50.17</v>
      </c>
      <c r="E601" s="50">
        <v>872312</v>
      </c>
      <c r="F601" s="50" t="s">
        <v>638</v>
      </c>
      <c r="G601" s="25">
        <f t="shared" si="6"/>
        <v>1.4151883595774351E-2</v>
      </c>
    </row>
    <row r="602" spans="1:7">
      <c r="A602" s="50">
        <v>48.07</v>
      </c>
      <c r="B602" s="50">
        <v>49.29</v>
      </c>
      <c r="C602" s="50">
        <v>47.265000000000001</v>
      </c>
      <c r="D602" s="50">
        <v>48.86</v>
      </c>
      <c r="E602" s="50">
        <v>721048</v>
      </c>
      <c r="F602" s="50" t="s">
        <v>639</v>
      </c>
      <c r="G602" s="25">
        <f t="shared" si="6"/>
        <v>-1.6168645108473156E-2</v>
      </c>
    </row>
    <row r="603" spans="1:7">
      <c r="A603" s="50">
        <v>49.1</v>
      </c>
      <c r="B603" s="50">
        <v>49.465000000000003</v>
      </c>
      <c r="C603" s="50">
        <v>48.03</v>
      </c>
      <c r="D603" s="50">
        <v>48.76</v>
      </c>
      <c r="E603" s="50">
        <v>683888</v>
      </c>
      <c r="F603" s="50" t="s">
        <v>640</v>
      </c>
      <c r="G603" s="25">
        <f t="shared" si="6"/>
        <v>6.9729286300246329E-3</v>
      </c>
    </row>
    <row r="604" spans="1:7">
      <c r="A604" s="50">
        <v>48.81</v>
      </c>
      <c r="B604" s="50">
        <v>50.02</v>
      </c>
      <c r="C604" s="50">
        <v>48.4</v>
      </c>
      <c r="D604" s="50">
        <v>49.82</v>
      </c>
      <c r="E604" s="50">
        <v>429944</v>
      </c>
      <c r="F604" s="50" t="s">
        <v>641</v>
      </c>
      <c r="G604" s="25">
        <f t="shared" si="6"/>
        <v>-2.0272982737856271E-2</v>
      </c>
    </row>
    <row r="605" spans="1:7">
      <c r="A605" s="50">
        <v>49</v>
      </c>
      <c r="B605" s="50">
        <v>51.115000000000002</v>
      </c>
      <c r="C605" s="50">
        <v>48.83</v>
      </c>
      <c r="D605" s="50">
        <v>50.51</v>
      </c>
      <c r="E605" s="50">
        <v>792164</v>
      </c>
      <c r="F605" s="50" t="s">
        <v>642</v>
      </c>
      <c r="G605" s="25">
        <f t="shared" si="6"/>
        <v>-2.9895070283112224E-2</v>
      </c>
    </row>
    <row r="606" spans="1:7">
      <c r="A606" s="50">
        <v>50.17</v>
      </c>
      <c r="B606" s="50">
        <v>51.57</v>
      </c>
      <c r="C606" s="50">
        <v>50.02</v>
      </c>
      <c r="D606" s="50">
        <v>51.04</v>
      </c>
      <c r="E606" s="50">
        <v>384863</v>
      </c>
      <c r="F606" s="50" t="s">
        <v>643</v>
      </c>
      <c r="G606" s="25">
        <f t="shared" si="6"/>
        <v>-1.7045454545454475E-2</v>
      </c>
    </row>
    <row r="607" spans="1:7">
      <c r="A607" s="50">
        <v>50.91</v>
      </c>
      <c r="B607" s="50">
        <v>52.994999999999997</v>
      </c>
      <c r="C607" s="50">
        <v>50.68</v>
      </c>
      <c r="D607" s="50">
        <v>52.46</v>
      </c>
      <c r="E607" s="50">
        <v>529095</v>
      </c>
      <c r="F607" s="50" t="s">
        <v>644</v>
      </c>
      <c r="G607" s="25">
        <f t="shared" si="6"/>
        <v>-2.9546321006481246E-2</v>
      </c>
    </row>
    <row r="608" spans="1:7">
      <c r="A608" s="50">
        <v>53.24</v>
      </c>
      <c r="B608" s="50">
        <v>53.75</v>
      </c>
      <c r="C608" s="50">
        <v>52.39</v>
      </c>
      <c r="D608" s="50">
        <v>52.78</v>
      </c>
      <c r="E608" s="50">
        <v>385391</v>
      </c>
      <c r="F608" s="50" t="s">
        <v>645</v>
      </c>
      <c r="G608" s="25">
        <f t="shared" si="6"/>
        <v>8.7154225085259718E-3</v>
      </c>
    </row>
    <row r="609" spans="1:7">
      <c r="A609" s="50">
        <v>52.2</v>
      </c>
      <c r="B609" s="50">
        <v>53.88</v>
      </c>
      <c r="C609" s="50">
        <v>52.16</v>
      </c>
      <c r="D609" s="50">
        <v>53.2</v>
      </c>
      <c r="E609" s="50">
        <v>474405</v>
      </c>
      <c r="F609" s="50" t="s">
        <v>646</v>
      </c>
      <c r="G609" s="25">
        <f t="shared" si="6"/>
        <v>-1.8796992481203034E-2</v>
      </c>
    </row>
    <row r="610" spans="1:7">
      <c r="A610" s="50">
        <v>53.7</v>
      </c>
      <c r="B610" s="50">
        <v>54.94</v>
      </c>
      <c r="C610" s="50">
        <v>53.17</v>
      </c>
      <c r="D610" s="50">
        <v>54.52</v>
      </c>
      <c r="E610" s="50">
        <v>602275</v>
      </c>
      <c r="F610" s="50" t="s">
        <v>647</v>
      </c>
      <c r="G610" s="25">
        <f t="shared" si="6"/>
        <v>-1.5040352164343407E-2</v>
      </c>
    </row>
    <row r="611" spans="1:7">
      <c r="A611" s="50">
        <v>54.51</v>
      </c>
      <c r="B611" s="50">
        <v>55.61</v>
      </c>
      <c r="C611" s="50">
        <v>54.01</v>
      </c>
      <c r="D611" s="50">
        <v>54.95</v>
      </c>
      <c r="E611" s="50">
        <v>496747</v>
      </c>
      <c r="F611" s="50" t="s">
        <v>648</v>
      </c>
      <c r="G611" s="25">
        <f t="shared" si="6"/>
        <v>-8.0072793448590085E-3</v>
      </c>
    </row>
    <row r="612" spans="1:7">
      <c r="A612" s="50">
        <v>54.85</v>
      </c>
      <c r="B612" s="50">
        <v>56.36</v>
      </c>
      <c r="C612" s="50">
        <v>54.74</v>
      </c>
      <c r="D612" s="50">
        <v>56.21</v>
      </c>
      <c r="E612" s="50">
        <v>344164</v>
      </c>
      <c r="F612" s="50" t="s">
        <v>649</v>
      </c>
      <c r="G612" s="25">
        <f t="shared" si="6"/>
        <v>-2.4194983099092626E-2</v>
      </c>
    </row>
    <row r="613" spans="1:7">
      <c r="A613" s="50">
        <v>56.41</v>
      </c>
      <c r="B613" s="50">
        <v>56.64</v>
      </c>
      <c r="C613" s="50">
        <v>53.88</v>
      </c>
      <c r="D613" s="50">
        <v>54.32</v>
      </c>
      <c r="E613" s="50">
        <v>537768</v>
      </c>
      <c r="F613" s="50" t="s">
        <v>650</v>
      </c>
      <c r="G613" s="25">
        <f t="shared" si="6"/>
        <v>3.8475699558173648E-2</v>
      </c>
    </row>
    <row r="614" spans="1:7">
      <c r="A614" s="50">
        <v>55.08</v>
      </c>
      <c r="B614" s="50">
        <v>55.14</v>
      </c>
      <c r="C614" s="50">
        <v>52.86</v>
      </c>
      <c r="D614" s="50">
        <v>53.15</v>
      </c>
      <c r="E614" s="50">
        <v>556099</v>
      </c>
      <c r="F614" s="50" t="s">
        <v>651</v>
      </c>
      <c r="G614" s="25">
        <f t="shared" si="6"/>
        <v>3.6312323612417652E-2</v>
      </c>
    </row>
    <row r="615" spans="1:7">
      <c r="A615" s="50">
        <v>52.52</v>
      </c>
      <c r="B615" s="50">
        <v>53.51</v>
      </c>
      <c r="C615" s="50">
        <v>52.21</v>
      </c>
      <c r="D615" s="50">
        <v>53.51</v>
      </c>
      <c r="E615" s="50">
        <v>663131</v>
      </c>
      <c r="F615" s="50" t="s">
        <v>652</v>
      </c>
      <c r="G615" s="25">
        <f t="shared" si="6"/>
        <v>-1.850121472621935E-2</v>
      </c>
    </row>
    <row r="616" spans="1:7">
      <c r="A616" s="50">
        <v>53.79</v>
      </c>
      <c r="B616" s="50">
        <v>55.75</v>
      </c>
      <c r="C616" s="50">
        <v>53.79</v>
      </c>
      <c r="D616" s="50">
        <v>55.75</v>
      </c>
      <c r="E616" s="50">
        <v>321987</v>
      </c>
      <c r="F616" s="50" t="s">
        <v>653</v>
      </c>
      <c r="G616" s="25">
        <f t="shared" si="6"/>
        <v>-3.5156950672645793E-2</v>
      </c>
    </row>
    <row r="617" spans="1:7">
      <c r="A617" s="50">
        <v>55.73</v>
      </c>
      <c r="B617" s="50">
        <v>56.13</v>
      </c>
      <c r="C617" s="50">
        <v>55.14</v>
      </c>
      <c r="D617" s="50">
        <v>55.88</v>
      </c>
      <c r="E617" s="50">
        <v>301770</v>
      </c>
      <c r="F617" s="50" t="s">
        <v>654</v>
      </c>
      <c r="G617" s="25">
        <f t="shared" si="6"/>
        <v>-2.6843235504654395E-3</v>
      </c>
    </row>
    <row r="618" spans="1:7">
      <c r="A618" s="50">
        <v>55.29</v>
      </c>
      <c r="B618" s="50">
        <v>55.91</v>
      </c>
      <c r="C618" s="50">
        <v>54.04</v>
      </c>
      <c r="D618" s="50">
        <v>54.34</v>
      </c>
      <c r="E618" s="50">
        <v>330738</v>
      </c>
      <c r="F618" s="50" t="s">
        <v>655</v>
      </c>
      <c r="G618" s="25">
        <f t="shared" si="6"/>
        <v>1.7482517482517501E-2</v>
      </c>
    </row>
    <row r="619" spans="1:7">
      <c r="A619" s="50">
        <v>54.34</v>
      </c>
      <c r="B619" s="50">
        <v>54.690100000000001</v>
      </c>
      <c r="C619" s="50">
        <v>53.432499999999997</v>
      </c>
      <c r="D619" s="50">
        <v>53.58</v>
      </c>
      <c r="E619" s="50">
        <v>241119</v>
      </c>
      <c r="F619" s="50" t="s">
        <v>656</v>
      </c>
      <c r="G619" s="25">
        <f t="shared" si="6"/>
        <v>1.4184397163120588E-2</v>
      </c>
    </row>
    <row r="620" spans="1:7">
      <c r="A620" s="50">
        <v>54.25</v>
      </c>
      <c r="B620" s="50">
        <v>54.454999999999998</v>
      </c>
      <c r="C620" s="50">
        <v>51.76</v>
      </c>
      <c r="D620" s="50">
        <v>51.76</v>
      </c>
      <c r="E620" s="50">
        <v>573526</v>
      </c>
      <c r="F620" s="50" t="s">
        <v>657</v>
      </c>
      <c r="G620" s="25">
        <f t="shared" si="6"/>
        <v>4.8106646058732716E-2</v>
      </c>
    </row>
    <row r="621" spans="1:7">
      <c r="A621" s="50">
        <v>52.44</v>
      </c>
      <c r="B621" s="50">
        <v>53.59</v>
      </c>
      <c r="C621" s="50">
        <v>52.41</v>
      </c>
      <c r="D621" s="50">
        <v>53.17</v>
      </c>
      <c r="E621" s="50">
        <v>737672</v>
      </c>
      <c r="F621" s="50" t="s">
        <v>658</v>
      </c>
      <c r="G621" s="25">
        <f t="shared" si="6"/>
        <v>-1.3729546736881759E-2</v>
      </c>
    </row>
    <row r="622" spans="1:7">
      <c r="A622" s="50">
        <v>53.35</v>
      </c>
      <c r="B622" s="50">
        <v>53.43</v>
      </c>
      <c r="C622" s="50">
        <v>52.39</v>
      </c>
      <c r="D622" s="50">
        <v>52.85</v>
      </c>
      <c r="E622" s="50">
        <v>313979</v>
      </c>
      <c r="F622" s="50" t="s">
        <v>659</v>
      </c>
      <c r="G622" s="25">
        <f t="shared" si="6"/>
        <v>9.4607379375590828E-3</v>
      </c>
    </row>
    <row r="623" spans="1:7">
      <c r="A623" s="50">
        <v>52.76</v>
      </c>
      <c r="B623" s="50">
        <v>54.83</v>
      </c>
      <c r="C623" s="50">
        <v>52.53</v>
      </c>
      <c r="D623" s="50">
        <v>54.73</v>
      </c>
      <c r="E623" s="50">
        <v>697988</v>
      </c>
      <c r="F623" s="50" t="s">
        <v>660</v>
      </c>
      <c r="G623" s="25">
        <f t="shared" si="6"/>
        <v>-3.5994883975881575E-2</v>
      </c>
    </row>
    <row r="624" spans="1:7">
      <c r="A624" s="50">
        <v>53.83</v>
      </c>
      <c r="B624" s="50">
        <v>55.23</v>
      </c>
      <c r="C624" s="50">
        <v>53.66</v>
      </c>
      <c r="D624" s="50">
        <v>55.23</v>
      </c>
      <c r="E624" s="50">
        <v>522791</v>
      </c>
      <c r="F624" s="50" t="s">
        <v>661</v>
      </c>
      <c r="G624" s="25">
        <f t="shared" si="6"/>
        <v>-2.5348542458808576E-2</v>
      </c>
    </row>
    <row r="625" spans="1:7">
      <c r="A625" s="50">
        <v>55.47</v>
      </c>
      <c r="B625" s="50">
        <v>55.75</v>
      </c>
      <c r="C625" s="50">
        <v>54.08</v>
      </c>
      <c r="D625" s="50">
        <v>54.3</v>
      </c>
      <c r="E625" s="50">
        <v>792960</v>
      </c>
      <c r="F625" s="50" t="s">
        <v>662</v>
      </c>
      <c r="G625" s="25">
        <f t="shared" si="6"/>
        <v>2.1546961325966896E-2</v>
      </c>
    </row>
    <row r="626" spans="1:7">
      <c r="A626" s="50">
        <v>53.49</v>
      </c>
      <c r="B626" s="50">
        <v>54.04</v>
      </c>
      <c r="C626" s="50">
        <v>52.28</v>
      </c>
      <c r="D626" s="50">
        <v>52.51</v>
      </c>
      <c r="E626" s="50">
        <v>663669</v>
      </c>
      <c r="F626" s="50" t="s">
        <v>663</v>
      </c>
      <c r="G626" s="25">
        <f t="shared" si="6"/>
        <v>1.866311178823099E-2</v>
      </c>
    </row>
    <row r="627" spans="1:7">
      <c r="A627" s="50">
        <v>52.61</v>
      </c>
      <c r="B627" s="50">
        <v>53.79</v>
      </c>
      <c r="C627" s="50">
        <v>52.49</v>
      </c>
      <c r="D627" s="50">
        <v>53.46</v>
      </c>
      <c r="E627" s="50">
        <v>683575</v>
      </c>
      <c r="F627" s="50" t="s">
        <v>664</v>
      </c>
      <c r="G627" s="25">
        <f t="shared" si="6"/>
        <v>-1.5899738121960327E-2</v>
      </c>
    </row>
    <row r="628" spans="1:7">
      <c r="A628" s="50">
        <v>52.8</v>
      </c>
      <c r="B628" s="50">
        <v>55.7</v>
      </c>
      <c r="C628" s="50">
        <v>52.71</v>
      </c>
      <c r="D628" s="50">
        <v>55.21</v>
      </c>
      <c r="E628" s="50">
        <v>858421</v>
      </c>
      <c r="F628" s="50" t="s">
        <v>665</v>
      </c>
      <c r="G628" s="25">
        <f t="shared" si="6"/>
        <v>-4.3651512407172688E-2</v>
      </c>
    </row>
    <row r="629" spans="1:7">
      <c r="A629" s="50">
        <v>55.64</v>
      </c>
      <c r="B629" s="50">
        <v>55.89</v>
      </c>
      <c r="C629" s="50">
        <v>53.66</v>
      </c>
      <c r="D629" s="50">
        <v>54.06</v>
      </c>
      <c r="E629" s="50">
        <v>577296</v>
      </c>
      <c r="F629" s="50" t="s">
        <v>666</v>
      </c>
      <c r="G629" s="25">
        <f t="shared" si="6"/>
        <v>2.9226785053644067E-2</v>
      </c>
    </row>
    <row r="630" spans="1:7">
      <c r="A630" s="50">
        <v>54.6</v>
      </c>
      <c r="B630" s="50">
        <v>54.77</v>
      </c>
      <c r="C630" s="50">
        <v>53.136299999999999</v>
      </c>
      <c r="D630" s="50">
        <v>53.51</v>
      </c>
      <c r="E630" s="50">
        <v>807569</v>
      </c>
      <c r="F630" s="50" t="s">
        <v>667</v>
      </c>
      <c r="G630" s="25">
        <f t="shared" si="6"/>
        <v>2.0370024294524391E-2</v>
      </c>
    </row>
    <row r="631" spans="1:7">
      <c r="A631" s="50">
        <v>52.94</v>
      </c>
      <c r="B631" s="50">
        <v>54.63</v>
      </c>
      <c r="C631" s="50">
        <v>52.93</v>
      </c>
      <c r="D631" s="50">
        <v>54.17</v>
      </c>
      <c r="E631" s="50">
        <v>703970</v>
      </c>
      <c r="F631" s="50" t="s">
        <v>668</v>
      </c>
      <c r="G631" s="25">
        <f t="shared" si="6"/>
        <v>-2.270629499723098E-2</v>
      </c>
    </row>
    <row r="632" spans="1:7">
      <c r="A632" s="50">
        <v>54.91</v>
      </c>
      <c r="B632" s="50">
        <v>55.755000000000003</v>
      </c>
      <c r="C632" s="50">
        <v>54.6</v>
      </c>
      <c r="D632" s="50">
        <v>55.17</v>
      </c>
      <c r="E632" s="50">
        <v>380126</v>
      </c>
      <c r="F632" s="50" t="s">
        <v>669</v>
      </c>
      <c r="G632" s="25">
        <f t="shared" si="6"/>
        <v>-4.7127061808954762E-3</v>
      </c>
    </row>
    <row r="633" spans="1:7">
      <c r="A633" s="50">
        <v>55.07</v>
      </c>
      <c r="B633" s="50">
        <v>55.734999999999999</v>
      </c>
      <c r="C633" s="50">
        <v>54.67</v>
      </c>
      <c r="D633" s="50">
        <v>55.57</v>
      </c>
      <c r="E633" s="50">
        <v>452520</v>
      </c>
      <c r="F633" s="50" t="s">
        <v>670</v>
      </c>
      <c r="G633" s="25">
        <f t="shared" si="6"/>
        <v>-8.9976606082418087E-3</v>
      </c>
    </row>
    <row r="634" spans="1:7">
      <c r="A634" s="50">
        <v>55.71</v>
      </c>
      <c r="B634" s="50">
        <v>56.2</v>
      </c>
      <c r="C634" s="50">
        <v>55.02</v>
      </c>
      <c r="D634" s="50">
        <v>55.49</v>
      </c>
      <c r="E634" s="50">
        <v>433373</v>
      </c>
      <c r="F634" s="50" t="s">
        <v>671</v>
      </c>
      <c r="G634" s="25">
        <f t="shared" si="6"/>
        <v>3.9646783204181357E-3</v>
      </c>
    </row>
    <row r="635" spans="1:7">
      <c r="A635" s="50">
        <v>55.62</v>
      </c>
      <c r="B635" s="50">
        <v>55.96</v>
      </c>
      <c r="C635" s="50">
        <v>54.97</v>
      </c>
      <c r="D635" s="50">
        <v>55.75</v>
      </c>
      <c r="E635" s="50">
        <v>1048909</v>
      </c>
      <c r="F635" s="50" t="s">
        <v>672</v>
      </c>
      <c r="G635" s="25">
        <f t="shared" si="6"/>
        <v>-2.3318385650225038E-3</v>
      </c>
    </row>
    <row r="636" spans="1:7">
      <c r="A636" s="50">
        <v>55.81</v>
      </c>
      <c r="B636" s="50">
        <v>56.5</v>
      </c>
      <c r="C636" s="50">
        <v>55.46</v>
      </c>
      <c r="D636" s="50">
        <v>56.23</v>
      </c>
      <c r="E636" s="50">
        <v>636165</v>
      </c>
      <c r="F636" s="50" t="s">
        <v>673</v>
      </c>
      <c r="G636" s="25">
        <f t="shared" si="6"/>
        <v>-7.469322425751268E-3</v>
      </c>
    </row>
    <row r="637" spans="1:7">
      <c r="A637" s="50">
        <v>55.83</v>
      </c>
      <c r="B637" s="50">
        <v>55.96</v>
      </c>
      <c r="C637" s="50">
        <v>55.02</v>
      </c>
      <c r="D637" s="50">
        <v>55.43</v>
      </c>
      <c r="E637" s="50">
        <v>409292</v>
      </c>
      <c r="F637" s="50" t="s">
        <v>674</v>
      </c>
      <c r="G637" s="25">
        <f t="shared" si="6"/>
        <v>7.2163088580190493E-3</v>
      </c>
    </row>
    <row r="638" spans="1:7">
      <c r="A638" s="50">
        <v>55.62</v>
      </c>
      <c r="B638" s="50">
        <v>56.7699</v>
      </c>
      <c r="C638" s="50">
        <v>55.57</v>
      </c>
      <c r="D638" s="50">
        <v>56.52</v>
      </c>
      <c r="E638" s="50">
        <v>398695</v>
      </c>
      <c r="F638" s="50" t="s">
        <v>675</v>
      </c>
      <c r="G638" s="25">
        <f t="shared" si="6"/>
        <v>-1.5923566878980999E-2</v>
      </c>
    </row>
    <row r="639" spans="1:7">
      <c r="A639" s="50">
        <v>56.93</v>
      </c>
      <c r="B639" s="50">
        <v>56.95</v>
      </c>
      <c r="C639" s="50">
        <v>55.284999999999997</v>
      </c>
      <c r="D639" s="50">
        <v>56.31</v>
      </c>
      <c r="E639" s="50">
        <v>624841</v>
      </c>
      <c r="F639" s="50" t="s">
        <v>676</v>
      </c>
      <c r="G639" s="25">
        <f t="shared" si="6"/>
        <v>1.1010477712662059E-2</v>
      </c>
    </row>
    <row r="640" spans="1:7">
      <c r="A640" s="50">
        <v>56.1</v>
      </c>
      <c r="B640" s="50">
        <v>57.54</v>
      </c>
      <c r="C640" s="50">
        <v>55.61</v>
      </c>
      <c r="D640" s="50">
        <v>56.73</v>
      </c>
      <c r="E640" s="50">
        <v>394858</v>
      </c>
      <c r="F640" s="50" t="s">
        <v>677</v>
      </c>
      <c r="G640" s="25">
        <f t="shared" si="6"/>
        <v>-1.1105235325224672E-2</v>
      </c>
    </row>
    <row r="641" spans="1:7">
      <c r="A641" s="50">
        <v>56.49</v>
      </c>
      <c r="B641" s="50">
        <v>56.652500000000003</v>
      </c>
      <c r="C641" s="50">
        <v>55.3</v>
      </c>
      <c r="D641" s="50">
        <v>55.44</v>
      </c>
      <c r="E641" s="50">
        <v>494265</v>
      </c>
      <c r="F641" s="50" t="s">
        <v>678</v>
      </c>
      <c r="G641" s="25">
        <f t="shared" si="6"/>
        <v>1.8939393939394034E-2</v>
      </c>
    </row>
    <row r="642" spans="1:7">
      <c r="A642" s="50">
        <v>56.49</v>
      </c>
      <c r="B642" s="50">
        <v>57.3</v>
      </c>
      <c r="C642" s="50">
        <v>55.63</v>
      </c>
      <c r="D642" s="50">
        <v>56.66</v>
      </c>
      <c r="E642" s="50">
        <v>844995</v>
      </c>
      <c r="F642" s="50" t="s">
        <v>679</v>
      </c>
      <c r="G642" s="25">
        <f t="shared" si="6"/>
        <v>-3.0003529827037356E-3</v>
      </c>
    </row>
    <row r="643" spans="1:7">
      <c r="A643" s="50">
        <v>56.85</v>
      </c>
      <c r="B643" s="50">
        <v>58.25</v>
      </c>
      <c r="C643" s="50">
        <v>56.8</v>
      </c>
      <c r="D643" s="50">
        <v>57.76</v>
      </c>
      <c r="E643" s="50">
        <v>500704</v>
      </c>
      <c r="F643" s="50" t="s">
        <v>680</v>
      </c>
      <c r="G643" s="25">
        <f t="shared" si="6"/>
        <v>-1.5754847645429337E-2</v>
      </c>
    </row>
    <row r="644" spans="1:7">
      <c r="A644" s="50">
        <v>58.36</v>
      </c>
      <c r="B644" s="50">
        <v>60.79</v>
      </c>
      <c r="C644" s="50">
        <v>58.21</v>
      </c>
      <c r="D644" s="50">
        <v>60.34</v>
      </c>
      <c r="E644" s="50">
        <v>689298</v>
      </c>
      <c r="F644" s="50" t="s">
        <v>681</v>
      </c>
      <c r="G644" s="25">
        <f t="shared" si="6"/>
        <v>-3.2814053695724321E-2</v>
      </c>
    </row>
    <row r="645" spans="1:7">
      <c r="A645" s="50">
        <v>60.06</v>
      </c>
      <c r="B645" s="50">
        <v>60.6</v>
      </c>
      <c r="C645" s="50">
        <v>59.52</v>
      </c>
      <c r="D645" s="50">
        <v>59.52</v>
      </c>
      <c r="E645" s="50">
        <v>792767</v>
      </c>
      <c r="F645" s="50" t="s">
        <v>682</v>
      </c>
      <c r="G645" s="25">
        <f t="shared" si="6"/>
        <v>9.0725806451612545E-3</v>
      </c>
    </row>
    <row r="646" spans="1:7">
      <c r="A646" s="50">
        <v>59.52</v>
      </c>
      <c r="B646" s="50">
        <v>59.87</v>
      </c>
      <c r="C646" s="50">
        <v>56.725000000000001</v>
      </c>
      <c r="D646" s="50">
        <v>56.79</v>
      </c>
      <c r="E646" s="50">
        <v>1119058</v>
      </c>
      <c r="F646" s="50" t="s">
        <v>683</v>
      </c>
      <c r="G646" s="25">
        <f t="shared" si="6"/>
        <v>4.8071843634442724E-2</v>
      </c>
    </row>
    <row r="647" spans="1:7">
      <c r="A647" s="50">
        <v>57.07</v>
      </c>
      <c r="B647" s="50">
        <v>57.44</v>
      </c>
      <c r="C647" s="50">
        <v>55.03</v>
      </c>
      <c r="D647" s="50">
        <v>55.46</v>
      </c>
      <c r="E647" s="50">
        <v>1043906</v>
      </c>
      <c r="F647" s="50" t="s">
        <v>684</v>
      </c>
      <c r="G647" s="25">
        <f t="shared" si="6"/>
        <v>2.9029931482149385E-2</v>
      </c>
    </row>
    <row r="648" spans="1:7">
      <c r="A648" s="50">
        <v>55.43</v>
      </c>
      <c r="B648" s="50">
        <v>55.61</v>
      </c>
      <c r="C648" s="50">
        <v>53.45</v>
      </c>
      <c r="D648" s="50">
        <v>53.94</v>
      </c>
      <c r="E648" s="50">
        <v>719092</v>
      </c>
      <c r="F648" s="50" t="s">
        <v>685</v>
      </c>
      <c r="G648" s="25">
        <f t="shared" ref="G648:G711" si="7">A648/D648-1</f>
        <v>2.7623285131627817E-2</v>
      </c>
    </row>
    <row r="649" spans="1:7">
      <c r="A649" s="50">
        <v>53.62</v>
      </c>
      <c r="B649" s="50">
        <v>53.87</v>
      </c>
      <c r="C649" s="50">
        <v>51.92</v>
      </c>
      <c r="D649" s="50">
        <v>52.35</v>
      </c>
      <c r="E649" s="50">
        <v>856595</v>
      </c>
      <c r="F649" s="50" t="s">
        <v>686</v>
      </c>
      <c r="G649" s="25">
        <f t="shared" si="7"/>
        <v>2.4259789875835658E-2</v>
      </c>
    </row>
    <row r="650" spans="1:7">
      <c r="A650" s="50">
        <v>52.37</v>
      </c>
      <c r="B650" s="50">
        <v>52.85</v>
      </c>
      <c r="C650" s="50">
        <v>52.02</v>
      </c>
      <c r="D650" s="50">
        <v>52.63</v>
      </c>
      <c r="E650" s="50">
        <v>375655</v>
      </c>
      <c r="F650" s="50" t="s">
        <v>687</v>
      </c>
      <c r="G650" s="25">
        <f t="shared" si="7"/>
        <v>-4.9401482044462153E-3</v>
      </c>
    </row>
    <row r="651" spans="1:7">
      <c r="A651" s="50">
        <v>52.66</v>
      </c>
      <c r="B651" s="50">
        <v>52.83</v>
      </c>
      <c r="C651" s="50">
        <v>51.69</v>
      </c>
      <c r="D651" s="50">
        <v>51.7</v>
      </c>
      <c r="E651" s="50">
        <v>256838</v>
      </c>
      <c r="F651" s="50" t="s">
        <v>688</v>
      </c>
      <c r="G651" s="25">
        <f t="shared" si="7"/>
        <v>1.8568665377175941E-2</v>
      </c>
    </row>
    <row r="652" spans="1:7">
      <c r="A652" s="50">
        <v>51.71</v>
      </c>
      <c r="B652" s="50">
        <v>52.8</v>
      </c>
      <c r="C652" s="50">
        <v>51.575000000000003</v>
      </c>
      <c r="D652" s="50">
        <v>52.5</v>
      </c>
      <c r="E652" s="50">
        <v>502632</v>
      </c>
      <c r="F652" s="50" t="s">
        <v>689</v>
      </c>
      <c r="G652" s="25">
        <f t="shared" si="7"/>
        <v>-1.5047619047618976E-2</v>
      </c>
    </row>
    <row r="653" spans="1:7">
      <c r="A653" s="50">
        <v>51.98</v>
      </c>
      <c r="B653" s="50">
        <v>52.734999999999999</v>
      </c>
      <c r="C653" s="50">
        <v>51.23</v>
      </c>
      <c r="D653" s="50">
        <v>52</v>
      </c>
      <c r="E653" s="50">
        <v>378242</v>
      </c>
      <c r="F653" s="50" t="s">
        <v>690</v>
      </c>
      <c r="G653" s="25">
        <f t="shared" si="7"/>
        <v>-3.8461538461542766E-4</v>
      </c>
    </row>
    <row r="654" spans="1:7">
      <c r="A654" s="50">
        <v>52.07</v>
      </c>
      <c r="B654" s="50">
        <v>52.45</v>
      </c>
      <c r="C654" s="50">
        <v>49.63</v>
      </c>
      <c r="D654" s="50">
        <v>49.69</v>
      </c>
      <c r="E654" s="50">
        <v>655960</v>
      </c>
      <c r="F654" s="50" t="s">
        <v>691</v>
      </c>
      <c r="G654" s="25">
        <f t="shared" si="7"/>
        <v>4.7896961159187068E-2</v>
      </c>
    </row>
    <row r="655" spans="1:7">
      <c r="A655" s="50">
        <v>50.69</v>
      </c>
      <c r="B655" s="50">
        <v>51.3</v>
      </c>
      <c r="C655" s="50">
        <v>50.274999999999999</v>
      </c>
      <c r="D655" s="50">
        <v>51.3</v>
      </c>
      <c r="E655" s="50">
        <v>662322</v>
      </c>
      <c r="F655" s="50" t="s">
        <v>692</v>
      </c>
      <c r="G655" s="25">
        <f t="shared" si="7"/>
        <v>-1.1890838206627619E-2</v>
      </c>
    </row>
    <row r="656" spans="1:7">
      <c r="A656" s="50">
        <v>50.92</v>
      </c>
      <c r="B656" s="50">
        <v>51.36</v>
      </c>
      <c r="C656" s="50">
        <v>50.137700000000002</v>
      </c>
      <c r="D656" s="50">
        <v>50.32</v>
      </c>
      <c r="E656" s="50">
        <v>552993</v>
      </c>
      <c r="F656" s="50" t="s">
        <v>693</v>
      </c>
      <c r="G656" s="25">
        <f t="shared" si="7"/>
        <v>1.1923688394276599E-2</v>
      </c>
    </row>
    <row r="657" spans="1:7">
      <c r="A657" s="50">
        <v>50.56</v>
      </c>
      <c r="B657" s="50">
        <v>51.695</v>
      </c>
      <c r="C657" s="50">
        <v>50.27</v>
      </c>
      <c r="D657" s="50">
        <v>51.63</v>
      </c>
      <c r="E657" s="50">
        <v>610610</v>
      </c>
      <c r="F657" s="50" t="s">
        <v>694</v>
      </c>
      <c r="G657" s="25">
        <f t="shared" si="7"/>
        <v>-2.0724385047452998E-2</v>
      </c>
    </row>
    <row r="658" spans="1:7">
      <c r="A658" s="50">
        <v>52.2</v>
      </c>
      <c r="B658" s="50">
        <v>52.46</v>
      </c>
      <c r="C658" s="50">
        <v>51.21</v>
      </c>
      <c r="D658" s="50">
        <v>51.49</v>
      </c>
      <c r="E658" s="50">
        <v>467375</v>
      </c>
      <c r="F658" s="50" t="s">
        <v>695</v>
      </c>
      <c r="G658" s="25">
        <f t="shared" si="7"/>
        <v>1.3789085259273692E-2</v>
      </c>
    </row>
    <row r="659" spans="1:7">
      <c r="A659" s="50">
        <v>52.06</v>
      </c>
      <c r="B659" s="50">
        <v>52.38</v>
      </c>
      <c r="C659" s="50">
        <v>49.87</v>
      </c>
      <c r="D659" s="50">
        <v>50.1</v>
      </c>
      <c r="E659" s="50">
        <v>844399</v>
      </c>
      <c r="F659" s="50" t="s">
        <v>696</v>
      </c>
      <c r="G659" s="25">
        <f t="shared" si="7"/>
        <v>3.9121756487025872E-2</v>
      </c>
    </row>
    <row r="660" spans="1:7">
      <c r="A660" s="50">
        <v>50.54</v>
      </c>
      <c r="B660" s="50">
        <v>50.59</v>
      </c>
      <c r="C660" s="50">
        <v>49.34</v>
      </c>
      <c r="D660" s="50">
        <v>50.29</v>
      </c>
      <c r="E660" s="50">
        <v>853766</v>
      </c>
      <c r="F660" s="50" t="s">
        <v>697</v>
      </c>
      <c r="G660" s="25">
        <f t="shared" si="7"/>
        <v>4.9711672300656318E-3</v>
      </c>
    </row>
    <row r="661" spans="1:7">
      <c r="A661" s="50">
        <v>48.93</v>
      </c>
      <c r="B661" s="50">
        <v>51.74</v>
      </c>
      <c r="C661" s="50">
        <v>48.22</v>
      </c>
      <c r="D661" s="50">
        <v>50.86</v>
      </c>
      <c r="E661" s="50">
        <v>2050205</v>
      </c>
      <c r="F661" s="50" t="s">
        <v>698</v>
      </c>
      <c r="G661" s="25">
        <f t="shared" si="7"/>
        <v>-3.7947306331104991E-2</v>
      </c>
    </row>
    <row r="662" spans="1:7">
      <c r="A662" s="50">
        <v>52.48</v>
      </c>
      <c r="B662" s="50">
        <v>53.39</v>
      </c>
      <c r="C662" s="50">
        <v>52.28</v>
      </c>
      <c r="D662" s="50">
        <v>53.18</v>
      </c>
      <c r="E662" s="50">
        <v>1011295</v>
      </c>
      <c r="F662" s="50" t="s">
        <v>699</v>
      </c>
      <c r="G662" s="25">
        <f t="shared" si="7"/>
        <v>-1.3162843174125638E-2</v>
      </c>
    </row>
    <row r="663" spans="1:7">
      <c r="A663" s="50">
        <v>54.37</v>
      </c>
      <c r="B663" s="50">
        <v>54.625999999999998</v>
      </c>
      <c r="C663" s="50">
        <v>53.27</v>
      </c>
      <c r="D663" s="50">
        <v>54.19</v>
      </c>
      <c r="E663" s="50">
        <v>369682</v>
      </c>
      <c r="F663" s="50" t="s">
        <v>700</v>
      </c>
      <c r="G663" s="25">
        <f t="shared" si="7"/>
        <v>3.3216460601586117E-3</v>
      </c>
    </row>
    <row r="664" spans="1:7">
      <c r="A664" s="50">
        <v>53.96</v>
      </c>
      <c r="B664" s="50">
        <v>55.29</v>
      </c>
      <c r="C664" s="50">
        <v>53.862299999999998</v>
      </c>
      <c r="D664" s="50">
        <v>54.83</v>
      </c>
      <c r="E664" s="50">
        <v>588800</v>
      </c>
      <c r="F664" s="50" t="s">
        <v>701</v>
      </c>
      <c r="G664" s="25">
        <f t="shared" si="7"/>
        <v>-1.5867225971183618E-2</v>
      </c>
    </row>
    <row r="665" spans="1:7">
      <c r="A665" s="50">
        <v>54.38</v>
      </c>
      <c r="B665" s="50">
        <v>55.045000000000002</v>
      </c>
      <c r="C665" s="50">
        <v>54.19</v>
      </c>
      <c r="D665" s="50">
        <v>54.5</v>
      </c>
      <c r="E665" s="50">
        <v>444291</v>
      </c>
      <c r="F665" s="50" t="s">
        <v>702</v>
      </c>
      <c r="G665" s="25">
        <f t="shared" si="7"/>
        <v>-2.2018348623852324E-3</v>
      </c>
    </row>
    <row r="666" spans="1:7">
      <c r="A666" s="50">
        <v>54.98</v>
      </c>
      <c r="B666" s="50">
        <v>56.74</v>
      </c>
      <c r="C666" s="50">
        <v>54.94</v>
      </c>
      <c r="D666" s="50">
        <v>56.74</v>
      </c>
      <c r="E666" s="50">
        <v>516126</v>
      </c>
      <c r="F666" s="50" t="s">
        <v>703</v>
      </c>
      <c r="G666" s="25">
        <f t="shared" si="7"/>
        <v>-3.1018681706027618E-2</v>
      </c>
    </row>
    <row r="667" spans="1:7">
      <c r="A667" s="50">
        <v>58.54</v>
      </c>
      <c r="B667" s="50">
        <v>58.8</v>
      </c>
      <c r="C667" s="50">
        <v>56.94</v>
      </c>
      <c r="D667" s="50">
        <v>57.62</v>
      </c>
      <c r="E667" s="50">
        <v>555702</v>
      </c>
      <c r="F667" s="50" t="s">
        <v>704</v>
      </c>
      <c r="G667" s="25">
        <f t="shared" si="7"/>
        <v>1.5966678236723375E-2</v>
      </c>
    </row>
    <row r="668" spans="1:7">
      <c r="A668" s="50">
        <v>58.08</v>
      </c>
      <c r="B668" s="50">
        <v>58.26</v>
      </c>
      <c r="C668" s="50">
        <v>56.6</v>
      </c>
      <c r="D668" s="50">
        <v>56.6</v>
      </c>
      <c r="E668" s="50">
        <v>525147</v>
      </c>
      <c r="F668" s="50" t="s">
        <v>705</v>
      </c>
      <c r="G668" s="25">
        <f t="shared" si="7"/>
        <v>2.6148409893992808E-2</v>
      </c>
    </row>
    <row r="669" spans="1:7">
      <c r="A669" s="50">
        <v>56.63</v>
      </c>
      <c r="B669" s="50">
        <v>57.335000000000001</v>
      </c>
      <c r="C669" s="50">
        <v>56.38</v>
      </c>
      <c r="D669" s="50">
        <v>56.52</v>
      </c>
      <c r="E669" s="50">
        <v>479309</v>
      </c>
      <c r="F669" s="50" t="s">
        <v>706</v>
      </c>
      <c r="G669" s="25">
        <f t="shared" si="7"/>
        <v>1.9462137296533122E-3</v>
      </c>
    </row>
    <row r="670" spans="1:7">
      <c r="A670" s="50">
        <v>55.61</v>
      </c>
      <c r="B670" s="50">
        <v>57.25</v>
      </c>
      <c r="C670" s="50">
        <v>55.24</v>
      </c>
      <c r="D670" s="50">
        <v>57.12</v>
      </c>
      <c r="E670" s="50">
        <v>395169</v>
      </c>
      <c r="F670" s="50" t="s">
        <v>707</v>
      </c>
      <c r="G670" s="25">
        <f t="shared" si="7"/>
        <v>-2.6435574229691894E-2</v>
      </c>
    </row>
    <row r="671" spans="1:7">
      <c r="A671" s="50">
        <v>56.5</v>
      </c>
      <c r="B671" s="50">
        <v>56.64</v>
      </c>
      <c r="C671" s="50">
        <v>55.862099999999998</v>
      </c>
      <c r="D671" s="50">
        <v>56.64</v>
      </c>
      <c r="E671" s="50">
        <v>404420</v>
      </c>
      <c r="F671" s="50" t="s">
        <v>708</v>
      </c>
      <c r="G671" s="25">
        <f t="shared" si="7"/>
        <v>-2.4717514124293904E-3</v>
      </c>
    </row>
    <row r="672" spans="1:7">
      <c r="A672" s="50">
        <v>56.85</v>
      </c>
      <c r="B672" s="50">
        <v>56.86</v>
      </c>
      <c r="C672" s="50">
        <v>55.250100000000003</v>
      </c>
      <c r="D672" s="50">
        <v>55.93</v>
      </c>
      <c r="E672" s="50">
        <v>594691</v>
      </c>
      <c r="F672" s="50" t="s">
        <v>709</v>
      </c>
      <c r="G672" s="25">
        <f t="shared" si="7"/>
        <v>1.6449132844627234E-2</v>
      </c>
    </row>
    <row r="673" spans="1:7">
      <c r="A673" s="50">
        <v>55.93</v>
      </c>
      <c r="B673" s="50">
        <v>56.24</v>
      </c>
      <c r="C673" s="50">
        <v>54.41</v>
      </c>
      <c r="D673" s="50">
        <v>54.99</v>
      </c>
      <c r="E673" s="50">
        <v>697820</v>
      </c>
      <c r="F673" s="50" t="s">
        <v>710</v>
      </c>
      <c r="G673" s="25">
        <f t="shared" si="7"/>
        <v>1.7094017094017033E-2</v>
      </c>
    </row>
    <row r="674" spans="1:7">
      <c r="A674" s="50">
        <v>54.82</v>
      </c>
      <c r="B674" s="50">
        <v>56.89</v>
      </c>
      <c r="C674" s="50">
        <v>54.756999999999998</v>
      </c>
      <c r="D674" s="50">
        <v>56.84</v>
      </c>
      <c r="E674" s="50">
        <v>761600</v>
      </c>
      <c r="F674" s="50" t="s">
        <v>711</v>
      </c>
      <c r="G674" s="25">
        <f t="shared" si="7"/>
        <v>-3.5538353272343448E-2</v>
      </c>
    </row>
    <row r="675" spans="1:7">
      <c r="A675" s="50">
        <v>56.05</v>
      </c>
      <c r="B675" s="50">
        <v>58.11</v>
      </c>
      <c r="C675" s="50">
        <v>55.82</v>
      </c>
      <c r="D675" s="50">
        <v>57.49</v>
      </c>
      <c r="E675" s="50">
        <v>489074</v>
      </c>
      <c r="F675" s="50" t="s">
        <v>712</v>
      </c>
      <c r="G675" s="25">
        <f t="shared" si="7"/>
        <v>-2.5047834405983682E-2</v>
      </c>
    </row>
    <row r="676" spans="1:7">
      <c r="A676" s="50">
        <v>57.89</v>
      </c>
      <c r="B676" s="50">
        <v>58.715000000000003</v>
      </c>
      <c r="C676" s="50">
        <v>57.22</v>
      </c>
      <c r="D676" s="50">
        <v>57.81</v>
      </c>
      <c r="E676" s="50">
        <v>782396</v>
      </c>
      <c r="F676" s="50" t="s">
        <v>713</v>
      </c>
      <c r="G676" s="25">
        <f t="shared" si="7"/>
        <v>1.3838436256703446E-3</v>
      </c>
    </row>
    <row r="677" spans="1:7">
      <c r="A677" s="50">
        <v>57.06</v>
      </c>
      <c r="B677" s="50">
        <v>57.19</v>
      </c>
      <c r="C677" s="50">
        <v>56.27</v>
      </c>
      <c r="D677" s="50">
        <v>56.64</v>
      </c>
      <c r="E677" s="50">
        <v>460180</v>
      </c>
      <c r="F677" s="50" t="s">
        <v>714</v>
      </c>
      <c r="G677" s="25">
        <f t="shared" si="7"/>
        <v>7.4152542372880603E-3</v>
      </c>
    </row>
    <row r="678" spans="1:7">
      <c r="A678" s="50">
        <v>56.79</v>
      </c>
      <c r="B678" s="50">
        <v>57.024999999999999</v>
      </c>
      <c r="C678" s="50">
        <v>54.6</v>
      </c>
      <c r="D678" s="50">
        <v>54.8</v>
      </c>
      <c r="E678" s="50">
        <v>554713</v>
      </c>
      <c r="F678" s="50" t="s">
        <v>715</v>
      </c>
      <c r="G678" s="25">
        <f t="shared" si="7"/>
        <v>3.6313868613138789E-2</v>
      </c>
    </row>
    <row r="679" spans="1:7">
      <c r="A679" s="50">
        <v>54.99</v>
      </c>
      <c r="B679" s="50">
        <v>56.987499999999997</v>
      </c>
      <c r="C679" s="50">
        <v>54.76</v>
      </c>
      <c r="D679" s="50">
        <v>56.6</v>
      </c>
      <c r="E679" s="50">
        <v>445906</v>
      </c>
      <c r="F679" s="50" t="s">
        <v>716</v>
      </c>
      <c r="G679" s="25">
        <f t="shared" si="7"/>
        <v>-2.8445229681978823E-2</v>
      </c>
    </row>
    <row r="680" spans="1:7">
      <c r="A680" s="50">
        <v>56.8</v>
      </c>
      <c r="B680" s="50">
        <v>57.19</v>
      </c>
      <c r="C680" s="50">
        <v>55.04</v>
      </c>
      <c r="D680" s="50">
        <v>55.87</v>
      </c>
      <c r="E680" s="50">
        <v>464094</v>
      </c>
      <c r="F680" s="50" t="s">
        <v>717</v>
      </c>
      <c r="G680" s="25">
        <f t="shared" si="7"/>
        <v>1.6645784857705292E-2</v>
      </c>
    </row>
    <row r="681" spans="1:7">
      <c r="A681" s="50">
        <v>55.63</v>
      </c>
      <c r="B681" s="50">
        <v>56.23</v>
      </c>
      <c r="C681" s="50">
        <v>55.07</v>
      </c>
      <c r="D681" s="50">
        <v>56</v>
      </c>
      <c r="E681" s="50">
        <v>364317</v>
      </c>
      <c r="F681" s="50" t="s">
        <v>718</v>
      </c>
      <c r="G681" s="25">
        <f t="shared" si="7"/>
        <v>-6.6071428571428115E-3</v>
      </c>
    </row>
    <row r="682" spans="1:7">
      <c r="A682" s="50">
        <v>54.75</v>
      </c>
      <c r="B682" s="50">
        <v>54.8</v>
      </c>
      <c r="C682" s="50">
        <v>53.8</v>
      </c>
      <c r="D682" s="50">
        <v>54.35</v>
      </c>
      <c r="E682" s="50">
        <v>421970</v>
      </c>
      <c r="F682" s="50" t="s">
        <v>719</v>
      </c>
      <c r="G682" s="25">
        <f t="shared" si="7"/>
        <v>7.3597056117755688E-3</v>
      </c>
    </row>
    <row r="683" spans="1:7">
      <c r="A683" s="50">
        <v>54.18</v>
      </c>
      <c r="B683" s="50">
        <v>54.674999999999997</v>
      </c>
      <c r="C683" s="50">
        <v>52.66</v>
      </c>
      <c r="D683" s="50">
        <v>52.66</v>
      </c>
      <c r="E683" s="50">
        <v>676263</v>
      </c>
      <c r="F683" s="50" t="s">
        <v>720</v>
      </c>
      <c r="G683" s="25">
        <f t="shared" si="7"/>
        <v>2.886441321686295E-2</v>
      </c>
    </row>
    <row r="684" spans="1:7">
      <c r="A684" s="50">
        <v>53.06</v>
      </c>
      <c r="B684" s="50">
        <v>53.8</v>
      </c>
      <c r="C684" s="50">
        <v>52.99</v>
      </c>
      <c r="D684" s="50">
        <v>52.99</v>
      </c>
      <c r="E684" s="50">
        <v>520068</v>
      </c>
      <c r="F684" s="50" t="s">
        <v>721</v>
      </c>
      <c r="G684" s="25">
        <f t="shared" si="7"/>
        <v>1.3210039630118242E-3</v>
      </c>
    </row>
    <row r="685" spans="1:7">
      <c r="A685" s="50">
        <v>53.08</v>
      </c>
      <c r="B685" s="50">
        <v>53.45</v>
      </c>
      <c r="C685" s="50">
        <v>52.48</v>
      </c>
      <c r="D685" s="50">
        <v>52.89</v>
      </c>
      <c r="E685" s="50">
        <v>495348</v>
      </c>
      <c r="F685" s="50" t="s">
        <v>722</v>
      </c>
      <c r="G685" s="25">
        <f t="shared" si="7"/>
        <v>3.5923615050104107E-3</v>
      </c>
    </row>
    <row r="686" spans="1:7">
      <c r="A686" s="50">
        <v>53.97</v>
      </c>
      <c r="B686" s="50">
        <v>54.9</v>
      </c>
      <c r="C686" s="50">
        <v>52.401299999999999</v>
      </c>
      <c r="D686" s="50">
        <v>53.38</v>
      </c>
      <c r="E686" s="50">
        <v>647448</v>
      </c>
      <c r="F686" s="50" t="s">
        <v>723</v>
      </c>
      <c r="G686" s="25">
        <f t="shared" si="7"/>
        <v>1.1052828774821943E-2</v>
      </c>
    </row>
    <row r="687" spans="1:7">
      <c r="A687" s="50">
        <v>53.9</v>
      </c>
      <c r="B687" s="50">
        <v>54.03</v>
      </c>
      <c r="C687" s="50">
        <v>53.29</v>
      </c>
      <c r="D687" s="50">
        <v>53.44</v>
      </c>
      <c r="E687" s="50">
        <v>160888</v>
      </c>
      <c r="F687" s="50" t="s">
        <v>724</v>
      </c>
      <c r="G687" s="25">
        <f t="shared" si="7"/>
        <v>8.6077844311376328E-3</v>
      </c>
    </row>
    <row r="688" spans="1:7">
      <c r="A688" s="50">
        <v>53.82</v>
      </c>
      <c r="B688" s="50">
        <v>55.08</v>
      </c>
      <c r="C688" s="50">
        <v>53.77</v>
      </c>
      <c r="D688" s="50">
        <v>54.74</v>
      </c>
      <c r="E688" s="50">
        <v>453652</v>
      </c>
      <c r="F688" s="50" t="s">
        <v>725</v>
      </c>
      <c r="G688" s="25">
        <f t="shared" si="7"/>
        <v>-1.6806722689075682E-2</v>
      </c>
    </row>
    <row r="689" spans="1:7">
      <c r="A689" s="50">
        <v>54.1</v>
      </c>
      <c r="B689" s="50">
        <v>54.984999999999999</v>
      </c>
      <c r="C689" s="50">
        <v>53.87</v>
      </c>
      <c r="D689" s="50">
        <v>54.07</v>
      </c>
      <c r="E689" s="50">
        <v>444889</v>
      </c>
      <c r="F689" s="50" t="s">
        <v>726</v>
      </c>
      <c r="G689" s="25">
        <f t="shared" si="7"/>
        <v>5.5483632328456878E-4</v>
      </c>
    </row>
    <row r="690" spans="1:7">
      <c r="A690" s="50">
        <v>54.09</v>
      </c>
      <c r="B690" s="50">
        <v>54.6</v>
      </c>
      <c r="C690" s="50">
        <v>53.25</v>
      </c>
      <c r="D690" s="50">
        <v>54.12</v>
      </c>
      <c r="E690" s="50">
        <v>568135</v>
      </c>
      <c r="F690" s="50" t="s">
        <v>727</v>
      </c>
      <c r="G690" s="25">
        <f t="shared" si="7"/>
        <v>-5.5432372505537231E-4</v>
      </c>
    </row>
    <row r="691" spans="1:7">
      <c r="A691" s="50">
        <v>54.4</v>
      </c>
      <c r="B691" s="50">
        <v>55.32</v>
      </c>
      <c r="C691" s="50">
        <v>54.19</v>
      </c>
      <c r="D691" s="50">
        <v>54.94</v>
      </c>
      <c r="E691" s="50">
        <v>545964</v>
      </c>
      <c r="F691" s="50" t="s">
        <v>728</v>
      </c>
      <c r="G691" s="25">
        <f t="shared" si="7"/>
        <v>-9.8289042591918063E-3</v>
      </c>
    </row>
    <row r="692" spans="1:7">
      <c r="A692" s="50">
        <v>54.51</v>
      </c>
      <c r="B692" s="50">
        <v>54.79</v>
      </c>
      <c r="C692" s="50">
        <v>53.287500000000001</v>
      </c>
      <c r="D692" s="50">
        <v>53.49</v>
      </c>
      <c r="E692" s="50">
        <v>578650</v>
      </c>
      <c r="F692" s="50" t="s">
        <v>729</v>
      </c>
      <c r="G692" s="25">
        <f t="shared" si="7"/>
        <v>1.9068984856982496E-2</v>
      </c>
    </row>
    <row r="693" spans="1:7">
      <c r="A693" s="50">
        <v>53.88</v>
      </c>
      <c r="B693" s="50">
        <v>54.395000000000003</v>
      </c>
      <c r="C693" s="50">
        <v>53.094999999999999</v>
      </c>
      <c r="D693" s="50">
        <v>53.63</v>
      </c>
      <c r="E693" s="50">
        <v>1016373</v>
      </c>
      <c r="F693" s="50" t="s">
        <v>730</v>
      </c>
      <c r="G693" s="25">
        <f t="shared" si="7"/>
        <v>4.6615700167815799E-3</v>
      </c>
    </row>
    <row r="694" spans="1:7">
      <c r="A694" s="50">
        <v>54.68</v>
      </c>
      <c r="B694" s="50">
        <v>54.72</v>
      </c>
      <c r="C694" s="50">
        <v>52.82</v>
      </c>
      <c r="D694" s="50">
        <v>53.2</v>
      </c>
      <c r="E694" s="50">
        <v>665784</v>
      </c>
      <c r="F694" s="50" t="s">
        <v>731</v>
      </c>
      <c r="G694" s="25">
        <f t="shared" si="7"/>
        <v>2.7819548872180411E-2</v>
      </c>
    </row>
    <row r="695" spans="1:7">
      <c r="A695" s="50">
        <v>53.54</v>
      </c>
      <c r="B695" s="50">
        <v>53.81</v>
      </c>
      <c r="C695" s="50">
        <v>52.55</v>
      </c>
      <c r="D695" s="50">
        <v>53.57</v>
      </c>
      <c r="E695" s="50">
        <v>552339</v>
      </c>
      <c r="F695" s="50" t="s">
        <v>732</v>
      </c>
      <c r="G695" s="25">
        <f t="shared" si="7"/>
        <v>-5.6001493373158961E-4</v>
      </c>
    </row>
    <row r="696" spans="1:7">
      <c r="A696" s="50">
        <v>53.74</v>
      </c>
      <c r="B696" s="50">
        <v>53.78</v>
      </c>
      <c r="C696" s="50">
        <v>52.04</v>
      </c>
      <c r="D696" s="50">
        <v>52.65</v>
      </c>
      <c r="E696" s="50">
        <v>462087</v>
      </c>
      <c r="F696" s="50" t="s">
        <v>733</v>
      </c>
      <c r="G696" s="25">
        <f t="shared" si="7"/>
        <v>2.0702754036087345E-2</v>
      </c>
    </row>
    <row r="697" spans="1:7">
      <c r="A697" s="50">
        <v>53.48</v>
      </c>
      <c r="B697" s="50">
        <v>54.96</v>
      </c>
      <c r="C697" s="50">
        <v>53.38</v>
      </c>
      <c r="D697" s="50">
        <v>54.96</v>
      </c>
      <c r="E697" s="50">
        <v>843294</v>
      </c>
      <c r="F697" s="50" t="s">
        <v>734</v>
      </c>
      <c r="G697" s="25">
        <f t="shared" si="7"/>
        <v>-2.6928675400291202E-2</v>
      </c>
    </row>
    <row r="698" spans="1:7">
      <c r="A698" s="50">
        <v>54.27</v>
      </c>
      <c r="B698" s="50">
        <v>54.71</v>
      </c>
      <c r="C698" s="50">
        <v>51.47</v>
      </c>
      <c r="D698" s="50">
        <v>51.71</v>
      </c>
      <c r="E698" s="50">
        <v>965318</v>
      </c>
      <c r="F698" s="50" t="s">
        <v>735</v>
      </c>
      <c r="G698" s="25">
        <f t="shared" si="7"/>
        <v>4.9506865209824058E-2</v>
      </c>
    </row>
    <row r="699" spans="1:7">
      <c r="A699" s="50">
        <v>52.08</v>
      </c>
      <c r="B699" s="50">
        <v>54.295000000000002</v>
      </c>
      <c r="C699" s="50">
        <v>51.86</v>
      </c>
      <c r="D699" s="50">
        <v>54.15</v>
      </c>
      <c r="E699" s="50">
        <v>842388</v>
      </c>
      <c r="F699" s="50" t="s">
        <v>736</v>
      </c>
      <c r="G699" s="25">
        <f t="shared" si="7"/>
        <v>-3.8227146814404422E-2</v>
      </c>
    </row>
    <row r="700" spans="1:7">
      <c r="A700" s="50">
        <v>54.12</v>
      </c>
      <c r="B700" s="50">
        <v>54.38</v>
      </c>
      <c r="C700" s="50">
        <v>52.01</v>
      </c>
      <c r="D700" s="50">
        <v>53.28</v>
      </c>
      <c r="E700" s="50">
        <v>2113015</v>
      </c>
      <c r="F700" s="50" t="s">
        <v>737</v>
      </c>
      <c r="G700" s="25">
        <f t="shared" si="7"/>
        <v>1.5765765765765716E-2</v>
      </c>
    </row>
    <row r="701" spans="1:7">
      <c r="A701" s="50">
        <v>52.49</v>
      </c>
      <c r="B701" s="50">
        <v>53.14</v>
      </c>
      <c r="C701" s="50">
        <v>52.27</v>
      </c>
      <c r="D701" s="50">
        <v>52.76</v>
      </c>
      <c r="E701" s="50">
        <v>654396</v>
      </c>
      <c r="F701" s="50" t="s">
        <v>738</v>
      </c>
      <c r="G701" s="25">
        <f t="shared" si="7"/>
        <v>-5.1175132676268831E-3</v>
      </c>
    </row>
    <row r="702" spans="1:7">
      <c r="A702" s="50">
        <v>52.27</v>
      </c>
      <c r="B702" s="50">
        <v>53.18</v>
      </c>
      <c r="C702" s="50">
        <v>51.9</v>
      </c>
      <c r="D702" s="50">
        <v>52.3</v>
      </c>
      <c r="E702" s="50">
        <v>494170</v>
      </c>
      <c r="F702" s="50" t="s">
        <v>739</v>
      </c>
      <c r="G702" s="25">
        <f t="shared" si="7"/>
        <v>-5.7361376673026321E-4</v>
      </c>
    </row>
    <row r="703" spans="1:7">
      <c r="A703" s="50">
        <v>52.2</v>
      </c>
      <c r="B703" s="50">
        <v>53.085000000000001</v>
      </c>
      <c r="C703" s="50">
        <v>52.04</v>
      </c>
      <c r="D703" s="50">
        <v>52.9</v>
      </c>
      <c r="E703" s="50">
        <v>543972</v>
      </c>
      <c r="F703" s="50" t="s">
        <v>740</v>
      </c>
      <c r="G703" s="25">
        <f t="shared" si="7"/>
        <v>-1.3232514177693666E-2</v>
      </c>
    </row>
    <row r="704" spans="1:7">
      <c r="A704" s="50">
        <v>53.1</v>
      </c>
      <c r="B704" s="50">
        <v>55.84</v>
      </c>
      <c r="C704" s="50">
        <v>52.744999999999997</v>
      </c>
      <c r="D704" s="50">
        <v>55.11</v>
      </c>
      <c r="E704" s="50">
        <v>999210</v>
      </c>
      <c r="F704" s="50" t="s">
        <v>741</v>
      </c>
      <c r="G704" s="25">
        <f t="shared" si="7"/>
        <v>-3.6472509526401686E-2</v>
      </c>
    </row>
    <row r="705" spans="1:7">
      <c r="A705" s="50">
        <v>54.76</v>
      </c>
      <c r="B705" s="50">
        <v>56.284999999999997</v>
      </c>
      <c r="C705" s="50">
        <v>54.32</v>
      </c>
      <c r="D705" s="50">
        <v>54.89</v>
      </c>
      <c r="E705" s="50">
        <v>976283</v>
      </c>
      <c r="F705" s="50" t="s">
        <v>742</v>
      </c>
      <c r="G705" s="25">
        <f t="shared" si="7"/>
        <v>-2.3683731098561589E-3</v>
      </c>
    </row>
    <row r="706" spans="1:7">
      <c r="A706" s="50">
        <v>55.25</v>
      </c>
      <c r="B706" s="50">
        <v>55.35</v>
      </c>
      <c r="C706" s="50">
        <v>53.58</v>
      </c>
      <c r="D706" s="50">
        <v>54.85</v>
      </c>
      <c r="E706" s="50">
        <v>503737</v>
      </c>
      <c r="F706" s="50" t="s">
        <v>743</v>
      </c>
      <c r="G706" s="25">
        <f t="shared" si="7"/>
        <v>7.2926162260711358E-3</v>
      </c>
    </row>
    <row r="707" spans="1:7">
      <c r="A707" s="50">
        <v>55.26</v>
      </c>
      <c r="B707" s="50">
        <v>55.524999999999999</v>
      </c>
      <c r="C707" s="50">
        <v>52.77</v>
      </c>
      <c r="D707" s="50">
        <v>53.59</v>
      </c>
      <c r="E707" s="50">
        <v>874454</v>
      </c>
      <c r="F707" s="50" t="s">
        <v>744</v>
      </c>
      <c r="G707" s="25">
        <f t="shared" si="7"/>
        <v>3.1162530322821347E-2</v>
      </c>
    </row>
    <row r="708" spans="1:7">
      <c r="A708" s="50">
        <v>52.81</v>
      </c>
      <c r="B708" s="50">
        <v>53.26</v>
      </c>
      <c r="C708" s="50">
        <v>51.15</v>
      </c>
      <c r="D708" s="50">
        <v>52</v>
      </c>
      <c r="E708" s="50">
        <v>737012</v>
      </c>
      <c r="F708" s="50" t="s">
        <v>745</v>
      </c>
      <c r="G708" s="25">
        <f t="shared" si="7"/>
        <v>1.5576923076923155E-2</v>
      </c>
    </row>
    <row r="709" spans="1:7">
      <c r="A709" s="50">
        <v>52.07</v>
      </c>
      <c r="B709" s="50">
        <v>52.27</v>
      </c>
      <c r="C709" s="50">
        <v>49.8</v>
      </c>
      <c r="D709" s="50">
        <v>49.87</v>
      </c>
      <c r="E709" s="50">
        <v>1463082</v>
      </c>
      <c r="F709" s="50" t="s">
        <v>746</v>
      </c>
      <c r="G709" s="25">
        <f t="shared" si="7"/>
        <v>4.411469821535996E-2</v>
      </c>
    </row>
    <row r="710" spans="1:7">
      <c r="A710" s="50">
        <v>50.04</v>
      </c>
      <c r="B710" s="50">
        <v>52.43</v>
      </c>
      <c r="C710" s="50">
        <v>49.930999999999997</v>
      </c>
      <c r="D710" s="50">
        <v>52.15</v>
      </c>
      <c r="E710" s="50">
        <v>504746</v>
      </c>
      <c r="F710" s="50" t="s">
        <v>747</v>
      </c>
      <c r="G710" s="25">
        <f t="shared" si="7"/>
        <v>-4.0460210930009621E-2</v>
      </c>
    </row>
    <row r="711" spans="1:7">
      <c r="A711" s="50">
        <v>51.22</v>
      </c>
      <c r="B711" s="50">
        <v>51.314999999999998</v>
      </c>
      <c r="C711" s="50">
        <v>49.570099999999996</v>
      </c>
      <c r="D711" s="50">
        <v>49.81</v>
      </c>
      <c r="E711" s="50">
        <v>1055885</v>
      </c>
      <c r="F711" s="50" t="s">
        <v>748</v>
      </c>
      <c r="G711" s="25">
        <f t="shared" si="7"/>
        <v>2.8307568761292812E-2</v>
      </c>
    </row>
    <row r="712" spans="1:7">
      <c r="A712" s="50">
        <v>49.51</v>
      </c>
      <c r="B712" s="50">
        <v>51.46</v>
      </c>
      <c r="C712" s="50">
        <v>49.47</v>
      </c>
      <c r="D712" s="50">
        <v>51.02</v>
      </c>
      <c r="E712" s="50">
        <v>746364</v>
      </c>
      <c r="F712" s="50" t="s">
        <v>749</v>
      </c>
      <c r="G712" s="25">
        <f t="shared" ref="G712:G775" si="8">A712/D712-1</f>
        <v>-2.9596236769894313E-2</v>
      </c>
    </row>
    <row r="713" spans="1:7">
      <c r="A713" s="50">
        <v>50.87</v>
      </c>
      <c r="B713" s="50">
        <v>51.58</v>
      </c>
      <c r="C713" s="50">
        <v>50.81</v>
      </c>
      <c r="D713" s="50">
        <v>51.23</v>
      </c>
      <c r="E713" s="50">
        <v>689599</v>
      </c>
      <c r="F713" s="50" t="s">
        <v>750</v>
      </c>
      <c r="G713" s="25">
        <f t="shared" si="8"/>
        <v>-7.0271325395275808E-3</v>
      </c>
    </row>
    <row r="714" spans="1:7">
      <c r="A714" s="50">
        <v>51.87</v>
      </c>
      <c r="B714" s="50">
        <v>54.31</v>
      </c>
      <c r="C714" s="50">
        <v>51.7</v>
      </c>
      <c r="D714" s="50">
        <v>53.41</v>
      </c>
      <c r="E714" s="50">
        <v>960969</v>
      </c>
      <c r="F714" s="50" t="s">
        <v>751</v>
      </c>
      <c r="G714" s="25">
        <f t="shared" si="8"/>
        <v>-2.8833551769331556E-2</v>
      </c>
    </row>
    <row r="715" spans="1:7">
      <c r="A715" s="50">
        <v>54.12</v>
      </c>
      <c r="B715" s="50">
        <v>54.41</v>
      </c>
      <c r="C715" s="50">
        <v>52.91</v>
      </c>
      <c r="D715" s="50">
        <v>53.28</v>
      </c>
      <c r="E715" s="50">
        <v>780091</v>
      </c>
      <c r="F715" s="50" t="s">
        <v>752</v>
      </c>
      <c r="G715" s="25">
        <f t="shared" si="8"/>
        <v>1.5765765765765716E-2</v>
      </c>
    </row>
    <row r="716" spans="1:7">
      <c r="A716" s="50">
        <v>53.59</v>
      </c>
      <c r="B716" s="50">
        <v>55.29</v>
      </c>
      <c r="C716" s="50">
        <v>53.35</v>
      </c>
      <c r="D716" s="50">
        <v>55.02</v>
      </c>
      <c r="E716" s="50">
        <v>369538</v>
      </c>
      <c r="F716" s="50" t="s">
        <v>753</v>
      </c>
      <c r="G716" s="25">
        <f t="shared" si="8"/>
        <v>-2.5990548891312248E-2</v>
      </c>
    </row>
    <row r="717" spans="1:7">
      <c r="A717" s="50">
        <v>54.84</v>
      </c>
      <c r="B717" s="50">
        <v>54.96</v>
      </c>
      <c r="C717" s="50">
        <v>53.73</v>
      </c>
      <c r="D717" s="50">
        <v>53.74</v>
      </c>
      <c r="E717" s="50">
        <v>604535</v>
      </c>
      <c r="F717" s="50" t="s">
        <v>754</v>
      </c>
      <c r="G717" s="25">
        <f t="shared" si="8"/>
        <v>2.0468924451060744E-2</v>
      </c>
    </row>
    <row r="718" spans="1:7">
      <c r="A718" s="50">
        <v>54.01</v>
      </c>
      <c r="B718" s="50">
        <v>54.08</v>
      </c>
      <c r="C718" s="50">
        <v>51.91</v>
      </c>
      <c r="D718" s="50">
        <v>52.07</v>
      </c>
      <c r="E718" s="50">
        <v>549152</v>
      </c>
      <c r="F718" s="50" t="s">
        <v>755</v>
      </c>
      <c r="G718" s="25">
        <f t="shared" si="8"/>
        <v>3.7257537929709983E-2</v>
      </c>
    </row>
    <row r="719" spans="1:7">
      <c r="A719" s="50">
        <v>51.88</v>
      </c>
      <c r="B719" s="50">
        <v>52.86</v>
      </c>
      <c r="C719" s="50">
        <v>51.8</v>
      </c>
      <c r="D719" s="50">
        <v>52.51</v>
      </c>
      <c r="E719" s="50">
        <v>464509</v>
      </c>
      <c r="F719" s="50" t="s">
        <v>756</v>
      </c>
      <c r="G719" s="25">
        <f t="shared" si="8"/>
        <v>-1.1997714721005415E-2</v>
      </c>
    </row>
    <row r="720" spans="1:7">
      <c r="A720" s="50">
        <v>53.15</v>
      </c>
      <c r="B720" s="50">
        <v>53.37</v>
      </c>
      <c r="C720" s="50">
        <v>51.83</v>
      </c>
      <c r="D720" s="50">
        <v>52.1</v>
      </c>
      <c r="E720" s="50">
        <v>812599</v>
      </c>
      <c r="F720" s="50" t="s">
        <v>757</v>
      </c>
      <c r="G720" s="25">
        <f t="shared" si="8"/>
        <v>2.0153550863723613E-2</v>
      </c>
    </row>
    <row r="721" spans="1:7">
      <c r="A721" s="50">
        <v>52.2</v>
      </c>
      <c r="B721" s="50">
        <v>53.67</v>
      </c>
      <c r="C721" s="50">
        <v>52.005000000000003</v>
      </c>
      <c r="D721" s="50">
        <v>53.48</v>
      </c>
      <c r="E721" s="50">
        <v>716235</v>
      </c>
      <c r="F721" s="50" t="s">
        <v>758</v>
      </c>
      <c r="G721" s="25">
        <f t="shared" si="8"/>
        <v>-2.393418100224376E-2</v>
      </c>
    </row>
    <row r="722" spans="1:7">
      <c r="A722" s="50">
        <v>53.53</v>
      </c>
      <c r="B722" s="50">
        <v>54.46</v>
      </c>
      <c r="C722" s="50">
        <v>53.18</v>
      </c>
      <c r="D722" s="50">
        <v>54.21</v>
      </c>
      <c r="E722" s="50">
        <v>354963</v>
      </c>
      <c r="F722" s="50" t="s">
        <v>759</v>
      </c>
      <c r="G722" s="25">
        <f t="shared" si="8"/>
        <v>-1.2543811104962166E-2</v>
      </c>
    </row>
    <row r="723" spans="1:7">
      <c r="A723" s="50">
        <v>54.62</v>
      </c>
      <c r="B723" s="50">
        <v>55.42</v>
      </c>
      <c r="C723" s="50">
        <v>53.58</v>
      </c>
      <c r="D723" s="50">
        <v>54.58</v>
      </c>
      <c r="E723" s="50">
        <v>610579</v>
      </c>
      <c r="F723" s="50" t="s">
        <v>760</v>
      </c>
      <c r="G723" s="25">
        <f t="shared" si="8"/>
        <v>7.3286918285075942E-4</v>
      </c>
    </row>
    <row r="724" spans="1:7">
      <c r="A724" s="50">
        <v>53.53</v>
      </c>
      <c r="B724" s="50">
        <v>53.725000000000001</v>
      </c>
      <c r="C724" s="50">
        <v>52.36</v>
      </c>
      <c r="D724" s="50">
        <v>52.36</v>
      </c>
      <c r="E724" s="50">
        <v>582453</v>
      </c>
      <c r="F724" s="50" t="s">
        <v>761</v>
      </c>
      <c r="G724" s="25">
        <f t="shared" si="8"/>
        <v>2.2345301757066505E-2</v>
      </c>
    </row>
    <row r="725" spans="1:7">
      <c r="A725" s="50">
        <v>52.76</v>
      </c>
      <c r="B725" s="50">
        <v>55.23</v>
      </c>
      <c r="C725" s="50">
        <v>52.06</v>
      </c>
      <c r="D725" s="50">
        <v>54.56</v>
      </c>
      <c r="E725" s="50">
        <v>865709</v>
      </c>
      <c r="F725" s="50" t="s">
        <v>762</v>
      </c>
      <c r="G725" s="25">
        <f t="shared" si="8"/>
        <v>-3.2991202346041137E-2</v>
      </c>
    </row>
    <row r="726" spans="1:7">
      <c r="A726" s="50">
        <v>53.82</v>
      </c>
      <c r="B726" s="50">
        <v>56.73</v>
      </c>
      <c r="C726" s="50">
        <v>53.2</v>
      </c>
      <c r="D726" s="50">
        <v>56</v>
      </c>
      <c r="E726" s="50">
        <v>1634661</v>
      </c>
      <c r="F726" s="50" t="s">
        <v>763</v>
      </c>
      <c r="G726" s="25">
        <f t="shared" si="8"/>
        <v>-3.8928571428571423E-2</v>
      </c>
    </row>
    <row r="727" spans="1:7">
      <c r="A727" s="50">
        <v>51.04</v>
      </c>
      <c r="B727" s="50">
        <v>52.48</v>
      </c>
      <c r="C727" s="50">
        <v>50.66</v>
      </c>
      <c r="D727" s="50">
        <v>51.85</v>
      </c>
      <c r="E727" s="50">
        <v>1065017</v>
      </c>
      <c r="F727" s="50" t="s">
        <v>764</v>
      </c>
      <c r="G727" s="25">
        <f t="shared" si="8"/>
        <v>-1.5621986499517848E-2</v>
      </c>
    </row>
    <row r="728" spans="1:7">
      <c r="A728" s="50">
        <v>51.76</v>
      </c>
      <c r="B728" s="50">
        <v>53.12</v>
      </c>
      <c r="C728" s="50">
        <v>51.38</v>
      </c>
      <c r="D728" s="50">
        <v>52.58</v>
      </c>
      <c r="E728" s="50">
        <v>788682</v>
      </c>
      <c r="F728" s="50" t="s">
        <v>765</v>
      </c>
      <c r="G728" s="25">
        <f t="shared" si="8"/>
        <v>-1.5595283377710212E-2</v>
      </c>
    </row>
    <row r="729" spans="1:7">
      <c r="A729" s="50">
        <v>52.57</v>
      </c>
      <c r="B729" s="50">
        <v>55.55</v>
      </c>
      <c r="C729" s="50">
        <v>52.36</v>
      </c>
      <c r="D729" s="50">
        <v>55.32</v>
      </c>
      <c r="E729" s="50">
        <v>855495</v>
      </c>
      <c r="F729" s="50" t="s">
        <v>766</v>
      </c>
      <c r="G729" s="25">
        <f t="shared" si="8"/>
        <v>-4.9710773680404885E-2</v>
      </c>
    </row>
    <row r="730" spans="1:7">
      <c r="A730" s="50">
        <v>55.6</v>
      </c>
      <c r="B730" s="50">
        <v>56.234999999999999</v>
      </c>
      <c r="C730" s="50">
        <v>54.9</v>
      </c>
      <c r="D730" s="50">
        <v>55.42</v>
      </c>
      <c r="E730" s="50">
        <v>598580</v>
      </c>
      <c r="F730" s="50" t="s">
        <v>767</v>
      </c>
      <c r="G730" s="25">
        <f t="shared" si="8"/>
        <v>3.2479249368460028E-3</v>
      </c>
    </row>
    <row r="731" spans="1:7">
      <c r="A731" s="50">
        <v>55.71</v>
      </c>
      <c r="B731" s="50">
        <v>56</v>
      </c>
      <c r="C731" s="50">
        <v>53.53</v>
      </c>
      <c r="D731" s="50">
        <v>54.5</v>
      </c>
      <c r="E731" s="50">
        <v>726409</v>
      </c>
      <c r="F731" s="50" t="s">
        <v>768</v>
      </c>
      <c r="G731" s="25">
        <f t="shared" si="8"/>
        <v>2.2201834862385361E-2</v>
      </c>
    </row>
    <row r="732" spans="1:7">
      <c r="A732" s="50">
        <v>54.99</v>
      </c>
      <c r="B732" s="50">
        <v>55.82</v>
      </c>
      <c r="C732" s="50">
        <v>54.637500000000003</v>
      </c>
      <c r="D732" s="50">
        <v>55.61</v>
      </c>
      <c r="E732" s="50">
        <v>369982</v>
      </c>
      <c r="F732" s="50" t="s">
        <v>769</v>
      </c>
      <c r="G732" s="25">
        <f t="shared" si="8"/>
        <v>-1.1149073907570584E-2</v>
      </c>
    </row>
    <row r="733" spans="1:7">
      <c r="A733" s="50">
        <v>55.04</v>
      </c>
      <c r="B733" s="50">
        <v>56.9</v>
      </c>
      <c r="C733" s="50">
        <v>54.71</v>
      </c>
      <c r="D733" s="50">
        <v>56.13</v>
      </c>
      <c r="E733" s="50">
        <v>662181</v>
      </c>
      <c r="F733" s="50" t="s">
        <v>770</v>
      </c>
      <c r="G733" s="25">
        <f t="shared" si="8"/>
        <v>-1.9419205415998619E-2</v>
      </c>
    </row>
    <row r="734" spans="1:7">
      <c r="A734" s="50">
        <v>55.46</v>
      </c>
      <c r="B734" s="50">
        <v>59.22</v>
      </c>
      <c r="C734" s="50">
        <v>55.23</v>
      </c>
      <c r="D734" s="50">
        <v>59.22</v>
      </c>
      <c r="E734" s="50">
        <v>1321429</v>
      </c>
      <c r="F734" s="50" t="s">
        <v>771</v>
      </c>
      <c r="G734" s="25">
        <f t="shared" si="8"/>
        <v>-6.3492063492063489E-2</v>
      </c>
    </row>
    <row r="735" spans="1:7">
      <c r="A735" s="50">
        <v>60.03</v>
      </c>
      <c r="B735" s="50">
        <v>62.06</v>
      </c>
      <c r="C735" s="50">
        <v>59.63</v>
      </c>
      <c r="D735" s="50">
        <v>61.5</v>
      </c>
      <c r="E735" s="50">
        <v>405244</v>
      </c>
      <c r="F735" s="50" t="s">
        <v>772</v>
      </c>
      <c r="G735" s="25">
        <f t="shared" si="8"/>
        <v>-2.3902439024390265E-2</v>
      </c>
    </row>
    <row r="736" spans="1:7">
      <c r="A736" s="50">
        <v>61.78</v>
      </c>
      <c r="B736" s="50">
        <v>62.95</v>
      </c>
      <c r="C736" s="50">
        <v>61.62</v>
      </c>
      <c r="D736" s="50">
        <v>62.54</v>
      </c>
      <c r="E736" s="50">
        <v>259214</v>
      </c>
      <c r="F736" s="50" t="s">
        <v>773</v>
      </c>
      <c r="G736" s="25">
        <f t="shared" si="8"/>
        <v>-1.2152222577550331E-2</v>
      </c>
    </row>
    <row r="737" spans="1:7">
      <c r="A737" s="50">
        <v>62.65</v>
      </c>
      <c r="B737" s="50">
        <v>62.984999999999999</v>
      </c>
      <c r="C737" s="50">
        <v>60.05</v>
      </c>
      <c r="D737" s="50">
        <v>61.16</v>
      </c>
      <c r="E737" s="50">
        <v>496856</v>
      </c>
      <c r="F737" s="50" t="s">
        <v>774</v>
      </c>
      <c r="G737" s="25">
        <f t="shared" si="8"/>
        <v>2.4362328319162962E-2</v>
      </c>
    </row>
    <row r="738" spans="1:7">
      <c r="A738" s="50">
        <v>62.07</v>
      </c>
      <c r="B738" s="50">
        <v>62.95</v>
      </c>
      <c r="C738" s="50">
        <v>62.04</v>
      </c>
      <c r="D738" s="50">
        <v>62.27</v>
      </c>
      <c r="E738" s="50">
        <v>164500</v>
      </c>
      <c r="F738" s="50" t="s">
        <v>775</v>
      </c>
      <c r="G738" s="25">
        <f t="shared" si="8"/>
        <v>-3.2118194957443391E-3</v>
      </c>
    </row>
    <row r="739" spans="1:7">
      <c r="A739" s="50">
        <v>62.95</v>
      </c>
      <c r="B739" s="50">
        <v>63.91</v>
      </c>
      <c r="C739" s="50">
        <v>62.51</v>
      </c>
      <c r="D739" s="50">
        <v>63.71</v>
      </c>
      <c r="E739" s="50">
        <v>263139</v>
      </c>
      <c r="F739" s="50" t="s">
        <v>776</v>
      </c>
      <c r="G739" s="25">
        <f t="shared" si="8"/>
        <v>-1.1929053523779598E-2</v>
      </c>
    </row>
    <row r="740" spans="1:7">
      <c r="A740" s="50">
        <v>63.28</v>
      </c>
      <c r="B740" s="50">
        <v>63.335000000000001</v>
      </c>
      <c r="C740" s="50">
        <v>62.337499999999999</v>
      </c>
      <c r="D740" s="50">
        <v>62.68</v>
      </c>
      <c r="E740" s="50">
        <v>157600</v>
      </c>
      <c r="F740" s="50" t="s">
        <v>777</v>
      </c>
      <c r="G740" s="25">
        <f t="shared" si="8"/>
        <v>9.5724313975749098E-3</v>
      </c>
    </row>
    <row r="741" spans="1:7">
      <c r="A741" s="50">
        <v>62.75</v>
      </c>
      <c r="B741" s="50">
        <v>63.73</v>
      </c>
      <c r="C741" s="50">
        <v>61.69</v>
      </c>
      <c r="D741" s="50">
        <v>63.73</v>
      </c>
      <c r="E741" s="50">
        <v>238240</v>
      </c>
      <c r="F741" s="50" t="s">
        <v>778</v>
      </c>
      <c r="G741" s="25">
        <f t="shared" si="8"/>
        <v>-1.5377373293582242E-2</v>
      </c>
    </row>
    <row r="742" spans="1:7">
      <c r="A742" s="50">
        <v>63.67</v>
      </c>
      <c r="B742" s="50">
        <v>63.79</v>
      </c>
      <c r="C742" s="50">
        <v>61.185000000000002</v>
      </c>
      <c r="D742" s="50">
        <v>61.33</v>
      </c>
      <c r="E742" s="50">
        <v>676442</v>
      </c>
      <c r="F742" s="50" t="s">
        <v>779</v>
      </c>
      <c r="G742" s="25">
        <f t="shared" si="8"/>
        <v>3.8154247513451978E-2</v>
      </c>
    </row>
    <row r="743" spans="1:7">
      <c r="A743" s="50">
        <v>60.72</v>
      </c>
      <c r="B743" s="50">
        <v>62.95</v>
      </c>
      <c r="C743" s="50">
        <v>60.38</v>
      </c>
      <c r="D743" s="50">
        <v>62.5</v>
      </c>
      <c r="E743" s="50">
        <v>264623</v>
      </c>
      <c r="F743" s="50" t="s">
        <v>780</v>
      </c>
      <c r="G743" s="25">
        <f t="shared" si="8"/>
        <v>-2.8480000000000061E-2</v>
      </c>
    </row>
    <row r="744" spans="1:7">
      <c r="A744" s="50">
        <v>61.64</v>
      </c>
      <c r="B744" s="50">
        <v>61.67</v>
      </c>
      <c r="C744" s="50">
        <v>59.770400000000002</v>
      </c>
      <c r="D744" s="50">
        <v>60.6</v>
      </c>
      <c r="E744" s="50">
        <v>485323</v>
      </c>
      <c r="F744" s="50" t="s">
        <v>781</v>
      </c>
      <c r="G744" s="25">
        <f t="shared" si="8"/>
        <v>1.7161716171617103E-2</v>
      </c>
    </row>
    <row r="745" spans="1:7">
      <c r="A745" s="50">
        <v>60.83</v>
      </c>
      <c r="B745" s="50">
        <v>60.85</v>
      </c>
      <c r="C745" s="50">
        <v>58.945</v>
      </c>
      <c r="D745" s="50">
        <v>60.25</v>
      </c>
      <c r="E745" s="50">
        <v>629752</v>
      </c>
      <c r="F745" s="50" t="s">
        <v>782</v>
      </c>
      <c r="G745" s="25">
        <f t="shared" si="8"/>
        <v>9.626556016597565E-3</v>
      </c>
    </row>
    <row r="746" spans="1:7">
      <c r="A746" s="50">
        <v>61.05</v>
      </c>
      <c r="B746" s="50">
        <v>61.9</v>
      </c>
      <c r="C746" s="50">
        <v>60.78</v>
      </c>
      <c r="D746" s="50">
        <v>61.9</v>
      </c>
      <c r="E746" s="50">
        <v>458747</v>
      </c>
      <c r="F746" s="50" t="s">
        <v>783</v>
      </c>
      <c r="G746" s="25">
        <f t="shared" si="8"/>
        <v>-1.3731825525040375E-2</v>
      </c>
    </row>
    <row r="747" spans="1:7">
      <c r="A747" s="50">
        <v>61.75</v>
      </c>
      <c r="B747" s="50">
        <v>63.4</v>
      </c>
      <c r="C747" s="50">
        <v>61.29</v>
      </c>
      <c r="D747" s="50">
        <v>63.06</v>
      </c>
      <c r="E747" s="50">
        <v>594098</v>
      </c>
      <c r="F747" s="50" t="s">
        <v>784</v>
      </c>
      <c r="G747" s="25">
        <f t="shared" si="8"/>
        <v>-2.0773866159213505E-2</v>
      </c>
    </row>
    <row r="748" spans="1:7">
      <c r="A748" s="50">
        <v>63.33</v>
      </c>
      <c r="B748" s="50">
        <v>64.790000000000006</v>
      </c>
      <c r="C748" s="50">
        <v>62.99</v>
      </c>
      <c r="D748" s="50">
        <v>64.55</v>
      </c>
      <c r="E748" s="50">
        <v>555433</v>
      </c>
      <c r="F748" s="50" t="s">
        <v>785</v>
      </c>
      <c r="G748" s="25">
        <f t="shared" si="8"/>
        <v>-1.8900077459333864E-2</v>
      </c>
    </row>
    <row r="749" spans="1:7">
      <c r="A749" s="50">
        <v>64.48</v>
      </c>
      <c r="B749" s="50">
        <v>66.540000000000006</v>
      </c>
      <c r="C749" s="50">
        <v>64.06</v>
      </c>
      <c r="D749" s="50">
        <v>66.540000000000006</v>
      </c>
      <c r="E749" s="50">
        <v>435013</v>
      </c>
      <c r="F749" s="50" t="s">
        <v>786</v>
      </c>
      <c r="G749" s="25">
        <f t="shared" si="8"/>
        <v>-3.0958821761346567E-2</v>
      </c>
    </row>
    <row r="750" spans="1:7">
      <c r="A750" s="50">
        <v>67.150000000000006</v>
      </c>
      <c r="B750" s="50">
        <v>67.45</v>
      </c>
      <c r="C750" s="50">
        <v>65.349999999999994</v>
      </c>
      <c r="D750" s="50">
        <v>65.349999999999994</v>
      </c>
      <c r="E750" s="50">
        <v>547933</v>
      </c>
      <c r="F750" s="50" t="s">
        <v>787</v>
      </c>
      <c r="G750" s="25">
        <f t="shared" si="8"/>
        <v>2.754399387911266E-2</v>
      </c>
    </row>
    <row r="751" spans="1:7">
      <c r="A751" s="50">
        <v>64.709999999999994</v>
      </c>
      <c r="B751" s="50">
        <v>66.58</v>
      </c>
      <c r="C751" s="50">
        <v>64.644999999999996</v>
      </c>
      <c r="D751" s="50">
        <v>66</v>
      </c>
      <c r="E751" s="50">
        <v>372104</v>
      </c>
      <c r="F751" s="50" t="s">
        <v>788</v>
      </c>
      <c r="G751" s="25">
        <f t="shared" si="8"/>
        <v>-1.9545454545454644E-2</v>
      </c>
    </row>
    <row r="752" spans="1:7">
      <c r="A752" s="50">
        <v>65.36</v>
      </c>
      <c r="B752" s="50">
        <v>65.89</v>
      </c>
      <c r="C752" s="50">
        <v>64.25</v>
      </c>
      <c r="D752" s="50">
        <v>64.59</v>
      </c>
      <c r="E752" s="50">
        <v>363582</v>
      </c>
      <c r="F752" s="50" t="s">
        <v>789</v>
      </c>
      <c r="G752" s="25">
        <f t="shared" si="8"/>
        <v>1.1921350054187929E-2</v>
      </c>
    </row>
    <row r="753" spans="1:7">
      <c r="A753" s="50">
        <v>63.59</v>
      </c>
      <c r="B753" s="50">
        <v>64.28</v>
      </c>
      <c r="C753" s="50">
        <v>63.09</v>
      </c>
      <c r="D753" s="50">
        <v>63.52</v>
      </c>
      <c r="E753" s="50">
        <v>302621</v>
      </c>
      <c r="F753" s="50" t="s">
        <v>790</v>
      </c>
      <c r="G753" s="25">
        <f t="shared" si="8"/>
        <v>1.1020151133500633E-3</v>
      </c>
    </row>
    <row r="754" spans="1:7">
      <c r="A754" s="50">
        <v>63.81</v>
      </c>
      <c r="B754" s="50">
        <v>64.53</v>
      </c>
      <c r="C754" s="50">
        <v>62.82</v>
      </c>
      <c r="D754" s="50">
        <v>63.7</v>
      </c>
      <c r="E754" s="50">
        <v>250053</v>
      </c>
      <c r="F754" s="50" t="s">
        <v>791</v>
      </c>
      <c r="G754" s="25">
        <f t="shared" si="8"/>
        <v>1.7268445839875302E-3</v>
      </c>
    </row>
    <row r="755" spans="1:7">
      <c r="A755" s="50">
        <v>62.83</v>
      </c>
      <c r="B755" s="50">
        <v>63.56</v>
      </c>
      <c r="C755" s="50">
        <v>62.13</v>
      </c>
      <c r="D755" s="50">
        <v>63.24</v>
      </c>
      <c r="E755" s="50">
        <v>320202</v>
      </c>
      <c r="F755" s="50" t="s">
        <v>792</v>
      </c>
      <c r="G755" s="25">
        <f t="shared" si="8"/>
        <v>-6.4832384566730905E-3</v>
      </c>
    </row>
    <row r="756" spans="1:7">
      <c r="A756" s="50">
        <v>63.67</v>
      </c>
      <c r="B756" s="50">
        <v>65.28</v>
      </c>
      <c r="C756" s="50">
        <v>63.25</v>
      </c>
      <c r="D756" s="50">
        <v>63.25</v>
      </c>
      <c r="E756" s="50">
        <v>269304</v>
      </c>
      <c r="F756" s="50" t="s">
        <v>793</v>
      </c>
      <c r="G756" s="25">
        <f t="shared" si="8"/>
        <v>6.6403162055335141E-3</v>
      </c>
    </row>
    <row r="757" spans="1:7">
      <c r="A757" s="50">
        <v>62.62</v>
      </c>
      <c r="B757" s="50">
        <v>65.25</v>
      </c>
      <c r="C757" s="50">
        <v>62.41</v>
      </c>
      <c r="D757" s="50">
        <v>65.25</v>
      </c>
      <c r="E757" s="50">
        <v>528458</v>
      </c>
      <c r="F757" s="50" t="s">
        <v>794</v>
      </c>
      <c r="G757" s="25">
        <f t="shared" si="8"/>
        <v>-4.0306513409961719E-2</v>
      </c>
    </row>
    <row r="758" spans="1:7">
      <c r="A758" s="50">
        <v>65.5</v>
      </c>
      <c r="B758" s="50">
        <v>66.069999999999993</v>
      </c>
      <c r="C758" s="50">
        <v>63.83</v>
      </c>
      <c r="D758" s="50">
        <v>64.34</v>
      </c>
      <c r="E758" s="50">
        <v>352781</v>
      </c>
      <c r="F758" s="50" t="s">
        <v>795</v>
      </c>
      <c r="G758" s="25">
        <f t="shared" si="8"/>
        <v>1.8029219769972071E-2</v>
      </c>
    </row>
    <row r="759" spans="1:7">
      <c r="A759" s="50">
        <v>63.76</v>
      </c>
      <c r="B759" s="50">
        <v>66.599999999999994</v>
      </c>
      <c r="C759" s="50">
        <v>63.23</v>
      </c>
      <c r="D759" s="50">
        <v>66.599999999999994</v>
      </c>
      <c r="E759" s="50">
        <v>768314</v>
      </c>
      <c r="F759" s="50" t="s">
        <v>796</v>
      </c>
      <c r="G759" s="25">
        <f t="shared" si="8"/>
        <v>-4.2642642642642614E-2</v>
      </c>
    </row>
    <row r="760" spans="1:7">
      <c r="A760" s="50">
        <v>66.75</v>
      </c>
      <c r="B760" s="50">
        <v>66.97</v>
      </c>
      <c r="C760" s="50">
        <v>65.459999999999994</v>
      </c>
      <c r="D760" s="50">
        <v>66.290000000000006</v>
      </c>
      <c r="E760" s="50">
        <v>731933</v>
      </c>
      <c r="F760" s="50" t="s">
        <v>797</v>
      </c>
      <c r="G760" s="25">
        <f t="shared" si="8"/>
        <v>6.9392065168198958E-3</v>
      </c>
    </row>
    <row r="761" spans="1:7">
      <c r="A761" s="50">
        <v>66.150000000000006</v>
      </c>
      <c r="B761" s="50">
        <v>66.31</v>
      </c>
      <c r="C761" s="50">
        <v>63.35</v>
      </c>
      <c r="D761" s="50">
        <v>63.54</v>
      </c>
      <c r="E761" s="50">
        <v>572103</v>
      </c>
      <c r="F761" s="50" t="s">
        <v>798</v>
      </c>
      <c r="G761" s="25">
        <f t="shared" si="8"/>
        <v>4.107648725212476E-2</v>
      </c>
    </row>
    <row r="762" spans="1:7">
      <c r="A762" s="50">
        <v>63.96</v>
      </c>
      <c r="B762" s="50">
        <v>63.97</v>
      </c>
      <c r="C762" s="50">
        <v>60.86</v>
      </c>
      <c r="D762" s="50">
        <v>61.46</v>
      </c>
      <c r="E762" s="50">
        <v>721302</v>
      </c>
      <c r="F762" s="50" t="s">
        <v>799</v>
      </c>
      <c r="G762" s="25">
        <f t="shared" si="8"/>
        <v>4.0676863000325358E-2</v>
      </c>
    </row>
    <row r="763" spans="1:7">
      <c r="A763" s="50">
        <v>62.77</v>
      </c>
      <c r="B763" s="50">
        <v>65.17</v>
      </c>
      <c r="C763" s="50">
        <v>61.06</v>
      </c>
      <c r="D763" s="50">
        <v>63.99</v>
      </c>
      <c r="E763" s="50">
        <v>653054</v>
      </c>
      <c r="F763" s="50" t="s">
        <v>800</v>
      </c>
      <c r="G763" s="25">
        <f t="shared" si="8"/>
        <v>-1.9065478981090789E-2</v>
      </c>
    </row>
    <row r="764" spans="1:7">
      <c r="A764" s="50">
        <v>61.99</v>
      </c>
      <c r="B764" s="50">
        <v>63.174999999999997</v>
      </c>
      <c r="C764" s="50">
        <v>59.6</v>
      </c>
      <c r="D764" s="50">
        <v>60.13</v>
      </c>
      <c r="E764" s="50">
        <v>879439</v>
      </c>
      <c r="F764" s="50" t="s">
        <v>801</v>
      </c>
      <c r="G764" s="25">
        <f t="shared" si="8"/>
        <v>3.0932978546482692E-2</v>
      </c>
    </row>
    <row r="765" spans="1:7">
      <c r="A765" s="50">
        <v>60.51</v>
      </c>
      <c r="B765" s="50">
        <v>63.85</v>
      </c>
      <c r="C765" s="50">
        <v>60.36</v>
      </c>
      <c r="D765" s="50">
        <v>63.85</v>
      </c>
      <c r="E765" s="50">
        <v>896311</v>
      </c>
      <c r="F765" s="50" t="s">
        <v>802</v>
      </c>
      <c r="G765" s="25">
        <f t="shared" si="8"/>
        <v>-5.2310101801096409E-2</v>
      </c>
    </row>
    <row r="766" spans="1:7">
      <c r="A766" s="50">
        <v>64.17</v>
      </c>
      <c r="B766" s="50">
        <v>67.75</v>
      </c>
      <c r="C766" s="50">
        <v>64.08</v>
      </c>
      <c r="D766" s="50">
        <v>67.099999999999994</v>
      </c>
      <c r="E766" s="50">
        <v>534491</v>
      </c>
      <c r="F766" s="50" t="s">
        <v>803</v>
      </c>
      <c r="G766" s="25">
        <f t="shared" si="8"/>
        <v>-4.3666169895677953E-2</v>
      </c>
    </row>
    <row r="767" spans="1:7">
      <c r="A767" s="50">
        <v>67.17</v>
      </c>
      <c r="B767" s="50">
        <v>67.599999999999994</v>
      </c>
      <c r="C767" s="50">
        <v>66.305000000000007</v>
      </c>
      <c r="D767" s="50">
        <v>67.13</v>
      </c>
      <c r="E767" s="50">
        <v>259354</v>
      </c>
      <c r="F767" s="50" t="s">
        <v>804</v>
      </c>
      <c r="G767" s="25">
        <f t="shared" si="8"/>
        <v>5.9585878146894977E-4</v>
      </c>
    </row>
    <row r="768" spans="1:7">
      <c r="A768" s="50">
        <v>67.17</v>
      </c>
      <c r="B768" s="50">
        <v>69.290000000000006</v>
      </c>
      <c r="C768" s="50">
        <v>66.989999999999995</v>
      </c>
      <c r="D768" s="50">
        <v>67.94</v>
      </c>
      <c r="E768" s="50">
        <v>459246</v>
      </c>
      <c r="F768" s="50" t="s">
        <v>805</v>
      </c>
      <c r="G768" s="25">
        <f t="shared" si="8"/>
        <v>-1.1333529584927837E-2</v>
      </c>
    </row>
    <row r="769" spans="1:7">
      <c r="A769" s="50">
        <v>68.05</v>
      </c>
      <c r="B769" s="50">
        <v>70.91</v>
      </c>
      <c r="C769" s="50">
        <v>67.69</v>
      </c>
      <c r="D769" s="50">
        <v>70.91</v>
      </c>
      <c r="E769" s="50">
        <v>809055</v>
      </c>
      <c r="F769" s="50" t="s">
        <v>806</v>
      </c>
      <c r="G769" s="25">
        <f t="shared" si="8"/>
        <v>-4.0332816245945535E-2</v>
      </c>
    </row>
    <row r="770" spans="1:7">
      <c r="A770" s="50">
        <v>70.510000000000005</v>
      </c>
      <c r="B770" s="50">
        <v>71.34</v>
      </c>
      <c r="C770" s="50">
        <v>69.760000000000005</v>
      </c>
      <c r="D770" s="50">
        <v>70.48</v>
      </c>
      <c r="E770" s="50">
        <v>409930</v>
      </c>
      <c r="F770" s="50" t="s">
        <v>807</v>
      </c>
      <c r="G770" s="25">
        <f t="shared" si="8"/>
        <v>4.2565266742333741E-4</v>
      </c>
    </row>
    <row r="771" spans="1:7">
      <c r="A771" s="50">
        <v>69.55</v>
      </c>
      <c r="B771" s="50">
        <v>70.209999999999994</v>
      </c>
      <c r="C771" s="50">
        <v>68.06</v>
      </c>
      <c r="D771" s="50">
        <v>68.61</v>
      </c>
      <c r="E771" s="50">
        <v>233687</v>
      </c>
      <c r="F771" s="50" t="s">
        <v>808</v>
      </c>
      <c r="G771" s="25">
        <f t="shared" si="8"/>
        <v>1.3700626730797305E-2</v>
      </c>
    </row>
    <row r="772" spans="1:7">
      <c r="A772" s="50">
        <v>69.22</v>
      </c>
      <c r="B772" s="50">
        <v>69.760000000000005</v>
      </c>
      <c r="C772" s="50">
        <v>67.540000000000006</v>
      </c>
      <c r="D772" s="50">
        <v>68.31</v>
      </c>
      <c r="E772" s="50">
        <v>364494</v>
      </c>
      <c r="F772" s="50" t="s">
        <v>809</v>
      </c>
      <c r="G772" s="25">
        <f t="shared" si="8"/>
        <v>1.3321622017274048E-2</v>
      </c>
    </row>
    <row r="773" spans="1:7">
      <c r="A773" s="50">
        <v>68.36</v>
      </c>
      <c r="B773" s="50">
        <v>69.67</v>
      </c>
      <c r="C773" s="50">
        <v>68.290000000000006</v>
      </c>
      <c r="D773" s="50">
        <v>68.5</v>
      </c>
      <c r="E773" s="50">
        <v>528388</v>
      </c>
      <c r="F773" s="50" t="s">
        <v>810</v>
      </c>
      <c r="G773" s="25">
        <f t="shared" si="8"/>
        <v>-2.0437956204379937E-3</v>
      </c>
    </row>
    <row r="774" spans="1:7">
      <c r="A774" s="50">
        <v>68.87</v>
      </c>
      <c r="B774" s="50">
        <v>72.09</v>
      </c>
      <c r="C774" s="50">
        <v>68.41</v>
      </c>
      <c r="D774" s="50">
        <v>72.09</v>
      </c>
      <c r="E774" s="50">
        <v>361602</v>
      </c>
      <c r="F774" s="50" t="s">
        <v>811</v>
      </c>
      <c r="G774" s="25">
        <f t="shared" si="8"/>
        <v>-4.4666389235677562E-2</v>
      </c>
    </row>
    <row r="775" spans="1:7">
      <c r="A775" s="50">
        <v>71.069999999999993</v>
      </c>
      <c r="B775" s="50">
        <v>71.185000000000002</v>
      </c>
      <c r="C775" s="50">
        <v>69</v>
      </c>
      <c r="D775" s="50">
        <v>69.23</v>
      </c>
      <c r="E775" s="50">
        <v>417162</v>
      </c>
      <c r="F775" s="50" t="s">
        <v>812</v>
      </c>
      <c r="G775" s="25">
        <f t="shared" si="8"/>
        <v>2.6578073089700949E-2</v>
      </c>
    </row>
    <row r="776" spans="1:7">
      <c r="A776" s="50">
        <v>70.83</v>
      </c>
      <c r="B776" s="50">
        <v>72.5</v>
      </c>
      <c r="C776" s="50">
        <v>69.959999999999994</v>
      </c>
      <c r="D776" s="50">
        <v>71.92</v>
      </c>
      <c r="E776" s="50">
        <v>232642</v>
      </c>
      <c r="F776" s="50" t="s">
        <v>813</v>
      </c>
      <c r="G776" s="25">
        <f t="shared" ref="G776:G839" si="9">A776/D776-1</f>
        <v>-1.5155728587319284E-2</v>
      </c>
    </row>
    <row r="777" spans="1:7">
      <c r="A777" s="50">
        <v>71.48</v>
      </c>
      <c r="B777" s="50">
        <v>72.41</v>
      </c>
      <c r="C777" s="50">
        <v>70.63</v>
      </c>
      <c r="D777" s="50">
        <v>71.39</v>
      </c>
      <c r="E777" s="50">
        <v>402317</v>
      </c>
      <c r="F777" s="50" t="s">
        <v>814</v>
      </c>
      <c r="G777" s="25">
        <f t="shared" si="9"/>
        <v>1.2606807676145415E-3</v>
      </c>
    </row>
    <row r="778" spans="1:7">
      <c r="A778" s="50">
        <v>71.42</v>
      </c>
      <c r="B778" s="50">
        <v>71.838800000000006</v>
      </c>
      <c r="C778" s="50">
        <v>69.25</v>
      </c>
      <c r="D778" s="50">
        <v>69.77</v>
      </c>
      <c r="E778" s="50">
        <v>750620</v>
      </c>
      <c r="F778" s="50" t="s">
        <v>815</v>
      </c>
      <c r="G778" s="25">
        <f t="shared" si="9"/>
        <v>2.3649132865128264E-2</v>
      </c>
    </row>
    <row r="779" spans="1:7">
      <c r="A779" s="50">
        <v>71.72</v>
      </c>
      <c r="B779" s="50">
        <v>72.48</v>
      </c>
      <c r="C779" s="50">
        <v>70.739999999999995</v>
      </c>
      <c r="D779" s="50">
        <v>72.22</v>
      </c>
      <c r="E779" s="50">
        <v>538038</v>
      </c>
      <c r="F779" s="50" t="s">
        <v>816</v>
      </c>
      <c r="G779" s="25">
        <f t="shared" si="9"/>
        <v>-6.9232899473830045E-3</v>
      </c>
    </row>
    <row r="780" spans="1:7">
      <c r="A780" s="50">
        <v>72.31</v>
      </c>
      <c r="B780" s="50">
        <v>73.428700000000006</v>
      </c>
      <c r="C780" s="50">
        <v>71.252899999999997</v>
      </c>
      <c r="D780" s="50">
        <v>72.12</v>
      </c>
      <c r="E780" s="50">
        <v>811365</v>
      </c>
      <c r="F780" s="50" t="s">
        <v>817</v>
      </c>
      <c r="G780" s="25">
        <f t="shared" si="9"/>
        <v>2.6344980587909017E-3</v>
      </c>
    </row>
    <row r="781" spans="1:7">
      <c r="A781" s="50">
        <v>74</v>
      </c>
      <c r="B781" s="50">
        <v>77</v>
      </c>
      <c r="C781" s="50">
        <v>70.239999999999995</v>
      </c>
      <c r="D781" s="50">
        <v>70.900000000000006</v>
      </c>
      <c r="E781" s="50">
        <v>1322591</v>
      </c>
      <c r="F781" s="50" t="s">
        <v>818</v>
      </c>
      <c r="G781" s="25">
        <f t="shared" si="9"/>
        <v>4.37235543018335E-2</v>
      </c>
    </row>
    <row r="782" spans="1:7">
      <c r="A782" s="50">
        <v>72.569999999999993</v>
      </c>
      <c r="B782" s="50">
        <v>75.31</v>
      </c>
      <c r="C782" s="50">
        <v>71.564999999999998</v>
      </c>
      <c r="D782" s="50">
        <v>72.56</v>
      </c>
      <c r="E782" s="50">
        <v>894455</v>
      </c>
      <c r="F782" s="50" t="s">
        <v>819</v>
      </c>
      <c r="G782" s="25">
        <f t="shared" si="9"/>
        <v>1.3781697905179691E-4</v>
      </c>
    </row>
    <row r="783" spans="1:7">
      <c r="A783" s="50">
        <v>73.05</v>
      </c>
      <c r="B783" s="50">
        <v>74</v>
      </c>
      <c r="C783" s="50">
        <v>71.709999999999994</v>
      </c>
      <c r="D783" s="50">
        <v>73.349999999999994</v>
      </c>
      <c r="E783" s="50">
        <v>537229</v>
      </c>
      <c r="F783" s="50" t="s">
        <v>820</v>
      </c>
      <c r="G783" s="25">
        <f t="shared" si="9"/>
        <v>-4.0899795501022629E-3</v>
      </c>
    </row>
    <row r="784" spans="1:7">
      <c r="A784" s="50">
        <v>72.55</v>
      </c>
      <c r="B784" s="50">
        <v>73.650000000000006</v>
      </c>
      <c r="C784" s="50">
        <v>72.33</v>
      </c>
      <c r="D784" s="50">
        <v>73.069999999999993</v>
      </c>
      <c r="E784" s="50">
        <v>516276</v>
      </c>
      <c r="F784" s="50" t="s">
        <v>821</v>
      </c>
      <c r="G784" s="25">
        <f t="shared" si="9"/>
        <v>-7.116463664978756E-3</v>
      </c>
    </row>
    <row r="785" spans="1:7">
      <c r="A785" s="50">
        <v>74.319999999999993</v>
      </c>
      <c r="B785" s="50">
        <v>75.855000000000004</v>
      </c>
      <c r="C785" s="50">
        <v>74.11</v>
      </c>
      <c r="D785" s="50">
        <v>75.5</v>
      </c>
      <c r="E785" s="50">
        <v>438757</v>
      </c>
      <c r="F785" s="50" t="s">
        <v>822</v>
      </c>
      <c r="G785" s="25">
        <f t="shared" si="9"/>
        <v>-1.5629139072847797E-2</v>
      </c>
    </row>
    <row r="786" spans="1:7">
      <c r="A786" s="50">
        <v>74.3</v>
      </c>
      <c r="B786" s="50">
        <v>75.05</v>
      </c>
      <c r="C786" s="50">
        <v>73.47</v>
      </c>
      <c r="D786" s="50">
        <v>74.989999999999995</v>
      </c>
      <c r="E786" s="50">
        <v>353141</v>
      </c>
      <c r="F786" s="50" t="s">
        <v>823</v>
      </c>
      <c r="G786" s="25">
        <f t="shared" si="9"/>
        <v>-9.201226830244047E-3</v>
      </c>
    </row>
    <row r="787" spans="1:7">
      <c r="A787" s="50">
        <v>74.989999999999995</v>
      </c>
      <c r="B787" s="50">
        <v>75.06</v>
      </c>
      <c r="C787" s="50">
        <v>72.486800000000002</v>
      </c>
      <c r="D787" s="50">
        <v>73.62</v>
      </c>
      <c r="E787" s="50">
        <v>479341</v>
      </c>
      <c r="F787" s="50" t="s">
        <v>824</v>
      </c>
      <c r="G787" s="25">
        <f t="shared" si="9"/>
        <v>1.8609073621298489E-2</v>
      </c>
    </row>
    <row r="788" spans="1:7">
      <c r="A788" s="50">
        <v>73.62</v>
      </c>
      <c r="B788" s="50">
        <v>75.680000000000007</v>
      </c>
      <c r="C788" s="50">
        <v>73.484999999999999</v>
      </c>
      <c r="D788" s="50">
        <v>75</v>
      </c>
      <c r="E788" s="50">
        <v>361307</v>
      </c>
      <c r="F788" s="50" t="s">
        <v>825</v>
      </c>
      <c r="G788" s="25">
        <f t="shared" si="9"/>
        <v>-1.8399999999999972E-2</v>
      </c>
    </row>
    <row r="789" spans="1:7">
      <c r="A789" s="50">
        <v>76</v>
      </c>
      <c r="B789" s="50">
        <v>76.89</v>
      </c>
      <c r="C789" s="50">
        <v>74.55</v>
      </c>
      <c r="D789" s="50">
        <v>74.59</v>
      </c>
      <c r="E789" s="50">
        <v>502322</v>
      </c>
      <c r="F789" s="50" t="s">
        <v>826</v>
      </c>
      <c r="G789" s="25">
        <f t="shared" si="9"/>
        <v>1.890333824909507E-2</v>
      </c>
    </row>
    <row r="790" spans="1:7">
      <c r="A790" s="50">
        <v>77.599999999999994</v>
      </c>
      <c r="B790" s="50">
        <v>77.900000000000006</v>
      </c>
      <c r="C790" s="50">
        <v>75.19</v>
      </c>
      <c r="D790" s="50">
        <v>75.31</v>
      </c>
      <c r="E790" s="50">
        <v>685259</v>
      </c>
      <c r="F790" s="50" t="s">
        <v>827</v>
      </c>
      <c r="G790" s="25">
        <f t="shared" si="9"/>
        <v>3.0407648386668429E-2</v>
      </c>
    </row>
    <row r="791" spans="1:7">
      <c r="A791" s="50">
        <v>73.83</v>
      </c>
      <c r="B791" s="50">
        <v>74.650000000000006</v>
      </c>
      <c r="C791" s="50">
        <v>71.7</v>
      </c>
      <c r="D791" s="50">
        <v>71.8</v>
      </c>
      <c r="E791" s="50">
        <v>589614</v>
      </c>
      <c r="F791" s="50" t="s">
        <v>828</v>
      </c>
      <c r="G791" s="25">
        <f t="shared" si="9"/>
        <v>2.8272980501392819E-2</v>
      </c>
    </row>
    <row r="792" spans="1:7">
      <c r="A792" s="50">
        <v>71.8</v>
      </c>
      <c r="B792" s="50">
        <v>72.144999999999996</v>
      </c>
      <c r="C792" s="50">
        <v>70.73</v>
      </c>
      <c r="D792" s="50">
        <v>70.75</v>
      </c>
      <c r="E792" s="50">
        <v>325567</v>
      </c>
      <c r="F792" s="50" t="s">
        <v>829</v>
      </c>
      <c r="G792" s="25">
        <f t="shared" si="9"/>
        <v>1.4840989399293347E-2</v>
      </c>
    </row>
    <row r="793" spans="1:7">
      <c r="A793" s="50">
        <v>70.5</v>
      </c>
      <c r="B793" s="50">
        <v>71.650000000000006</v>
      </c>
      <c r="C793" s="50">
        <v>70.05</v>
      </c>
      <c r="D793" s="50">
        <v>70.75</v>
      </c>
      <c r="E793" s="50">
        <v>230657</v>
      </c>
      <c r="F793" s="50" t="s">
        <v>830</v>
      </c>
      <c r="G793" s="25">
        <f t="shared" si="9"/>
        <v>-3.5335689045936647E-3</v>
      </c>
    </row>
    <row r="794" spans="1:7">
      <c r="A794" s="50">
        <v>71.73</v>
      </c>
      <c r="B794" s="50">
        <v>71.989999999999995</v>
      </c>
      <c r="C794" s="50">
        <v>69.25</v>
      </c>
      <c r="D794" s="50">
        <v>69.25</v>
      </c>
      <c r="E794" s="50">
        <v>414449</v>
      </c>
      <c r="F794" s="50" t="s">
        <v>831</v>
      </c>
      <c r="G794" s="25">
        <f t="shared" si="9"/>
        <v>3.5812274368231201E-2</v>
      </c>
    </row>
    <row r="795" spans="1:7">
      <c r="A795" s="50">
        <v>69.739999999999995</v>
      </c>
      <c r="B795" s="50">
        <v>70.06</v>
      </c>
      <c r="C795" s="50">
        <v>67.89</v>
      </c>
      <c r="D795" s="50">
        <v>68.64</v>
      </c>
      <c r="E795" s="50">
        <v>536652</v>
      </c>
      <c r="F795" s="50" t="s">
        <v>832</v>
      </c>
      <c r="G795" s="25">
        <f t="shared" si="9"/>
        <v>1.6025641025640969E-2</v>
      </c>
    </row>
    <row r="796" spans="1:7">
      <c r="A796" s="50">
        <v>67.2</v>
      </c>
      <c r="B796" s="50">
        <v>67.67</v>
      </c>
      <c r="C796" s="50">
        <v>64.64</v>
      </c>
      <c r="D796" s="50">
        <v>67.33</v>
      </c>
      <c r="E796" s="50">
        <v>642185</v>
      </c>
      <c r="F796" s="50" t="s">
        <v>833</v>
      </c>
      <c r="G796" s="25">
        <f t="shared" si="9"/>
        <v>-1.9307886529035256E-3</v>
      </c>
    </row>
    <row r="797" spans="1:7">
      <c r="A797" s="50">
        <v>69.42</v>
      </c>
      <c r="B797" s="50">
        <v>72</v>
      </c>
      <c r="C797" s="50">
        <v>69.344999999999999</v>
      </c>
      <c r="D797" s="50">
        <v>70.83</v>
      </c>
      <c r="E797" s="50">
        <v>418503</v>
      </c>
      <c r="F797" s="50" t="s">
        <v>834</v>
      </c>
      <c r="G797" s="25">
        <f t="shared" si="9"/>
        <v>-1.9906819144430266E-2</v>
      </c>
    </row>
    <row r="798" spans="1:7">
      <c r="A798" s="50">
        <v>70.790000000000006</v>
      </c>
      <c r="B798" s="50">
        <v>70.89</v>
      </c>
      <c r="C798" s="50">
        <v>68.61</v>
      </c>
      <c r="D798" s="50">
        <v>69.099999999999994</v>
      </c>
      <c r="E798" s="50">
        <v>422605</v>
      </c>
      <c r="F798" s="50" t="s">
        <v>835</v>
      </c>
      <c r="G798" s="25">
        <f t="shared" si="9"/>
        <v>2.4457308248914789E-2</v>
      </c>
    </row>
    <row r="799" spans="1:7">
      <c r="A799" s="50">
        <v>68.88</v>
      </c>
      <c r="B799" s="50">
        <v>68.959999999999994</v>
      </c>
      <c r="C799" s="50">
        <v>65.605000000000004</v>
      </c>
      <c r="D799" s="50">
        <v>66.510000000000005</v>
      </c>
      <c r="E799" s="50">
        <v>570481</v>
      </c>
      <c r="F799" s="50" t="s">
        <v>836</v>
      </c>
      <c r="G799" s="25">
        <f t="shared" si="9"/>
        <v>3.5633739287325161E-2</v>
      </c>
    </row>
    <row r="800" spans="1:7">
      <c r="A800" s="50">
        <v>65.900000000000006</v>
      </c>
      <c r="B800" s="50">
        <v>68.38</v>
      </c>
      <c r="C800" s="50">
        <v>65.834999999999994</v>
      </c>
      <c r="D800" s="50">
        <v>67.19</v>
      </c>
      <c r="E800" s="50">
        <v>611125</v>
      </c>
      <c r="F800" s="50" t="s">
        <v>837</v>
      </c>
      <c r="G800" s="25">
        <f t="shared" si="9"/>
        <v>-1.9199285607977234E-2</v>
      </c>
    </row>
    <row r="801" spans="1:7">
      <c r="A801" s="50">
        <v>67.7</v>
      </c>
      <c r="B801" s="50">
        <v>71.48</v>
      </c>
      <c r="C801" s="50">
        <v>67.52</v>
      </c>
      <c r="D801" s="50">
        <v>68.7</v>
      </c>
      <c r="E801" s="50">
        <v>581685</v>
      </c>
      <c r="F801" s="50" t="s">
        <v>838</v>
      </c>
      <c r="G801" s="25">
        <f t="shared" si="9"/>
        <v>-1.4556040756914079E-2</v>
      </c>
    </row>
    <row r="802" spans="1:7">
      <c r="A802" s="50">
        <v>70.16</v>
      </c>
      <c r="B802" s="50">
        <v>71.114000000000004</v>
      </c>
      <c r="C802" s="50">
        <v>67.995000000000005</v>
      </c>
      <c r="D802" s="50">
        <v>70.19</v>
      </c>
      <c r="E802" s="50">
        <v>496703</v>
      </c>
      <c r="F802" s="50" t="s">
        <v>839</v>
      </c>
      <c r="G802" s="25">
        <f t="shared" si="9"/>
        <v>-4.2741131215273676E-4</v>
      </c>
    </row>
    <row r="803" spans="1:7">
      <c r="A803" s="50">
        <v>70.64</v>
      </c>
      <c r="B803" s="50">
        <v>72.980500000000006</v>
      </c>
      <c r="C803" s="50">
        <v>70.45</v>
      </c>
      <c r="D803" s="50">
        <v>71.77</v>
      </c>
      <c r="E803" s="50">
        <v>420638</v>
      </c>
      <c r="F803" s="50" t="s">
        <v>840</v>
      </c>
      <c r="G803" s="25">
        <f t="shared" si="9"/>
        <v>-1.5744740142120572E-2</v>
      </c>
    </row>
    <row r="804" spans="1:7">
      <c r="A804" s="50">
        <v>72.819999999999993</v>
      </c>
      <c r="B804" s="50">
        <v>72.94</v>
      </c>
      <c r="C804" s="50">
        <v>69.500100000000003</v>
      </c>
      <c r="D804" s="50">
        <v>71.64</v>
      </c>
      <c r="E804" s="50">
        <v>300747</v>
      </c>
      <c r="F804" s="50" t="s">
        <v>841</v>
      </c>
      <c r="G804" s="25">
        <f t="shared" si="9"/>
        <v>1.6471245114461075E-2</v>
      </c>
    </row>
    <row r="805" spans="1:7">
      <c r="A805" s="50">
        <v>71.33</v>
      </c>
      <c r="B805" s="50">
        <v>72.193299999999994</v>
      </c>
      <c r="C805" s="50">
        <v>70.620999999999995</v>
      </c>
      <c r="D805" s="50">
        <v>71</v>
      </c>
      <c r="E805" s="50">
        <v>274423</v>
      </c>
      <c r="F805" s="50" t="s">
        <v>842</v>
      </c>
      <c r="G805" s="25">
        <f t="shared" si="9"/>
        <v>4.6478873239437224E-3</v>
      </c>
    </row>
    <row r="806" spans="1:7">
      <c r="A806" s="50">
        <v>70.81</v>
      </c>
      <c r="B806" s="50">
        <v>71.12</v>
      </c>
      <c r="C806" s="50">
        <v>68.209999999999994</v>
      </c>
      <c r="D806" s="50">
        <v>68.48</v>
      </c>
      <c r="E806" s="50">
        <v>254605</v>
      </c>
      <c r="F806" s="50" t="s">
        <v>843</v>
      </c>
      <c r="G806" s="25">
        <f t="shared" si="9"/>
        <v>3.4024532710280386E-2</v>
      </c>
    </row>
    <row r="807" spans="1:7">
      <c r="A807" s="50">
        <v>68.88</v>
      </c>
      <c r="B807" s="50">
        <v>70.734999999999999</v>
      </c>
      <c r="C807" s="50">
        <v>67.66</v>
      </c>
      <c r="D807" s="50">
        <v>67.66</v>
      </c>
      <c r="E807" s="50">
        <v>370756</v>
      </c>
      <c r="F807" s="50" t="s">
        <v>844</v>
      </c>
      <c r="G807" s="25">
        <f t="shared" si="9"/>
        <v>1.8031333136269589E-2</v>
      </c>
    </row>
    <row r="808" spans="1:7">
      <c r="A808" s="50">
        <v>69.02</v>
      </c>
      <c r="B808" s="50">
        <v>69.400000000000006</v>
      </c>
      <c r="C808" s="50">
        <v>65.27</v>
      </c>
      <c r="D808" s="50">
        <v>67.150000000000006</v>
      </c>
      <c r="E808" s="50">
        <v>384530</v>
      </c>
      <c r="F808" s="50" t="s">
        <v>845</v>
      </c>
      <c r="G808" s="25">
        <f t="shared" si="9"/>
        <v>2.7848101265822711E-2</v>
      </c>
    </row>
    <row r="809" spans="1:7">
      <c r="A809" s="50">
        <v>66.44</v>
      </c>
      <c r="B809" s="50">
        <v>68.81</v>
      </c>
      <c r="C809" s="50">
        <v>66.34</v>
      </c>
      <c r="D809" s="50">
        <v>67.97</v>
      </c>
      <c r="E809" s="50">
        <v>406765</v>
      </c>
      <c r="F809" s="50" t="s">
        <v>846</v>
      </c>
      <c r="G809" s="25">
        <f t="shared" si="9"/>
        <v>-2.2509930851846383E-2</v>
      </c>
    </row>
    <row r="810" spans="1:7">
      <c r="A810" s="50">
        <v>68.66</v>
      </c>
      <c r="B810" s="50">
        <v>69.150000000000006</v>
      </c>
      <c r="C810" s="50">
        <v>67.72</v>
      </c>
      <c r="D810" s="50">
        <v>69.11</v>
      </c>
      <c r="E810" s="50">
        <v>377883</v>
      </c>
      <c r="F810" s="50" t="s">
        <v>847</v>
      </c>
      <c r="G810" s="25">
        <f t="shared" si="9"/>
        <v>-6.5113587035161569E-3</v>
      </c>
    </row>
    <row r="811" spans="1:7">
      <c r="A811" s="50">
        <v>67.84</v>
      </c>
      <c r="B811" s="50">
        <v>69.900000000000006</v>
      </c>
      <c r="C811" s="50">
        <v>66.819999999999993</v>
      </c>
      <c r="D811" s="50">
        <v>68.5</v>
      </c>
      <c r="E811" s="50">
        <v>257224</v>
      </c>
      <c r="F811" s="50" t="s">
        <v>848</v>
      </c>
      <c r="G811" s="25">
        <f t="shared" si="9"/>
        <v>-9.6350364963503354E-3</v>
      </c>
    </row>
    <row r="812" spans="1:7">
      <c r="A812" s="50">
        <v>67.27</v>
      </c>
      <c r="B812" s="50">
        <v>67.77</v>
      </c>
      <c r="C812" s="50">
        <v>65.569999999999993</v>
      </c>
      <c r="D812" s="50">
        <v>66.239999999999995</v>
      </c>
      <c r="E812" s="50">
        <v>238878</v>
      </c>
      <c r="F812" s="50" t="s">
        <v>849</v>
      </c>
      <c r="G812" s="25">
        <f t="shared" si="9"/>
        <v>1.5549516908212491E-2</v>
      </c>
    </row>
    <row r="813" spans="1:7">
      <c r="A813" s="50">
        <v>67.47</v>
      </c>
      <c r="B813" s="50">
        <v>68.08</v>
      </c>
      <c r="C813" s="50">
        <v>65.028099999999995</v>
      </c>
      <c r="D813" s="50">
        <v>65.260000000000005</v>
      </c>
      <c r="E813" s="50">
        <v>245811</v>
      </c>
      <c r="F813" s="50" t="s">
        <v>850</v>
      </c>
      <c r="G813" s="25">
        <f t="shared" si="9"/>
        <v>3.3864541832669293E-2</v>
      </c>
    </row>
    <row r="814" spans="1:7">
      <c r="A814" s="50">
        <v>64.349999999999994</v>
      </c>
      <c r="B814" s="50">
        <v>64.849999999999994</v>
      </c>
      <c r="C814" s="50">
        <v>63.87</v>
      </c>
      <c r="D814" s="50">
        <v>64.56</v>
      </c>
      <c r="E814" s="50">
        <v>275312</v>
      </c>
      <c r="F814" s="50" t="s">
        <v>851</v>
      </c>
      <c r="G814" s="25">
        <f t="shared" si="9"/>
        <v>-3.2527881040893547E-3</v>
      </c>
    </row>
    <row r="815" spans="1:7">
      <c r="A815" s="50">
        <v>64.7</v>
      </c>
      <c r="B815" s="50">
        <v>65.489900000000006</v>
      </c>
      <c r="C815" s="50">
        <v>64</v>
      </c>
      <c r="D815" s="50">
        <v>65.36</v>
      </c>
      <c r="E815" s="50">
        <v>223384</v>
      </c>
      <c r="F815" s="50" t="s">
        <v>852</v>
      </c>
      <c r="G815" s="25">
        <f t="shared" si="9"/>
        <v>-1.0097919216646267E-2</v>
      </c>
    </row>
    <row r="816" spans="1:7">
      <c r="A816" s="50">
        <v>65.81</v>
      </c>
      <c r="B816" s="50">
        <v>66.28</v>
      </c>
      <c r="C816" s="50">
        <v>64.69</v>
      </c>
      <c r="D816" s="50">
        <v>65.680000000000007</v>
      </c>
      <c r="E816" s="50">
        <v>224311</v>
      </c>
      <c r="F816" s="50" t="s">
        <v>853</v>
      </c>
      <c r="G816" s="25">
        <f t="shared" si="9"/>
        <v>1.9792935444578053E-3</v>
      </c>
    </row>
    <row r="817" spans="1:7">
      <c r="A817" s="50">
        <v>66.03</v>
      </c>
      <c r="B817" s="50">
        <v>66.3</v>
      </c>
      <c r="C817" s="50">
        <v>64.77</v>
      </c>
      <c r="D817" s="50">
        <v>65.02</v>
      </c>
      <c r="E817" s="50">
        <v>257701</v>
      </c>
      <c r="F817" s="50" t="s">
        <v>854</v>
      </c>
      <c r="G817" s="25">
        <f t="shared" si="9"/>
        <v>1.5533681944017275E-2</v>
      </c>
    </row>
    <row r="818" spans="1:7">
      <c r="A818" s="50">
        <v>66.08</v>
      </c>
      <c r="B818" s="50">
        <v>66.95</v>
      </c>
      <c r="C818" s="50">
        <v>65.209999999999994</v>
      </c>
      <c r="D818" s="50">
        <v>66.27</v>
      </c>
      <c r="E818" s="50">
        <v>297995</v>
      </c>
      <c r="F818" s="50" t="s">
        <v>855</v>
      </c>
      <c r="G818" s="25">
        <f t="shared" si="9"/>
        <v>-2.8670590010562158E-3</v>
      </c>
    </row>
    <row r="819" spans="1:7">
      <c r="A819" s="50">
        <v>65.819999999999993</v>
      </c>
      <c r="B819" s="50">
        <v>66.69</v>
      </c>
      <c r="C819" s="50">
        <v>64.69</v>
      </c>
      <c r="D819" s="50">
        <v>64.900000000000006</v>
      </c>
      <c r="E819" s="50">
        <v>276254</v>
      </c>
      <c r="F819" s="50" t="s">
        <v>856</v>
      </c>
      <c r="G819" s="25">
        <f t="shared" si="9"/>
        <v>1.4175654853620712E-2</v>
      </c>
    </row>
    <row r="820" spans="1:7">
      <c r="A820" s="50">
        <v>65.55</v>
      </c>
      <c r="B820" s="50">
        <v>68.59</v>
      </c>
      <c r="C820" s="50">
        <v>65.22</v>
      </c>
      <c r="D820" s="50">
        <v>68.59</v>
      </c>
      <c r="E820" s="50">
        <v>356372</v>
      </c>
      <c r="F820" s="50" t="s">
        <v>857</v>
      </c>
      <c r="G820" s="25">
        <f t="shared" si="9"/>
        <v>-4.4321329639889329E-2</v>
      </c>
    </row>
    <row r="821" spans="1:7">
      <c r="A821" s="50">
        <v>68.63</v>
      </c>
      <c r="B821" s="50">
        <v>69.13</v>
      </c>
      <c r="C821" s="50">
        <v>66.22</v>
      </c>
      <c r="D821" s="50">
        <v>67.14</v>
      </c>
      <c r="E821" s="50">
        <v>625396</v>
      </c>
      <c r="F821" s="50" t="s">
        <v>858</v>
      </c>
      <c r="G821" s="25">
        <f t="shared" si="9"/>
        <v>2.2192433720583882E-2</v>
      </c>
    </row>
    <row r="822" spans="1:7">
      <c r="A822" s="50">
        <v>68.23</v>
      </c>
      <c r="B822" s="50">
        <v>70.489999999999995</v>
      </c>
      <c r="C822" s="50">
        <v>67.599999999999994</v>
      </c>
      <c r="D822" s="50">
        <v>69.58</v>
      </c>
      <c r="E822" s="50">
        <v>463592</v>
      </c>
      <c r="F822" s="50" t="s">
        <v>859</v>
      </c>
      <c r="G822" s="25">
        <f t="shared" si="9"/>
        <v>-1.940212704800226E-2</v>
      </c>
    </row>
    <row r="823" spans="1:7">
      <c r="A823" s="50">
        <v>70.989999999999995</v>
      </c>
      <c r="B823" s="50">
        <v>73.204999999999998</v>
      </c>
      <c r="C823" s="50">
        <v>70.16</v>
      </c>
      <c r="D823" s="50">
        <v>70.94</v>
      </c>
      <c r="E823" s="50">
        <v>392106</v>
      </c>
      <c r="F823" s="50" t="s">
        <v>860</v>
      </c>
      <c r="G823" s="25">
        <f t="shared" si="9"/>
        <v>7.0482097547208689E-4</v>
      </c>
    </row>
    <row r="824" spans="1:7">
      <c r="A824" s="50">
        <v>71.13</v>
      </c>
      <c r="B824" s="50">
        <v>73.64</v>
      </c>
      <c r="C824" s="50">
        <v>69.795000000000002</v>
      </c>
      <c r="D824" s="50">
        <v>72.959999999999994</v>
      </c>
      <c r="E824" s="50">
        <v>412384</v>
      </c>
      <c r="F824" s="50" t="s">
        <v>861</v>
      </c>
      <c r="G824" s="25">
        <f t="shared" si="9"/>
        <v>-2.5082236842105199E-2</v>
      </c>
    </row>
    <row r="825" spans="1:7">
      <c r="A825" s="50">
        <v>69.27</v>
      </c>
      <c r="B825" s="50">
        <v>70.959999999999994</v>
      </c>
      <c r="C825" s="50">
        <v>65.47</v>
      </c>
      <c r="D825" s="50">
        <v>66.790000000000006</v>
      </c>
      <c r="E825" s="50">
        <v>805276</v>
      </c>
      <c r="F825" s="50" t="s">
        <v>862</v>
      </c>
      <c r="G825" s="25">
        <f t="shared" si="9"/>
        <v>3.7131307081898379E-2</v>
      </c>
    </row>
    <row r="826" spans="1:7">
      <c r="A826" s="50">
        <v>66.19</v>
      </c>
      <c r="B826" s="50">
        <v>68.599999999999994</v>
      </c>
      <c r="C826" s="50">
        <v>66.02</v>
      </c>
      <c r="D826" s="50">
        <v>67.53</v>
      </c>
      <c r="E826" s="50">
        <v>330147</v>
      </c>
      <c r="F826" s="50" t="s">
        <v>863</v>
      </c>
      <c r="G826" s="25">
        <f t="shared" si="9"/>
        <v>-1.9843032726195808E-2</v>
      </c>
    </row>
    <row r="827" spans="1:7">
      <c r="A827" s="50">
        <v>67.84</v>
      </c>
      <c r="B827" s="50">
        <v>68.88</v>
      </c>
      <c r="C827" s="50">
        <v>64.14</v>
      </c>
      <c r="D827" s="50">
        <v>64.290000000000006</v>
      </c>
      <c r="E827" s="50">
        <v>580816</v>
      </c>
      <c r="F827" s="50" t="s">
        <v>864</v>
      </c>
      <c r="G827" s="25">
        <f t="shared" si="9"/>
        <v>5.5218540986156528E-2</v>
      </c>
    </row>
    <row r="828" spans="1:7">
      <c r="A828" s="50">
        <v>63.85</v>
      </c>
      <c r="B828" s="50">
        <v>63.96</v>
      </c>
      <c r="C828" s="50">
        <v>61.45</v>
      </c>
      <c r="D828" s="50">
        <v>62.17</v>
      </c>
      <c r="E828" s="50">
        <v>411076</v>
      </c>
      <c r="F828" s="50" t="s">
        <v>865</v>
      </c>
      <c r="G828" s="25">
        <f t="shared" si="9"/>
        <v>2.7022679749075129E-2</v>
      </c>
    </row>
    <row r="829" spans="1:7">
      <c r="A829" s="50">
        <v>62.41</v>
      </c>
      <c r="B829" s="50">
        <v>64.75</v>
      </c>
      <c r="C829" s="50">
        <v>62.28</v>
      </c>
      <c r="D829" s="50">
        <v>64.709999999999994</v>
      </c>
      <c r="E829" s="50">
        <v>442184</v>
      </c>
      <c r="F829" s="50" t="s">
        <v>866</v>
      </c>
      <c r="G829" s="25">
        <f t="shared" si="9"/>
        <v>-3.5543192705918658E-2</v>
      </c>
    </row>
    <row r="830" spans="1:7">
      <c r="A830" s="50">
        <v>65.17</v>
      </c>
      <c r="B830" s="50">
        <v>66.995000000000005</v>
      </c>
      <c r="C830" s="50">
        <v>64.25</v>
      </c>
      <c r="D830" s="50">
        <v>66.69</v>
      </c>
      <c r="E830" s="50">
        <v>397247</v>
      </c>
      <c r="F830" s="50" t="s">
        <v>867</v>
      </c>
      <c r="G830" s="25">
        <f t="shared" si="9"/>
        <v>-2.2792022792022748E-2</v>
      </c>
    </row>
    <row r="831" spans="1:7">
      <c r="A831" s="50">
        <v>67.290000000000006</v>
      </c>
      <c r="B831" s="50">
        <v>68.405000000000001</v>
      </c>
      <c r="C831" s="50">
        <v>66.430000000000007</v>
      </c>
      <c r="D831" s="50">
        <v>67.28</v>
      </c>
      <c r="E831" s="50">
        <v>379744</v>
      </c>
      <c r="F831" s="50" t="s">
        <v>868</v>
      </c>
      <c r="G831" s="25">
        <f t="shared" si="9"/>
        <v>1.4863258026176496E-4</v>
      </c>
    </row>
    <row r="832" spans="1:7">
      <c r="A832" s="50">
        <v>69.22</v>
      </c>
      <c r="B832" s="50">
        <v>69.88</v>
      </c>
      <c r="C832" s="50">
        <v>66.995000000000005</v>
      </c>
      <c r="D832" s="50">
        <v>67.459999999999994</v>
      </c>
      <c r="E832" s="50">
        <v>429155</v>
      </c>
      <c r="F832" s="50" t="s">
        <v>869</v>
      </c>
      <c r="G832" s="25">
        <f t="shared" si="9"/>
        <v>2.6089534538986214E-2</v>
      </c>
    </row>
    <row r="833" spans="1:7">
      <c r="A833" s="50">
        <v>67.69</v>
      </c>
      <c r="B833" s="50">
        <v>67.775000000000006</v>
      </c>
      <c r="C833" s="50">
        <v>63.62</v>
      </c>
      <c r="D833" s="50">
        <v>63.71</v>
      </c>
      <c r="E833" s="50">
        <v>578001</v>
      </c>
      <c r="F833" s="50" t="s">
        <v>870</v>
      </c>
      <c r="G833" s="25">
        <f t="shared" si="9"/>
        <v>6.2470569769266904E-2</v>
      </c>
    </row>
    <row r="834" spans="1:7">
      <c r="A834" s="50">
        <v>63.86</v>
      </c>
      <c r="B834" s="50">
        <v>64.06</v>
      </c>
      <c r="C834" s="50">
        <v>62.4</v>
      </c>
      <c r="D834" s="50">
        <v>62.72</v>
      </c>
      <c r="E834" s="50">
        <v>255275</v>
      </c>
      <c r="F834" s="50" t="s">
        <v>871</v>
      </c>
      <c r="G834" s="25">
        <f t="shared" si="9"/>
        <v>1.8176020408163351E-2</v>
      </c>
    </row>
    <row r="835" spans="1:7">
      <c r="A835" s="50">
        <v>62.56</v>
      </c>
      <c r="B835" s="50">
        <v>63.48</v>
      </c>
      <c r="C835" s="50">
        <v>61.88</v>
      </c>
      <c r="D835" s="50">
        <v>62.49</v>
      </c>
      <c r="E835" s="50">
        <v>317114</v>
      </c>
      <c r="F835" s="50" t="s">
        <v>872</v>
      </c>
      <c r="G835" s="25">
        <f t="shared" si="9"/>
        <v>1.1201792286765766E-3</v>
      </c>
    </row>
    <row r="836" spans="1:7">
      <c r="A836" s="50">
        <v>63.08</v>
      </c>
      <c r="B836" s="50">
        <v>63.84</v>
      </c>
      <c r="C836" s="50">
        <v>61.97</v>
      </c>
      <c r="D836" s="50">
        <v>62.94</v>
      </c>
      <c r="E836" s="50">
        <v>102464</v>
      </c>
      <c r="F836" s="50" t="s">
        <v>873</v>
      </c>
      <c r="G836" s="25">
        <f t="shared" si="9"/>
        <v>2.2243406418811507E-3</v>
      </c>
    </row>
    <row r="837" spans="1:7">
      <c r="A837" s="50">
        <v>63.14</v>
      </c>
      <c r="B837" s="50">
        <v>63.67</v>
      </c>
      <c r="C837" s="50">
        <v>59.73</v>
      </c>
      <c r="D837" s="50">
        <v>60.57</v>
      </c>
      <c r="E837" s="50">
        <v>481937</v>
      </c>
      <c r="F837" s="50" t="s">
        <v>874</v>
      </c>
      <c r="G837" s="25">
        <f t="shared" si="9"/>
        <v>4.243024599636791E-2</v>
      </c>
    </row>
    <row r="838" spans="1:7">
      <c r="A838" s="50">
        <v>60.57</v>
      </c>
      <c r="B838" s="50">
        <v>60.7</v>
      </c>
      <c r="C838" s="50">
        <v>58.03</v>
      </c>
      <c r="D838" s="50">
        <v>60.19</v>
      </c>
      <c r="E838" s="50">
        <v>253890</v>
      </c>
      <c r="F838" s="50" t="s">
        <v>875</v>
      </c>
      <c r="G838" s="25">
        <f t="shared" si="9"/>
        <v>6.3133410865592321E-3</v>
      </c>
    </row>
    <row r="839" spans="1:7">
      <c r="A839" s="50">
        <v>60.48</v>
      </c>
      <c r="B839" s="50">
        <v>60.71</v>
      </c>
      <c r="C839" s="50">
        <v>58.36</v>
      </c>
      <c r="D839" s="50">
        <v>59.75</v>
      </c>
      <c r="E839" s="50">
        <v>343959</v>
      </c>
      <c r="F839" s="50" t="s">
        <v>876</v>
      </c>
      <c r="G839" s="25">
        <f t="shared" si="9"/>
        <v>1.2217573221757316E-2</v>
      </c>
    </row>
    <row r="840" spans="1:7">
      <c r="A840" s="50">
        <v>60.52</v>
      </c>
      <c r="B840" s="50">
        <v>63.91</v>
      </c>
      <c r="C840" s="50">
        <v>59.99</v>
      </c>
      <c r="D840" s="50">
        <v>63.72</v>
      </c>
      <c r="E840" s="50">
        <v>278054</v>
      </c>
      <c r="F840" s="50" t="s">
        <v>877</v>
      </c>
      <c r="G840" s="25">
        <f t="shared" ref="G840:G903" si="10">A840/D840-1</f>
        <v>-5.0219711236660358E-2</v>
      </c>
    </row>
    <row r="841" spans="1:7">
      <c r="A841" s="50">
        <v>61.78</v>
      </c>
      <c r="B841" s="50">
        <v>63.534999999999997</v>
      </c>
      <c r="C841" s="50">
        <v>61.09</v>
      </c>
      <c r="D841" s="50">
        <v>62</v>
      </c>
      <c r="E841" s="50">
        <v>457660</v>
      </c>
      <c r="F841" s="50" t="s">
        <v>878</v>
      </c>
      <c r="G841" s="25">
        <f t="shared" si="10"/>
        <v>-3.548387096774186E-3</v>
      </c>
    </row>
    <row r="842" spans="1:7">
      <c r="A842" s="50">
        <v>64.2</v>
      </c>
      <c r="B842" s="50">
        <v>66.305000000000007</v>
      </c>
      <c r="C842" s="50">
        <v>63.55</v>
      </c>
      <c r="D842" s="50">
        <v>65.05</v>
      </c>
      <c r="E842" s="50">
        <v>309818</v>
      </c>
      <c r="F842" s="50" t="s">
        <v>879</v>
      </c>
      <c r="G842" s="25">
        <f t="shared" si="10"/>
        <v>-1.3066871637202104E-2</v>
      </c>
    </row>
    <row r="843" spans="1:7">
      <c r="A843" s="50">
        <v>65.84</v>
      </c>
      <c r="B843" s="50">
        <v>67.52</v>
      </c>
      <c r="C843" s="50">
        <v>64.099999999999994</v>
      </c>
      <c r="D843" s="50">
        <v>64.12</v>
      </c>
      <c r="E843" s="50">
        <v>688725</v>
      </c>
      <c r="F843" s="50" t="s">
        <v>880</v>
      </c>
      <c r="G843" s="25">
        <f t="shared" si="10"/>
        <v>2.682470368059886E-2</v>
      </c>
    </row>
    <row r="844" spans="1:7">
      <c r="A844" s="50">
        <v>63.49</v>
      </c>
      <c r="B844" s="50">
        <v>65.06</v>
      </c>
      <c r="C844" s="50">
        <v>63.4</v>
      </c>
      <c r="D844" s="50">
        <v>65.040000000000006</v>
      </c>
      <c r="E844" s="50">
        <v>379175</v>
      </c>
      <c r="F844" s="50" t="s">
        <v>881</v>
      </c>
      <c r="G844" s="25">
        <f t="shared" si="10"/>
        <v>-2.3831488314883242E-2</v>
      </c>
    </row>
    <row r="845" spans="1:7">
      <c r="A845" s="50">
        <v>65.680000000000007</v>
      </c>
      <c r="B845" s="50">
        <v>66.510000000000005</v>
      </c>
      <c r="C845" s="50">
        <v>61.51</v>
      </c>
      <c r="D845" s="50">
        <v>61.98</v>
      </c>
      <c r="E845" s="50">
        <v>422502</v>
      </c>
      <c r="F845" s="50" t="s">
        <v>882</v>
      </c>
      <c r="G845" s="25">
        <f t="shared" si="10"/>
        <v>5.9696676347208877E-2</v>
      </c>
    </row>
    <row r="846" spans="1:7">
      <c r="A846" s="50">
        <v>62.12</v>
      </c>
      <c r="B846" s="50">
        <v>62.32</v>
      </c>
      <c r="C846" s="50">
        <v>58.51</v>
      </c>
      <c r="D846" s="50">
        <v>58.52</v>
      </c>
      <c r="E846" s="50">
        <v>813848</v>
      </c>
      <c r="F846" s="50" t="s">
        <v>883</v>
      </c>
      <c r="G846" s="25">
        <f t="shared" si="10"/>
        <v>6.1517429938482415E-2</v>
      </c>
    </row>
    <row r="847" spans="1:7">
      <c r="A847" s="50">
        <v>54.47</v>
      </c>
      <c r="B847" s="50">
        <v>55.51</v>
      </c>
      <c r="C847" s="50">
        <v>53.61</v>
      </c>
      <c r="D847" s="50">
        <v>54.75</v>
      </c>
      <c r="E847" s="50">
        <v>458413</v>
      </c>
      <c r="F847" s="50" t="s">
        <v>884</v>
      </c>
      <c r="G847" s="25">
        <f t="shared" si="10"/>
        <v>-5.1141552511415611E-3</v>
      </c>
    </row>
    <row r="848" spans="1:7">
      <c r="A848" s="50">
        <v>55.24</v>
      </c>
      <c r="B848" s="50">
        <v>57.9</v>
      </c>
      <c r="C848" s="50">
        <v>54.96</v>
      </c>
      <c r="D848" s="50">
        <v>57.9</v>
      </c>
      <c r="E848" s="50">
        <v>710258</v>
      </c>
      <c r="F848" s="50" t="s">
        <v>885</v>
      </c>
      <c r="G848" s="25">
        <f t="shared" si="10"/>
        <v>-4.5941278065630309E-2</v>
      </c>
    </row>
    <row r="849" spans="1:7">
      <c r="A849" s="50">
        <v>57.49</v>
      </c>
      <c r="B849" s="50">
        <v>58.18</v>
      </c>
      <c r="C849" s="50">
        <v>54.84</v>
      </c>
      <c r="D849" s="50">
        <v>57.82</v>
      </c>
      <c r="E849" s="50">
        <v>911326</v>
      </c>
      <c r="F849" s="50" t="s">
        <v>886</v>
      </c>
      <c r="G849" s="25">
        <f t="shared" si="10"/>
        <v>-5.7073676928398598E-3</v>
      </c>
    </row>
    <row r="850" spans="1:7">
      <c r="A850" s="50">
        <v>57.86</v>
      </c>
      <c r="B850" s="50">
        <v>58.56</v>
      </c>
      <c r="C850" s="50">
        <v>52.94</v>
      </c>
      <c r="D850" s="50">
        <v>55</v>
      </c>
      <c r="E850" s="50">
        <v>1522766</v>
      </c>
      <c r="F850" s="50" t="s">
        <v>887</v>
      </c>
      <c r="G850" s="25">
        <f t="shared" si="10"/>
        <v>5.2000000000000046E-2</v>
      </c>
    </row>
    <row r="851" spans="1:7">
      <c r="A851" s="50">
        <v>49.02</v>
      </c>
      <c r="B851" s="50">
        <v>51.91</v>
      </c>
      <c r="C851" s="50">
        <v>48.73</v>
      </c>
      <c r="D851" s="50">
        <v>50.66</v>
      </c>
      <c r="E851" s="50">
        <v>993166</v>
      </c>
      <c r="F851" s="50" t="s">
        <v>888</v>
      </c>
      <c r="G851" s="25">
        <f t="shared" si="10"/>
        <v>-3.2372680615870397E-2</v>
      </c>
    </row>
    <row r="852" spans="1:7">
      <c r="A852" s="50">
        <v>51.5</v>
      </c>
      <c r="B852" s="50">
        <v>54.82</v>
      </c>
      <c r="C852" s="50">
        <v>51.204999999999998</v>
      </c>
      <c r="D852" s="50">
        <v>54.65</v>
      </c>
      <c r="E852" s="50">
        <v>1329389</v>
      </c>
      <c r="F852" s="50" t="s">
        <v>889</v>
      </c>
      <c r="G852" s="25">
        <f t="shared" si="10"/>
        <v>-5.7639524245196694E-2</v>
      </c>
    </row>
    <row r="853" spans="1:7">
      <c r="A853" s="50">
        <v>54.5</v>
      </c>
      <c r="B853" s="50">
        <v>57.44</v>
      </c>
      <c r="C853" s="50">
        <v>54.33</v>
      </c>
      <c r="D853" s="50">
        <v>57.12</v>
      </c>
      <c r="E853" s="50">
        <v>488844</v>
      </c>
      <c r="F853" s="50" t="s">
        <v>890</v>
      </c>
      <c r="G853" s="25">
        <f t="shared" si="10"/>
        <v>-4.5868347338935522E-2</v>
      </c>
    </row>
    <row r="854" spans="1:7">
      <c r="A854" s="50">
        <v>56</v>
      </c>
      <c r="B854" s="50">
        <v>57.39</v>
      </c>
      <c r="C854" s="50">
        <v>55.78</v>
      </c>
      <c r="D854" s="50">
        <v>56.98</v>
      </c>
      <c r="E854" s="50">
        <v>475010</v>
      </c>
      <c r="F854" s="50" t="s">
        <v>891</v>
      </c>
      <c r="G854" s="25">
        <f t="shared" si="10"/>
        <v>-1.7199017199017175E-2</v>
      </c>
    </row>
    <row r="855" spans="1:7">
      <c r="A855" s="50">
        <v>57.1</v>
      </c>
      <c r="B855" s="50">
        <v>58.155000000000001</v>
      </c>
      <c r="C855" s="50">
        <v>55.362499999999997</v>
      </c>
      <c r="D855" s="50">
        <v>57.01</v>
      </c>
      <c r="E855" s="50">
        <v>482936</v>
      </c>
      <c r="F855" s="50" t="s">
        <v>892</v>
      </c>
      <c r="G855" s="25">
        <f t="shared" si="10"/>
        <v>1.578670408700189E-3</v>
      </c>
    </row>
    <row r="856" spans="1:7">
      <c r="A856" s="50">
        <v>56.91</v>
      </c>
      <c r="B856" s="50">
        <v>58.22</v>
      </c>
      <c r="C856" s="50">
        <v>56.19</v>
      </c>
      <c r="D856" s="50">
        <v>56.85</v>
      </c>
      <c r="E856" s="50">
        <v>278315</v>
      </c>
      <c r="F856" s="50" t="s">
        <v>893</v>
      </c>
      <c r="G856" s="25">
        <f t="shared" si="10"/>
        <v>1.0554089709762238E-3</v>
      </c>
    </row>
    <row r="857" spans="1:7">
      <c r="A857" s="50">
        <v>56.15</v>
      </c>
      <c r="B857" s="50">
        <v>58.02</v>
      </c>
      <c r="C857" s="50">
        <v>54.18</v>
      </c>
      <c r="D857" s="50">
        <v>55.97</v>
      </c>
      <c r="E857" s="50">
        <v>307779</v>
      </c>
      <c r="F857" s="50" t="s">
        <v>894</v>
      </c>
      <c r="G857" s="25">
        <f t="shared" si="10"/>
        <v>3.2160085760228885E-3</v>
      </c>
    </row>
    <row r="858" spans="1:7">
      <c r="A858" s="50">
        <v>56.63</v>
      </c>
      <c r="B858" s="50">
        <v>56.85</v>
      </c>
      <c r="C858" s="50">
        <v>52.42</v>
      </c>
      <c r="D858" s="50">
        <v>53.13</v>
      </c>
      <c r="E858" s="50">
        <v>759000</v>
      </c>
      <c r="F858" s="50" t="s">
        <v>895</v>
      </c>
      <c r="G858" s="25">
        <f t="shared" si="10"/>
        <v>6.5876152832674562E-2</v>
      </c>
    </row>
    <row r="859" spans="1:7">
      <c r="A859" s="50">
        <v>52.4</v>
      </c>
      <c r="B859" s="50">
        <v>53.478000000000002</v>
      </c>
      <c r="C859" s="50">
        <v>51.18</v>
      </c>
      <c r="D859" s="50">
        <v>53.19</v>
      </c>
      <c r="E859" s="50">
        <v>436748</v>
      </c>
      <c r="F859" s="50" t="s">
        <v>896</v>
      </c>
      <c r="G859" s="25">
        <f t="shared" si="10"/>
        <v>-1.4852415867644297E-2</v>
      </c>
    </row>
    <row r="860" spans="1:7">
      <c r="A860" s="50">
        <v>53.18</v>
      </c>
      <c r="B860" s="50">
        <v>55.66</v>
      </c>
      <c r="C860" s="50">
        <v>51.83</v>
      </c>
      <c r="D860" s="50">
        <v>55.545000000000002</v>
      </c>
      <c r="E860" s="50">
        <v>946232</v>
      </c>
      <c r="F860" s="50" t="s">
        <v>897</v>
      </c>
      <c r="G860" s="25">
        <f t="shared" si="10"/>
        <v>-4.2578089837069122E-2</v>
      </c>
    </row>
    <row r="861" spans="1:7">
      <c r="A861" s="50">
        <v>56.63</v>
      </c>
      <c r="B861" s="50">
        <v>58.414999999999999</v>
      </c>
      <c r="C861" s="50">
        <v>54.81</v>
      </c>
      <c r="D861" s="50">
        <v>55.27</v>
      </c>
      <c r="E861" s="50">
        <v>459117</v>
      </c>
      <c r="F861" s="50" t="s">
        <v>898</v>
      </c>
      <c r="G861" s="25">
        <f t="shared" si="10"/>
        <v>2.4606477293287465E-2</v>
      </c>
    </row>
    <row r="862" spans="1:7">
      <c r="A862" s="50">
        <v>55.48</v>
      </c>
      <c r="B862" s="50">
        <v>59.68</v>
      </c>
      <c r="C862" s="50">
        <v>55.354999999999997</v>
      </c>
      <c r="D862" s="50">
        <v>58.36</v>
      </c>
      <c r="E862" s="50">
        <v>551618</v>
      </c>
      <c r="F862" s="50" t="s">
        <v>899</v>
      </c>
      <c r="G862" s="25">
        <f t="shared" si="10"/>
        <v>-4.9348869088416736E-2</v>
      </c>
    </row>
    <row r="863" spans="1:7">
      <c r="A863" s="50">
        <v>60.99</v>
      </c>
      <c r="B863" s="50">
        <v>62.93</v>
      </c>
      <c r="C863" s="50">
        <v>59.94</v>
      </c>
      <c r="D863" s="50">
        <v>62.34</v>
      </c>
      <c r="E863" s="50">
        <v>462429</v>
      </c>
      <c r="F863" s="50" t="s">
        <v>900</v>
      </c>
      <c r="G863" s="25">
        <f t="shared" si="10"/>
        <v>-2.1655437921077936E-2</v>
      </c>
    </row>
    <row r="864" spans="1:7">
      <c r="A864" s="50">
        <v>60.73</v>
      </c>
      <c r="B864" s="50">
        <v>62.15</v>
      </c>
      <c r="C864" s="50">
        <v>60.27</v>
      </c>
      <c r="D864" s="50">
        <v>60.27</v>
      </c>
      <c r="E864" s="50">
        <v>336327</v>
      </c>
      <c r="F864" s="50" t="s">
        <v>901</v>
      </c>
      <c r="G864" s="25">
        <f t="shared" si="10"/>
        <v>7.632321221171301E-3</v>
      </c>
    </row>
    <row r="865" spans="1:7">
      <c r="A865" s="50">
        <v>57.93</v>
      </c>
      <c r="B865" s="50">
        <v>61.73</v>
      </c>
      <c r="C865" s="50">
        <v>57.8</v>
      </c>
      <c r="D865" s="50">
        <v>61.14</v>
      </c>
      <c r="E865" s="50">
        <v>282692</v>
      </c>
      <c r="F865" s="50" t="s">
        <v>902</v>
      </c>
      <c r="G865" s="25">
        <f t="shared" si="10"/>
        <v>-5.2502453385672276E-2</v>
      </c>
    </row>
    <row r="866" spans="1:7">
      <c r="A866" s="50">
        <v>60.49</v>
      </c>
      <c r="B866" s="50">
        <v>62.37</v>
      </c>
      <c r="C866" s="50">
        <v>56.41</v>
      </c>
      <c r="D866" s="50">
        <v>57.54</v>
      </c>
      <c r="E866" s="50">
        <v>562994</v>
      </c>
      <c r="F866" s="50" t="s">
        <v>903</v>
      </c>
      <c r="G866" s="25">
        <f t="shared" si="10"/>
        <v>5.1268682655543962E-2</v>
      </c>
    </row>
    <row r="867" spans="1:7">
      <c r="A867" s="50">
        <v>59.41</v>
      </c>
      <c r="B867" s="50">
        <v>59.48</v>
      </c>
      <c r="C867" s="50">
        <v>56.97</v>
      </c>
      <c r="D867" s="50">
        <v>58.31</v>
      </c>
      <c r="E867" s="50">
        <v>407939</v>
      </c>
      <c r="F867" s="50" t="s">
        <v>904</v>
      </c>
      <c r="G867" s="25">
        <f t="shared" si="10"/>
        <v>1.8864688732635804E-2</v>
      </c>
    </row>
    <row r="868" spans="1:7">
      <c r="A868" s="50">
        <v>58.36</v>
      </c>
      <c r="B868" s="50">
        <v>59.95</v>
      </c>
      <c r="C868" s="50">
        <v>57.56</v>
      </c>
      <c r="D868" s="50">
        <v>59.89</v>
      </c>
      <c r="E868" s="50">
        <v>431521</v>
      </c>
      <c r="F868" s="50" t="s">
        <v>905</v>
      </c>
      <c r="G868" s="25">
        <f t="shared" si="10"/>
        <v>-2.5546835865753903E-2</v>
      </c>
    </row>
    <row r="869" spans="1:7">
      <c r="A869" s="50">
        <v>60.14</v>
      </c>
      <c r="B869" s="50">
        <v>62.72</v>
      </c>
      <c r="C869" s="50">
        <v>59.215000000000003</v>
      </c>
      <c r="D869" s="50">
        <v>62.54</v>
      </c>
      <c r="E869" s="50">
        <v>428593</v>
      </c>
      <c r="F869" s="50" t="s">
        <v>906</v>
      </c>
      <c r="G869" s="25">
        <f t="shared" si="10"/>
        <v>-3.837543971858004E-2</v>
      </c>
    </row>
    <row r="870" spans="1:7">
      <c r="A870" s="50">
        <v>62.52</v>
      </c>
      <c r="B870" s="50">
        <v>64.739999999999995</v>
      </c>
      <c r="C870" s="50">
        <v>61.32</v>
      </c>
      <c r="D870" s="50">
        <v>64.739999999999995</v>
      </c>
      <c r="E870" s="50">
        <v>341756</v>
      </c>
      <c r="F870" s="50" t="s">
        <v>907</v>
      </c>
      <c r="G870" s="25">
        <f t="shared" si="10"/>
        <v>-3.4291010194624549E-2</v>
      </c>
    </row>
    <row r="871" spans="1:7">
      <c r="A871" s="50">
        <v>66.099999999999994</v>
      </c>
      <c r="B871" s="50">
        <v>66.33</v>
      </c>
      <c r="C871" s="50">
        <v>64.8</v>
      </c>
      <c r="D871" s="50">
        <v>64.91</v>
      </c>
      <c r="E871" s="50">
        <v>300303</v>
      </c>
      <c r="F871" s="50" t="s">
        <v>908</v>
      </c>
      <c r="G871" s="25">
        <f t="shared" si="10"/>
        <v>1.8333076567555118E-2</v>
      </c>
    </row>
    <row r="872" spans="1:7">
      <c r="A872" s="50">
        <v>65.19</v>
      </c>
      <c r="B872" s="50">
        <v>65.89</v>
      </c>
      <c r="C872" s="50">
        <v>63.435000000000002</v>
      </c>
      <c r="D872" s="50">
        <v>64.06</v>
      </c>
      <c r="E872" s="50">
        <v>354745</v>
      </c>
      <c r="F872" s="50" t="s">
        <v>909</v>
      </c>
      <c r="G872" s="25">
        <f t="shared" si="10"/>
        <v>1.763971276927867E-2</v>
      </c>
    </row>
    <row r="873" spans="1:7">
      <c r="A873" s="50">
        <v>65.400000000000006</v>
      </c>
      <c r="B873" s="50">
        <v>65.45</v>
      </c>
      <c r="C873" s="50">
        <v>63.2</v>
      </c>
      <c r="D873" s="50">
        <v>63.26</v>
      </c>
      <c r="E873" s="50">
        <v>534961</v>
      </c>
      <c r="F873" s="50" t="s">
        <v>910</v>
      </c>
      <c r="G873" s="25">
        <f t="shared" si="10"/>
        <v>3.3828643692696891E-2</v>
      </c>
    </row>
    <row r="874" spans="1:7">
      <c r="A874" s="50">
        <v>61.51</v>
      </c>
      <c r="B874" s="50">
        <v>62.134999999999998</v>
      </c>
      <c r="C874" s="50">
        <v>59.96</v>
      </c>
      <c r="D874" s="50">
        <v>60.68</v>
      </c>
      <c r="E874" s="50">
        <v>337636</v>
      </c>
      <c r="F874" s="50" t="s">
        <v>911</v>
      </c>
      <c r="G874" s="25">
        <f t="shared" si="10"/>
        <v>1.3678312458800246E-2</v>
      </c>
    </row>
    <row r="875" spans="1:7">
      <c r="A875" s="50">
        <v>59.9</v>
      </c>
      <c r="B875" s="50">
        <v>61.96</v>
      </c>
      <c r="C875" s="50">
        <v>59.8</v>
      </c>
      <c r="D875" s="50">
        <v>60.12</v>
      </c>
      <c r="E875" s="50">
        <v>489213</v>
      </c>
      <c r="F875" s="50" t="s">
        <v>912</v>
      </c>
      <c r="G875" s="25">
        <f t="shared" si="10"/>
        <v>-3.6593479707252019E-3</v>
      </c>
    </row>
    <row r="876" spans="1:7">
      <c r="A876" s="50">
        <v>60.27</v>
      </c>
      <c r="B876" s="50">
        <v>60.5</v>
      </c>
      <c r="C876" s="50">
        <v>58.19</v>
      </c>
      <c r="D876" s="50">
        <v>59.21</v>
      </c>
      <c r="E876" s="50">
        <v>638696</v>
      </c>
      <c r="F876" s="50" t="s">
        <v>913</v>
      </c>
      <c r="G876" s="25">
        <f t="shared" si="10"/>
        <v>1.7902381354500951E-2</v>
      </c>
    </row>
    <row r="877" spans="1:7">
      <c r="A877" s="50">
        <v>60.43</v>
      </c>
      <c r="B877" s="50">
        <v>60.73</v>
      </c>
      <c r="C877" s="50">
        <v>55.69</v>
      </c>
      <c r="D877" s="50">
        <v>56.31</v>
      </c>
      <c r="E877" s="50">
        <v>1190440</v>
      </c>
      <c r="F877" s="50" t="s">
        <v>914</v>
      </c>
      <c r="G877" s="25">
        <f t="shared" si="10"/>
        <v>7.3166400284141231E-2</v>
      </c>
    </row>
    <row r="878" spans="1:7">
      <c r="A878" s="50">
        <v>55.83</v>
      </c>
      <c r="B878" s="50">
        <v>57.82</v>
      </c>
      <c r="C878" s="50">
        <v>55.48</v>
      </c>
      <c r="D878" s="50">
        <v>57.73</v>
      </c>
      <c r="E878" s="50">
        <v>579760</v>
      </c>
      <c r="F878" s="50" t="s">
        <v>915</v>
      </c>
      <c r="G878" s="25">
        <f t="shared" si="10"/>
        <v>-3.2911830937121023E-2</v>
      </c>
    </row>
    <row r="879" spans="1:7">
      <c r="A879" s="50">
        <v>56.77</v>
      </c>
      <c r="B879" s="50">
        <v>59.43</v>
      </c>
      <c r="C879" s="50">
        <v>56.17</v>
      </c>
      <c r="D879" s="50">
        <v>58</v>
      </c>
      <c r="E879" s="50">
        <v>909208</v>
      </c>
      <c r="F879" s="50" t="s">
        <v>916</v>
      </c>
      <c r="G879" s="25">
        <f t="shared" si="10"/>
        <v>-2.120689655172403E-2</v>
      </c>
    </row>
    <row r="880" spans="1:7">
      <c r="A880" s="50">
        <v>58.15</v>
      </c>
      <c r="B880" s="50">
        <v>59.27</v>
      </c>
      <c r="C880" s="50">
        <v>57.05</v>
      </c>
      <c r="D880" s="50">
        <v>58.9</v>
      </c>
      <c r="E880" s="50">
        <v>751825</v>
      </c>
      <c r="F880" s="50" t="s">
        <v>917</v>
      </c>
      <c r="G880" s="25">
        <f t="shared" si="10"/>
        <v>-1.2733446519524572E-2</v>
      </c>
    </row>
    <row r="881" spans="1:7">
      <c r="A881" s="50">
        <v>60.44</v>
      </c>
      <c r="B881" s="50">
        <v>62.435000000000002</v>
      </c>
      <c r="C881" s="50">
        <v>59.9</v>
      </c>
      <c r="D881" s="50">
        <v>62.25</v>
      </c>
      <c r="E881" s="50">
        <v>450113</v>
      </c>
      <c r="F881" s="50" t="s">
        <v>918</v>
      </c>
      <c r="G881" s="25">
        <f t="shared" si="10"/>
        <v>-2.9076305220883558E-2</v>
      </c>
    </row>
    <row r="882" spans="1:7">
      <c r="A882" s="50">
        <v>62.83</v>
      </c>
      <c r="B882" s="50">
        <v>65.290000000000006</v>
      </c>
      <c r="C882" s="50">
        <v>62.57</v>
      </c>
      <c r="D882" s="50">
        <v>64.59</v>
      </c>
      <c r="E882" s="50">
        <v>425171</v>
      </c>
      <c r="F882" s="50" t="s">
        <v>919</v>
      </c>
      <c r="G882" s="25">
        <f t="shared" si="10"/>
        <v>-2.7248800123858219E-2</v>
      </c>
    </row>
    <row r="883" spans="1:7">
      <c r="A883" s="50">
        <v>64.290000000000006</v>
      </c>
      <c r="B883" s="50">
        <v>66.06</v>
      </c>
      <c r="C883" s="50">
        <v>63.5501</v>
      </c>
      <c r="D883" s="50">
        <v>65.84</v>
      </c>
      <c r="E883" s="50">
        <v>268185</v>
      </c>
      <c r="F883" s="50" t="s">
        <v>920</v>
      </c>
      <c r="G883" s="25">
        <f t="shared" si="10"/>
        <v>-2.3541919805589284E-2</v>
      </c>
    </row>
    <row r="884" spans="1:7">
      <c r="A884" s="50">
        <v>66.45</v>
      </c>
      <c r="B884" s="50">
        <v>66.525000000000006</v>
      </c>
      <c r="C884" s="50">
        <v>64.38</v>
      </c>
      <c r="D884" s="50">
        <v>65.52</v>
      </c>
      <c r="E884" s="50">
        <v>377905</v>
      </c>
      <c r="F884" s="50" t="s">
        <v>921</v>
      </c>
      <c r="G884" s="25">
        <f t="shared" si="10"/>
        <v>1.4194139194139366E-2</v>
      </c>
    </row>
    <row r="885" spans="1:7">
      <c r="A885" s="50">
        <v>66.63</v>
      </c>
      <c r="B885" s="50">
        <v>68.739999999999995</v>
      </c>
      <c r="C885" s="50">
        <v>66.05</v>
      </c>
      <c r="D885" s="50">
        <v>68.36</v>
      </c>
      <c r="E885" s="50">
        <v>601101</v>
      </c>
      <c r="F885" s="50" t="s">
        <v>922</v>
      </c>
      <c r="G885" s="25">
        <f t="shared" si="10"/>
        <v>-2.5307197191340003E-2</v>
      </c>
    </row>
    <row r="886" spans="1:7">
      <c r="A886" s="50">
        <v>69.86</v>
      </c>
      <c r="B886" s="50">
        <v>72.510000000000005</v>
      </c>
      <c r="C886" s="50">
        <v>69.239999999999995</v>
      </c>
      <c r="D886" s="50">
        <v>70.12</v>
      </c>
      <c r="E886" s="50">
        <v>259721</v>
      </c>
      <c r="F886" s="50" t="s">
        <v>923</v>
      </c>
      <c r="G886" s="25">
        <f t="shared" si="10"/>
        <v>-3.7079292641187811E-3</v>
      </c>
    </row>
    <row r="887" spans="1:7">
      <c r="A887" s="50">
        <v>71</v>
      </c>
      <c r="B887" s="50">
        <v>71.47</v>
      </c>
      <c r="C887" s="50">
        <v>69.239999999999995</v>
      </c>
      <c r="D887" s="50">
        <v>71.02</v>
      </c>
      <c r="E887" s="50">
        <v>289995</v>
      </c>
      <c r="F887" s="50" t="s">
        <v>924</v>
      </c>
      <c r="G887" s="25">
        <f t="shared" si="10"/>
        <v>-2.8161081385524867E-4</v>
      </c>
    </row>
    <row r="888" spans="1:7">
      <c r="A888" s="50">
        <v>70.819999999999993</v>
      </c>
      <c r="B888" s="50">
        <v>72.17</v>
      </c>
      <c r="C888" s="50">
        <v>69.165000000000006</v>
      </c>
      <c r="D888" s="50">
        <v>70.81</v>
      </c>
      <c r="E888" s="50">
        <v>397408</v>
      </c>
      <c r="F888" s="50" t="s">
        <v>925</v>
      </c>
      <c r="G888" s="25">
        <f t="shared" si="10"/>
        <v>1.4122299110286285E-4</v>
      </c>
    </row>
    <row r="889" spans="1:7">
      <c r="A889" s="50">
        <v>74.22</v>
      </c>
      <c r="B889" s="50">
        <v>74.64</v>
      </c>
      <c r="C889" s="50">
        <v>72.789500000000004</v>
      </c>
      <c r="D889" s="50">
        <v>73.489999999999995</v>
      </c>
      <c r="E889" s="50">
        <v>369115</v>
      </c>
      <c r="F889" s="50" t="s">
        <v>926</v>
      </c>
      <c r="G889" s="25">
        <f t="shared" si="10"/>
        <v>9.9333242618044881E-3</v>
      </c>
    </row>
    <row r="890" spans="1:7">
      <c r="A890" s="50">
        <v>73.209999999999994</v>
      </c>
      <c r="B890" s="50">
        <v>74</v>
      </c>
      <c r="C890" s="50">
        <v>71.520200000000003</v>
      </c>
      <c r="D890" s="50">
        <v>71.53</v>
      </c>
      <c r="E890" s="50">
        <v>479903</v>
      </c>
      <c r="F890" s="50" t="s">
        <v>927</v>
      </c>
      <c r="G890" s="25">
        <f t="shared" si="10"/>
        <v>2.3486648958478851E-2</v>
      </c>
    </row>
    <row r="891" spans="1:7">
      <c r="A891" s="50">
        <v>70.81</v>
      </c>
      <c r="B891" s="50">
        <v>70.905000000000001</v>
      </c>
      <c r="C891" s="50">
        <v>67.547499999999999</v>
      </c>
      <c r="D891" s="50">
        <v>68.099999999999994</v>
      </c>
      <c r="E891" s="50">
        <v>528444</v>
      </c>
      <c r="F891" s="50" t="s">
        <v>928</v>
      </c>
      <c r="G891" s="25">
        <f t="shared" si="10"/>
        <v>3.9794419970631489E-2</v>
      </c>
    </row>
    <row r="892" spans="1:7">
      <c r="A892" s="50">
        <v>68.56</v>
      </c>
      <c r="B892" s="50">
        <v>68.69</v>
      </c>
      <c r="C892" s="50">
        <v>65.900000000000006</v>
      </c>
      <c r="D892" s="50">
        <v>66.2</v>
      </c>
      <c r="E892" s="50">
        <v>399831</v>
      </c>
      <c r="F892" s="50" t="s">
        <v>929</v>
      </c>
      <c r="G892" s="25">
        <f t="shared" si="10"/>
        <v>3.5649546827794643E-2</v>
      </c>
    </row>
    <row r="893" spans="1:7">
      <c r="A893" s="50">
        <v>66.08</v>
      </c>
      <c r="B893" s="50">
        <v>66.754999999999995</v>
      </c>
      <c r="C893" s="50">
        <v>64.784999999999997</v>
      </c>
      <c r="D893" s="50">
        <v>65.92</v>
      </c>
      <c r="E893" s="50">
        <v>373059</v>
      </c>
      <c r="F893" s="50" t="s">
        <v>930</v>
      </c>
      <c r="G893" s="25">
        <f t="shared" si="10"/>
        <v>2.4271844660193054E-3</v>
      </c>
    </row>
    <row r="894" spans="1:7">
      <c r="A894" s="50">
        <v>65.67</v>
      </c>
      <c r="B894" s="50">
        <v>66.59</v>
      </c>
      <c r="C894" s="50">
        <v>64.625</v>
      </c>
      <c r="D894" s="50">
        <v>65.709999999999994</v>
      </c>
      <c r="E894" s="50">
        <v>525422</v>
      </c>
      <c r="F894" s="50" t="s">
        <v>931</v>
      </c>
      <c r="G894" s="25">
        <f t="shared" si="10"/>
        <v>-6.0873535230543396E-4</v>
      </c>
    </row>
    <row r="895" spans="1:7">
      <c r="A895" s="50">
        <v>65.040000000000006</v>
      </c>
      <c r="B895" s="50">
        <v>67.62</v>
      </c>
      <c r="C895" s="50">
        <v>61.41</v>
      </c>
      <c r="D895" s="50">
        <v>66.319999999999993</v>
      </c>
      <c r="E895" s="50">
        <v>1345013</v>
      </c>
      <c r="F895" s="50" t="s">
        <v>932</v>
      </c>
      <c r="G895" s="25">
        <f t="shared" si="10"/>
        <v>-1.9300361881785078E-2</v>
      </c>
    </row>
    <row r="896" spans="1:7">
      <c r="A896" s="50">
        <v>67.94</v>
      </c>
      <c r="B896" s="50">
        <v>69.72</v>
      </c>
      <c r="C896" s="50">
        <v>67.760000000000005</v>
      </c>
      <c r="D896" s="50">
        <v>69.180000000000007</v>
      </c>
      <c r="E896" s="50">
        <v>430093</v>
      </c>
      <c r="F896" s="50" t="s">
        <v>933</v>
      </c>
      <c r="G896" s="25">
        <f t="shared" si="10"/>
        <v>-1.7924255565192393E-2</v>
      </c>
    </row>
    <row r="897" spans="1:7">
      <c r="A897" s="50">
        <v>67.56</v>
      </c>
      <c r="B897" s="50">
        <v>68.64</v>
      </c>
      <c r="C897" s="50">
        <v>67.174999999999997</v>
      </c>
      <c r="D897" s="50">
        <v>67.47</v>
      </c>
      <c r="E897" s="50">
        <v>444193</v>
      </c>
      <c r="F897" s="50" t="s">
        <v>934</v>
      </c>
      <c r="G897" s="25">
        <f t="shared" si="10"/>
        <v>1.3339261894176335E-3</v>
      </c>
    </row>
    <row r="898" spans="1:7">
      <c r="A898" s="50">
        <v>67.27</v>
      </c>
      <c r="B898" s="50">
        <v>68.66</v>
      </c>
      <c r="C898" s="50">
        <v>67.25</v>
      </c>
      <c r="D898" s="50">
        <v>67.25</v>
      </c>
      <c r="E898" s="50">
        <v>241802</v>
      </c>
      <c r="F898" s="50" t="s">
        <v>935</v>
      </c>
      <c r="G898" s="25">
        <f t="shared" si="10"/>
        <v>2.9739776951664965E-4</v>
      </c>
    </row>
    <row r="899" spans="1:7">
      <c r="A899" s="50">
        <v>68.44</v>
      </c>
      <c r="B899" s="50">
        <v>71.37</v>
      </c>
      <c r="C899" s="50">
        <v>67.430000000000007</v>
      </c>
      <c r="D899" s="50">
        <v>71.349999999999994</v>
      </c>
      <c r="E899" s="50">
        <v>461677</v>
      </c>
      <c r="F899" s="50" t="s">
        <v>936</v>
      </c>
      <c r="G899" s="25">
        <f t="shared" si="10"/>
        <v>-4.0784863349684564E-2</v>
      </c>
    </row>
    <row r="900" spans="1:7">
      <c r="A900" s="50">
        <v>71.349999999999994</v>
      </c>
      <c r="B900" s="50">
        <v>71.77</v>
      </c>
      <c r="C900" s="50">
        <v>70.22</v>
      </c>
      <c r="D900" s="50">
        <v>71.58</v>
      </c>
      <c r="E900" s="50">
        <v>483122</v>
      </c>
      <c r="F900" s="50" t="s">
        <v>937</v>
      </c>
      <c r="G900" s="25">
        <f t="shared" si="10"/>
        <v>-3.2131880413523994E-3</v>
      </c>
    </row>
    <row r="901" spans="1:7">
      <c r="A901" s="50">
        <v>70.69</v>
      </c>
      <c r="B901" s="50">
        <v>71.040000000000006</v>
      </c>
      <c r="C901" s="50">
        <v>68.709999999999994</v>
      </c>
      <c r="D901" s="50">
        <v>68.87</v>
      </c>
      <c r="E901" s="50">
        <v>355391</v>
      </c>
      <c r="F901" s="50" t="s">
        <v>938</v>
      </c>
      <c r="G901" s="25">
        <f t="shared" si="10"/>
        <v>2.6426600842166303E-2</v>
      </c>
    </row>
    <row r="902" spans="1:7">
      <c r="A902" s="50">
        <v>68.849999999999994</v>
      </c>
      <c r="B902" s="50">
        <v>70.97</v>
      </c>
      <c r="C902" s="50">
        <v>68.290000000000006</v>
      </c>
      <c r="D902" s="50">
        <v>70.22</v>
      </c>
      <c r="E902" s="50">
        <v>611983</v>
      </c>
      <c r="F902" s="50" t="s">
        <v>939</v>
      </c>
      <c r="G902" s="25">
        <f t="shared" si="10"/>
        <v>-1.9510111079464654E-2</v>
      </c>
    </row>
    <row r="903" spans="1:7">
      <c r="A903" s="50">
        <v>70.290000000000006</v>
      </c>
      <c r="B903" s="50">
        <v>70.489999999999995</v>
      </c>
      <c r="C903" s="50">
        <v>68.86</v>
      </c>
      <c r="D903" s="50">
        <v>69.91</v>
      </c>
      <c r="E903" s="50">
        <v>464565</v>
      </c>
      <c r="F903" s="50" t="s">
        <v>940</v>
      </c>
      <c r="G903" s="25">
        <f t="shared" si="10"/>
        <v>5.4355600057218734E-3</v>
      </c>
    </row>
    <row r="904" spans="1:7">
      <c r="A904" s="50">
        <v>71.39</v>
      </c>
      <c r="B904" s="50">
        <v>73.27</v>
      </c>
      <c r="C904" s="50">
        <v>70.67</v>
      </c>
      <c r="D904" s="50">
        <v>72.91</v>
      </c>
      <c r="E904" s="50">
        <v>474612</v>
      </c>
      <c r="F904" s="50" t="s">
        <v>941</v>
      </c>
      <c r="G904" s="25">
        <f t="shared" ref="G904:G967" si="11">A904/D904-1</f>
        <v>-2.0847620353860896E-2</v>
      </c>
    </row>
    <row r="905" spans="1:7">
      <c r="A905" s="50">
        <v>73.8</v>
      </c>
      <c r="B905" s="50">
        <v>74.41</v>
      </c>
      <c r="C905" s="50">
        <v>71.709999999999994</v>
      </c>
      <c r="D905" s="50">
        <v>74.349999999999994</v>
      </c>
      <c r="E905" s="50">
        <v>787929</v>
      </c>
      <c r="F905" s="50" t="s">
        <v>942</v>
      </c>
      <c r="G905" s="25">
        <f t="shared" si="11"/>
        <v>-7.3974445191660188E-3</v>
      </c>
    </row>
    <row r="906" spans="1:7">
      <c r="A906" s="50">
        <v>74.349999999999994</v>
      </c>
      <c r="B906" s="50">
        <v>76.08</v>
      </c>
      <c r="C906" s="50">
        <v>67.510000000000005</v>
      </c>
      <c r="D906" s="50">
        <v>67.849999999999994</v>
      </c>
      <c r="E906" s="50">
        <v>1625379</v>
      </c>
      <c r="F906" s="50" t="s">
        <v>943</v>
      </c>
      <c r="G906" s="25">
        <f t="shared" si="11"/>
        <v>9.5799557848194494E-2</v>
      </c>
    </row>
    <row r="907" spans="1:7">
      <c r="A907" s="50">
        <v>69.11</v>
      </c>
      <c r="B907" s="50">
        <v>69.930000000000007</v>
      </c>
      <c r="C907" s="50">
        <v>67.855000000000004</v>
      </c>
      <c r="D907" s="50">
        <v>69.75</v>
      </c>
      <c r="E907" s="50">
        <v>338103</v>
      </c>
      <c r="F907" s="50" t="s">
        <v>944</v>
      </c>
      <c r="G907" s="25">
        <f t="shared" si="11"/>
        <v>-9.1756272401434247E-3</v>
      </c>
    </row>
    <row r="908" spans="1:7">
      <c r="A908" s="50">
        <v>70.17</v>
      </c>
      <c r="B908" s="50">
        <v>70.489999999999995</v>
      </c>
      <c r="C908" s="50">
        <v>68.64</v>
      </c>
      <c r="D908" s="50">
        <v>69.39</v>
      </c>
      <c r="E908" s="50">
        <v>305274</v>
      </c>
      <c r="F908" s="50" t="s">
        <v>945</v>
      </c>
      <c r="G908" s="25">
        <f t="shared" si="11"/>
        <v>1.1240812797232991E-2</v>
      </c>
    </row>
    <row r="909" spans="1:7">
      <c r="A909" s="50">
        <v>69.760000000000005</v>
      </c>
      <c r="B909" s="50">
        <v>69.912499999999994</v>
      </c>
      <c r="C909" s="50">
        <v>68.02</v>
      </c>
      <c r="D909" s="50">
        <v>68.81</v>
      </c>
      <c r="E909" s="50">
        <v>287304</v>
      </c>
      <c r="F909" s="50" t="s">
        <v>946</v>
      </c>
      <c r="G909" s="25">
        <f t="shared" si="11"/>
        <v>1.3806132829530693E-2</v>
      </c>
    </row>
    <row r="910" spans="1:7">
      <c r="A910" s="50">
        <v>67.92</v>
      </c>
      <c r="B910" s="50">
        <v>71.040000000000006</v>
      </c>
      <c r="C910" s="50">
        <v>67.34</v>
      </c>
      <c r="D910" s="50">
        <v>71.040000000000006</v>
      </c>
      <c r="E910" s="50">
        <v>449265</v>
      </c>
      <c r="F910" s="50" t="s">
        <v>947</v>
      </c>
      <c r="G910" s="25">
        <f t="shared" si="11"/>
        <v>-4.391891891891897E-2</v>
      </c>
    </row>
    <row r="911" spans="1:7">
      <c r="A911" s="50">
        <v>69.87</v>
      </c>
      <c r="B911" s="50">
        <v>70.63</v>
      </c>
      <c r="C911" s="50">
        <v>67.510000000000005</v>
      </c>
      <c r="D911" s="50">
        <v>68.099999999999994</v>
      </c>
      <c r="E911" s="50">
        <v>604647</v>
      </c>
      <c r="F911" s="50" t="s">
        <v>948</v>
      </c>
      <c r="G911" s="25">
        <f t="shared" si="11"/>
        <v>2.5991189427312822E-2</v>
      </c>
    </row>
    <row r="912" spans="1:7">
      <c r="A912" s="50">
        <v>65.39</v>
      </c>
      <c r="B912" s="50">
        <v>65.650000000000006</v>
      </c>
      <c r="C912" s="50">
        <v>63.56</v>
      </c>
      <c r="D912" s="50">
        <v>65.650000000000006</v>
      </c>
      <c r="E912" s="50">
        <v>583480</v>
      </c>
      <c r="F912" s="50" t="s">
        <v>949</v>
      </c>
      <c r="G912" s="25">
        <f t="shared" si="11"/>
        <v>-3.9603960396040749E-3</v>
      </c>
    </row>
    <row r="913" spans="1:7">
      <c r="A913" s="50">
        <v>66.5</v>
      </c>
      <c r="B913" s="50">
        <v>68.915000000000006</v>
      </c>
      <c r="C913" s="50">
        <v>65.650099999999995</v>
      </c>
      <c r="D913" s="50">
        <v>68</v>
      </c>
      <c r="E913" s="50">
        <v>493089</v>
      </c>
      <c r="F913" s="50" t="s">
        <v>950</v>
      </c>
      <c r="G913" s="25">
        <f t="shared" si="11"/>
        <v>-2.2058823529411797E-2</v>
      </c>
    </row>
    <row r="914" spans="1:7">
      <c r="A914" s="50">
        <v>67.27</v>
      </c>
      <c r="B914" s="50">
        <v>68.944999999999993</v>
      </c>
      <c r="C914" s="50">
        <v>64.7</v>
      </c>
      <c r="D914" s="50">
        <v>65.59</v>
      </c>
      <c r="E914" s="50">
        <v>668940</v>
      </c>
      <c r="F914" s="50" t="s">
        <v>951</v>
      </c>
      <c r="G914" s="25">
        <f t="shared" si="11"/>
        <v>2.5613660618996725E-2</v>
      </c>
    </row>
    <row r="915" spans="1:7">
      <c r="A915" s="50">
        <v>67.62</v>
      </c>
      <c r="B915" s="50">
        <v>67.989999999999995</v>
      </c>
      <c r="C915" s="50">
        <v>65.77</v>
      </c>
      <c r="D915" s="50">
        <v>67.239999999999995</v>
      </c>
      <c r="E915" s="50">
        <v>604263</v>
      </c>
      <c r="F915" s="50" t="s">
        <v>952</v>
      </c>
      <c r="G915" s="25">
        <f t="shared" si="11"/>
        <v>5.6513979773944456E-3</v>
      </c>
    </row>
    <row r="916" spans="1:7">
      <c r="A916" s="50">
        <v>66.930000000000007</v>
      </c>
      <c r="B916" s="50">
        <v>67.45</v>
      </c>
      <c r="C916" s="50">
        <v>64.7</v>
      </c>
      <c r="D916" s="50">
        <v>64.989999999999995</v>
      </c>
      <c r="E916" s="50">
        <v>448609</v>
      </c>
      <c r="F916" s="50" t="s">
        <v>953</v>
      </c>
      <c r="G916" s="25">
        <f t="shared" si="11"/>
        <v>2.9850746268656803E-2</v>
      </c>
    </row>
    <row r="917" spans="1:7">
      <c r="A917" s="50">
        <v>64.34</v>
      </c>
      <c r="B917" s="50">
        <v>65.08</v>
      </c>
      <c r="C917" s="50">
        <v>62.66</v>
      </c>
      <c r="D917" s="50">
        <v>62.84</v>
      </c>
      <c r="E917" s="50">
        <v>556005</v>
      </c>
      <c r="F917" s="50" t="s">
        <v>954</v>
      </c>
      <c r="G917" s="25">
        <f t="shared" si="11"/>
        <v>2.3870146403564663E-2</v>
      </c>
    </row>
    <row r="918" spans="1:7">
      <c r="A918" s="50">
        <v>63.33</v>
      </c>
      <c r="B918" s="50">
        <v>64.38</v>
      </c>
      <c r="C918" s="50">
        <v>60.41</v>
      </c>
      <c r="D918" s="50">
        <v>62.42</v>
      </c>
      <c r="E918" s="50">
        <v>464567</v>
      </c>
      <c r="F918" s="50" t="s">
        <v>955</v>
      </c>
      <c r="G918" s="25">
        <f t="shared" si="11"/>
        <v>1.4578660685677702E-2</v>
      </c>
    </row>
    <row r="919" spans="1:7">
      <c r="A919" s="50">
        <v>63.22</v>
      </c>
      <c r="B919" s="50">
        <v>63.97</v>
      </c>
      <c r="C919" s="50">
        <v>62.21</v>
      </c>
      <c r="D919" s="50">
        <v>63.71</v>
      </c>
      <c r="E919" s="50">
        <v>471980</v>
      </c>
      <c r="F919" s="50" t="s">
        <v>956</v>
      </c>
      <c r="G919" s="25">
        <f t="shared" si="11"/>
        <v>-7.6911002982263943E-3</v>
      </c>
    </row>
    <row r="920" spans="1:7">
      <c r="A920" s="50">
        <v>63.41</v>
      </c>
      <c r="B920" s="50">
        <v>64.47</v>
      </c>
      <c r="C920" s="50">
        <v>61.744999999999997</v>
      </c>
      <c r="D920" s="50">
        <v>63.41</v>
      </c>
      <c r="E920" s="50">
        <v>295871</v>
      </c>
      <c r="F920" s="50" t="s">
        <v>957</v>
      </c>
      <c r="G920" s="25">
        <f t="shared" si="11"/>
        <v>0</v>
      </c>
    </row>
    <row r="921" spans="1:7">
      <c r="A921" s="50">
        <v>63.46</v>
      </c>
      <c r="B921" s="50">
        <v>64.010000000000005</v>
      </c>
      <c r="C921" s="50">
        <v>61.72</v>
      </c>
      <c r="D921" s="50">
        <v>62.61</v>
      </c>
      <c r="E921" s="50">
        <v>473806</v>
      </c>
      <c r="F921" s="50" t="s">
        <v>958</v>
      </c>
      <c r="G921" s="25">
        <f t="shared" si="11"/>
        <v>1.3576106053346138E-2</v>
      </c>
    </row>
    <row r="922" spans="1:7">
      <c r="A922" s="50">
        <v>61.62</v>
      </c>
      <c r="B922" s="50">
        <v>63.63</v>
      </c>
      <c r="C922" s="50">
        <v>61.064999999999998</v>
      </c>
      <c r="D922" s="50">
        <v>63.63</v>
      </c>
      <c r="E922" s="50">
        <v>516606</v>
      </c>
      <c r="F922" s="50" t="s">
        <v>959</v>
      </c>
      <c r="G922" s="25">
        <f t="shared" si="11"/>
        <v>-3.1588873173031717E-2</v>
      </c>
    </row>
    <row r="923" spans="1:7">
      <c r="A923" s="50">
        <v>64.06</v>
      </c>
      <c r="B923" s="50">
        <v>65.61</v>
      </c>
      <c r="C923" s="50">
        <v>63.03</v>
      </c>
      <c r="D923" s="50">
        <v>65.61</v>
      </c>
      <c r="E923" s="50">
        <v>531480</v>
      </c>
      <c r="F923" s="50" t="s">
        <v>960</v>
      </c>
      <c r="G923" s="25">
        <f t="shared" si="11"/>
        <v>-2.3624447492760159E-2</v>
      </c>
    </row>
    <row r="924" spans="1:7">
      <c r="A924" s="50">
        <v>65.349999999999994</v>
      </c>
      <c r="B924" s="50">
        <v>68.5</v>
      </c>
      <c r="C924" s="50">
        <v>64.03</v>
      </c>
      <c r="D924" s="50">
        <v>67.709999999999994</v>
      </c>
      <c r="E924" s="50">
        <v>530285</v>
      </c>
      <c r="F924" s="50" t="s">
        <v>961</v>
      </c>
      <c r="G924" s="25">
        <f t="shared" si="11"/>
        <v>-3.4854526657805307E-2</v>
      </c>
    </row>
    <row r="925" spans="1:7">
      <c r="A925" s="50">
        <v>67.709999999999994</v>
      </c>
      <c r="B925" s="50">
        <v>67.709999999999994</v>
      </c>
      <c r="C925" s="50">
        <v>63.94</v>
      </c>
      <c r="D925" s="50">
        <v>64.599999999999994</v>
      </c>
      <c r="E925" s="50">
        <v>655691</v>
      </c>
      <c r="F925" s="50" t="s">
        <v>962</v>
      </c>
      <c r="G925" s="25">
        <f t="shared" si="11"/>
        <v>4.8142414860681049E-2</v>
      </c>
    </row>
    <row r="926" spans="1:7">
      <c r="A926" s="50">
        <v>65.03</v>
      </c>
      <c r="B926" s="50">
        <v>65.5</v>
      </c>
      <c r="C926" s="50">
        <v>62.14</v>
      </c>
      <c r="D926" s="50">
        <v>62.14</v>
      </c>
      <c r="E926" s="50">
        <v>723062</v>
      </c>
      <c r="F926" s="50" t="s">
        <v>963</v>
      </c>
      <c r="G926" s="25">
        <f t="shared" si="11"/>
        <v>4.6507885420019379E-2</v>
      </c>
    </row>
    <row r="927" spans="1:7">
      <c r="A927" s="50">
        <v>61.83</v>
      </c>
      <c r="B927" s="50">
        <v>62.24</v>
      </c>
      <c r="C927" s="50">
        <v>60.566800000000001</v>
      </c>
      <c r="D927" s="50">
        <v>61.85</v>
      </c>
      <c r="E927" s="50">
        <v>857313</v>
      </c>
      <c r="F927" s="50" t="s">
        <v>964</v>
      </c>
      <c r="G927" s="25">
        <f t="shared" si="11"/>
        <v>-3.2336297493940069E-4</v>
      </c>
    </row>
    <row r="928" spans="1:7">
      <c r="A928" s="50">
        <v>61.38</v>
      </c>
      <c r="B928" s="50">
        <v>67.87</v>
      </c>
      <c r="C928" s="50">
        <v>61.08</v>
      </c>
      <c r="D928" s="50">
        <v>66.47</v>
      </c>
      <c r="E928" s="50">
        <v>1496211</v>
      </c>
      <c r="F928" s="50" t="s">
        <v>965</v>
      </c>
      <c r="G928" s="25">
        <f t="shared" si="11"/>
        <v>-7.6575898901760087E-2</v>
      </c>
    </row>
    <row r="929" spans="1:7">
      <c r="A929" s="50">
        <v>68.5</v>
      </c>
      <c r="B929" s="50">
        <v>69.150000000000006</v>
      </c>
      <c r="C929" s="50">
        <v>66.144999999999996</v>
      </c>
      <c r="D929" s="50">
        <v>67.010000000000005</v>
      </c>
      <c r="E929" s="50">
        <v>1130123</v>
      </c>
      <c r="F929" s="50" t="s">
        <v>966</v>
      </c>
      <c r="G929" s="25">
        <f t="shared" si="11"/>
        <v>2.2235487240710228E-2</v>
      </c>
    </row>
    <row r="930" spans="1:7">
      <c r="A930" s="50">
        <v>65.930000000000007</v>
      </c>
      <c r="B930" s="50">
        <v>71.180000000000007</v>
      </c>
      <c r="C930" s="50">
        <v>65.34</v>
      </c>
      <c r="D930" s="50">
        <v>69.790000000000006</v>
      </c>
      <c r="E930" s="50">
        <v>810779</v>
      </c>
      <c r="F930" s="50" t="s">
        <v>967</v>
      </c>
      <c r="G930" s="25">
        <f t="shared" si="11"/>
        <v>-5.5308783493337121E-2</v>
      </c>
    </row>
    <row r="931" spans="1:7">
      <c r="A931" s="50">
        <v>69.89</v>
      </c>
      <c r="B931" s="50">
        <v>70.47</v>
      </c>
      <c r="C931" s="50">
        <v>67.05</v>
      </c>
      <c r="D931" s="50">
        <v>68.2</v>
      </c>
      <c r="E931" s="50">
        <v>597312</v>
      </c>
      <c r="F931" s="50" t="s">
        <v>968</v>
      </c>
      <c r="G931" s="25">
        <f t="shared" si="11"/>
        <v>2.4780058651026282E-2</v>
      </c>
    </row>
    <row r="932" spans="1:7">
      <c r="A932" s="50">
        <v>69.72</v>
      </c>
      <c r="B932" s="50">
        <v>75.25</v>
      </c>
      <c r="C932" s="50">
        <v>68.790000000000006</v>
      </c>
      <c r="D932" s="50">
        <v>73.41</v>
      </c>
      <c r="E932" s="50">
        <v>617544</v>
      </c>
      <c r="F932" s="50" t="s">
        <v>969</v>
      </c>
      <c r="G932" s="25">
        <f t="shared" si="11"/>
        <v>-5.0265631385369769E-2</v>
      </c>
    </row>
    <row r="933" spans="1:7">
      <c r="A933" s="50">
        <v>73.7</v>
      </c>
      <c r="B933" s="50">
        <v>75.61</v>
      </c>
      <c r="C933" s="50">
        <v>72.099999999999994</v>
      </c>
      <c r="D933" s="50">
        <v>74.86</v>
      </c>
      <c r="E933" s="50">
        <v>559256</v>
      </c>
      <c r="F933" s="50" t="s">
        <v>970</v>
      </c>
      <c r="G933" s="25">
        <f t="shared" si="11"/>
        <v>-1.5495591771306438E-2</v>
      </c>
    </row>
    <row r="934" spans="1:7">
      <c r="A934" s="50">
        <v>75.75</v>
      </c>
      <c r="B934" s="50">
        <v>76.28</v>
      </c>
      <c r="C934" s="50">
        <v>73.56</v>
      </c>
      <c r="D934" s="50">
        <v>73.7</v>
      </c>
      <c r="E934" s="50">
        <v>512423</v>
      </c>
      <c r="F934" s="50" t="s">
        <v>971</v>
      </c>
      <c r="G934" s="25">
        <f t="shared" si="11"/>
        <v>2.7815468113975506E-2</v>
      </c>
    </row>
    <row r="935" spans="1:7">
      <c r="A935" s="50">
        <v>74.650000000000006</v>
      </c>
      <c r="B935" s="50">
        <v>74.83</v>
      </c>
      <c r="C935" s="50">
        <v>70.42</v>
      </c>
      <c r="D935" s="50">
        <v>70.42</v>
      </c>
      <c r="E935" s="50">
        <v>531019</v>
      </c>
      <c r="F935" s="50" t="s">
        <v>972</v>
      </c>
      <c r="G935" s="25">
        <f t="shared" si="11"/>
        <v>6.0068162453848384E-2</v>
      </c>
    </row>
    <row r="936" spans="1:7">
      <c r="A936" s="50">
        <v>70.650000000000006</v>
      </c>
      <c r="B936" s="50">
        <v>73.760000000000005</v>
      </c>
      <c r="C936" s="50">
        <v>70.61</v>
      </c>
      <c r="D936" s="50">
        <v>73.040000000000006</v>
      </c>
      <c r="E936" s="50">
        <v>312867</v>
      </c>
      <c r="F936" s="50" t="s">
        <v>973</v>
      </c>
      <c r="G936" s="25">
        <f t="shared" si="11"/>
        <v>-3.2721796276013126E-2</v>
      </c>
    </row>
    <row r="937" spans="1:7">
      <c r="A937" s="50">
        <v>72.484999999999999</v>
      </c>
      <c r="B937" s="50">
        <v>72.510000000000005</v>
      </c>
      <c r="C937" s="50">
        <v>66.66</v>
      </c>
      <c r="D937" s="50">
        <v>67.33</v>
      </c>
      <c r="E937" s="50">
        <v>550002</v>
      </c>
      <c r="F937" s="50" t="s">
        <v>974</v>
      </c>
      <c r="G937" s="25">
        <f t="shared" si="11"/>
        <v>7.6563196197831695E-2</v>
      </c>
    </row>
    <row r="938" spans="1:7">
      <c r="A938" s="50">
        <v>68.010000000000005</v>
      </c>
      <c r="B938" s="50">
        <v>68.260000000000005</v>
      </c>
      <c r="C938" s="50">
        <v>65.790000000000006</v>
      </c>
      <c r="D938" s="50">
        <v>67</v>
      </c>
      <c r="E938" s="50">
        <v>345491</v>
      </c>
      <c r="F938" s="50" t="s">
        <v>975</v>
      </c>
      <c r="G938" s="25">
        <f t="shared" si="11"/>
        <v>1.5074626865671625E-2</v>
      </c>
    </row>
    <row r="939" spans="1:7">
      <c r="A939" s="50">
        <v>66.599999999999994</v>
      </c>
      <c r="B939" s="50">
        <v>68.09</v>
      </c>
      <c r="C939" s="50">
        <v>65.53</v>
      </c>
      <c r="D939" s="50">
        <v>68.06</v>
      </c>
      <c r="E939" s="50">
        <v>597644</v>
      </c>
      <c r="F939" s="50" t="s">
        <v>976</v>
      </c>
      <c r="G939" s="25">
        <f t="shared" si="11"/>
        <v>-2.1451660299735664E-2</v>
      </c>
    </row>
    <row r="940" spans="1:7">
      <c r="A940" s="50">
        <v>68.95</v>
      </c>
      <c r="B940" s="50">
        <v>70.174999999999997</v>
      </c>
      <c r="C940" s="50">
        <v>68.209999999999994</v>
      </c>
      <c r="D940" s="50">
        <v>69.77</v>
      </c>
      <c r="E940" s="50">
        <v>526172</v>
      </c>
      <c r="F940" s="50" t="s">
        <v>977</v>
      </c>
      <c r="G940" s="25">
        <f t="shared" si="11"/>
        <v>-1.1752902393578846E-2</v>
      </c>
    </row>
    <row r="941" spans="1:7">
      <c r="A941" s="50">
        <v>70</v>
      </c>
      <c r="B941" s="50">
        <v>74.09</v>
      </c>
      <c r="C941" s="50">
        <v>69.78</v>
      </c>
      <c r="D941" s="50">
        <v>72.95</v>
      </c>
      <c r="E941" s="50">
        <v>742354</v>
      </c>
      <c r="F941" s="50" t="s">
        <v>978</v>
      </c>
      <c r="G941" s="25">
        <f t="shared" si="11"/>
        <v>-4.0438656614119273E-2</v>
      </c>
    </row>
    <row r="942" spans="1:7">
      <c r="A942" s="50">
        <v>73.05</v>
      </c>
      <c r="B942" s="50">
        <v>75.930000000000007</v>
      </c>
      <c r="C942" s="50">
        <v>72.61</v>
      </c>
      <c r="D942" s="50">
        <v>75.23</v>
      </c>
      <c r="E942" s="50">
        <v>462436</v>
      </c>
      <c r="F942" s="50" t="s">
        <v>979</v>
      </c>
      <c r="G942" s="25">
        <f t="shared" si="11"/>
        <v>-2.8977801409012405E-2</v>
      </c>
    </row>
    <row r="943" spans="1:7">
      <c r="A943" s="50">
        <v>75.19</v>
      </c>
      <c r="B943" s="50">
        <v>75.34</v>
      </c>
      <c r="C943" s="50">
        <v>70.63</v>
      </c>
      <c r="D943" s="50">
        <v>70.849999999999994</v>
      </c>
      <c r="E943" s="50">
        <v>736930</v>
      </c>
      <c r="F943" s="50" t="s">
        <v>980</v>
      </c>
      <c r="G943" s="25">
        <f t="shared" si="11"/>
        <v>6.1256175017643022E-2</v>
      </c>
    </row>
    <row r="944" spans="1:7">
      <c r="A944" s="50">
        <v>69.81</v>
      </c>
      <c r="B944" s="50">
        <v>70.400000000000006</v>
      </c>
      <c r="C944" s="50">
        <v>67.260000000000005</v>
      </c>
      <c r="D944" s="50">
        <v>68.209999999999994</v>
      </c>
      <c r="E944" s="50">
        <v>672911</v>
      </c>
      <c r="F944" s="50" t="s">
        <v>981</v>
      </c>
      <c r="G944" s="25">
        <f t="shared" si="11"/>
        <v>2.3456971118604342E-2</v>
      </c>
    </row>
    <row r="945" spans="1:7">
      <c r="A945" s="50">
        <v>67.5</v>
      </c>
      <c r="B945" s="50">
        <v>69.7</v>
      </c>
      <c r="C945" s="50">
        <v>66.965000000000003</v>
      </c>
      <c r="D945" s="50">
        <v>67.19</v>
      </c>
      <c r="E945" s="50">
        <v>729821</v>
      </c>
      <c r="F945" s="50" t="s">
        <v>982</v>
      </c>
      <c r="G945" s="25">
        <f t="shared" si="11"/>
        <v>4.6137818127698349E-3</v>
      </c>
    </row>
    <row r="946" spans="1:7">
      <c r="A946" s="50">
        <v>68.14</v>
      </c>
      <c r="B946" s="50">
        <v>70.040000000000006</v>
      </c>
      <c r="C946" s="50">
        <v>68.03</v>
      </c>
      <c r="D946" s="50">
        <v>68.13</v>
      </c>
      <c r="E946" s="50">
        <v>351711</v>
      </c>
      <c r="F946" s="50" t="s">
        <v>983</v>
      </c>
      <c r="G946" s="25">
        <f t="shared" si="11"/>
        <v>1.4677821811259761E-4</v>
      </c>
    </row>
    <row r="947" spans="1:7">
      <c r="A947" s="50">
        <v>67.73</v>
      </c>
      <c r="B947" s="50">
        <v>68.650000000000006</v>
      </c>
      <c r="C947" s="50">
        <v>66.45</v>
      </c>
      <c r="D947" s="50">
        <v>67.12</v>
      </c>
      <c r="E947" s="50">
        <v>877669</v>
      </c>
      <c r="F947" s="50" t="s">
        <v>984</v>
      </c>
      <c r="G947" s="25">
        <f t="shared" si="11"/>
        <v>9.0882002383789739E-3</v>
      </c>
    </row>
    <row r="948" spans="1:7">
      <c r="A948" s="50">
        <v>66.13</v>
      </c>
      <c r="B948" s="50">
        <v>67.430000000000007</v>
      </c>
      <c r="C948" s="50">
        <v>64.33</v>
      </c>
      <c r="D948" s="50">
        <v>66.88</v>
      </c>
      <c r="E948" s="50">
        <v>1098787</v>
      </c>
      <c r="F948" s="50" t="s">
        <v>985</v>
      </c>
      <c r="G948" s="25">
        <f t="shared" si="11"/>
        <v>-1.1214114832535871E-2</v>
      </c>
    </row>
    <row r="949" spans="1:7">
      <c r="A949" s="50">
        <v>68.930000000000007</v>
      </c>
      <c r="B949" s="50">
        <v>71.180000000000007</v>
      </c>
      <c r="C949" s="50">
        <v>67.86</v>
      </c>
      <c r="D949" s="50">
        <v>69.17</v>
      </c>
      <c r="E949" s="50">
        <v>887981</v>
      </c>
      <c r="F949" s="50" t="s">
        <v>986</v>
      </c>
      <c r="G949" s="25">
        <f t="shared" si="11"/>
        <v>-3.4697123030215105E-3</v>
      </c>
    </row>
    <row r="950" spans="1:7">
      <c r="A950" s="50">
        <v>68.06</v>
      </c>
      <c r="B950" s="50">
        <v>69.34</v>
      </c>
      <c r="C950" s="50">
        <v>66.53</v>
      </c>
      <c r="D950" s="50">
        <v>67.69</v>
      </c>
      <c r="E950" s="50">
        <v>763268</v>
      </c>
      <c r="F950" s="50" t="s">
        <v>987</v>
      </c>
      <c r="G950" s="25">
        <f t="shared" si="11"/>
        <v>5.4660954350718161E-3</v>
      </c>
    </row>
    <row r="951" spans="1:7">
      <c r="A951" s="50">
        <v>67.819999999999993</v>
      </c>
      <c r="B951" s="50">
        <v>71.38</v>
      </c>
      <c r="C951" s="50">
        <v>66.555000000000007</v>
      </c>
      <c r="D951" s="50">
        <v>69.77</v>
      </c>
      <c r="E951" s="50">
        <v>1126897</v>
      </c>
      <c r="F951" s="50" t="s">
        <v>988</v>
      </c>
      <c r="G951" s="25">
        <f t="shared" si="11"/>
        <v>-2.7948975204242554E-2</v>
      </c>
    </row>
    <row r="952" spans="1:7">
      <c r="A952" s="50">
        <v>72.77</v>
      </c>
      <c r="B952" s="50">
        <v>73.680000000000007</v>
      </c>
      <c r="C952" s="50">
        <v>71.22</v>
      </c>
      <c r="D952" s="50">
        <v>73.03</v>
      </c>
      <c r="E952" s="50">
        <v>715556</v>
      </c>
      <c r="F952" s="50" t="s">
        <v>989</v>
      </c>
      <c r="G952" s="25">
        <f t="shared" si="11"/>
        <v>-3.5601807476379754E-3</v>
      </c>
    </row>
    <row r="953" spans="1:7">
      <c r="A953" s="50">
        <v>74.52</v>
      </c>
      <c r="B953" s="50">
        <v>76.7</v>
      </c>
      <c r="C953" s="50">
        <v>73.819999999999993</v>
      </c>
      <c r="D953" s="50">
        <v>75.989999999999995</v>
      </c>
      <c r="E953" s="50">
        <v>760945</v>
      </c>
      <c r="F953" s="50" t="s">
        <v>990</v>
      </c>
      <c r="G953" s="25">
        <f t="shared" si="11"/>
        <v>-1.9344650611922587E-2</v>
      </c>
    </row>
    <row r="954" spans="1:7">
      <c r="A954" s="50">
        <v>76.8</v>
      </c>
      <c r="B954" s="50">
        <v>79.23</v>
      </c>
      <c r="C954" s="50">
        <v>76.430599999999998</v>
      </c>
      <c r="D954" s="50">
        <v>78</v>
      </c>
      <c r="E954" s="50">
        <v>345644</v>
      </c>
      <c r="F954" s="50" t="s">
        <v>991</v>
      </c>
      <c r="G954" s="25">
        <f t="shared" si="11"/>
        <v>-1.5384615384615441E-2</v>
      </c>
    </row>
    <row r="955" spans="1:7">
      <c r="A955" s="50">
        <v>78.319999999999993</v>
      </c>
      <c r="B955" s="50">
        <v>78.400000000000006</v>
      </c>
      <c r="C955" s="50">
        <v>74.59</v>
      </c>
      <c r="D955" s="50">
        <v>74.849999999999994</v>
      </c>
      <c r="E955" s="50">
        <v>714508</v>
      </c>
      <c r="F955" s="50" t="s">
        <v>992</v>
      </c>
      <c r="G955" s="25">
        <f t="shared" si="11"/>
        <v>4.63593854375417E-2</v>
      </c>
    </row>
    <row r="956" spans="1:7">
      <c r="A956" s="50">
        <v>76.09</v>
      </c>
      <c r="B956" s="50">
        <v>77.66</v>
      </c>
      <c r="C956" s="50">
        <v>75.2</v>
      </c>
      <c r="D956" s="50">
        <v>76.72</v>
      </c>
      <c r="E956" s="50">
        <v>742909</v>
      </c>
      <c r="F956" s="50" t="s">
        <v>993</v>
      </c>
      <c r="G956" s="25">
        <f t="shared" si="11"/>
        <v>-8.2116788321167089E-3</v>
      </c>
    </row>
    <row r="957" spans="1:7">
      <c r="A957" s="50">
        <v>75.81</v>
      </c>
      <c r="B957" s="50">
        <v>76.52</v>
      </c>
      <c r="C957" s="50">
        <v>74.569999999999993</v>
      </c>
      <c r="D957" s="50">
        <v>76.069999999999993</v>
      </c>
      <c r="E957" s="50">
        <v>697027</v>
      </c>
      <c r="F957" s="50" t="s">
        <v>994</v>
      </c>
      <c r="G957" s="25">
        <f t="shared" si="11"/>
        <v>-3.4179045615878589E-3</v>
      </c>
    </row>
    <row r="958" spans="1:7">
      <c r="A958" s="50">
        <v>77.290000000000006</v>
      </c>
      <c r="B958" s="50">
        <v>77.45</v>
      </c>
      <c r="C958" s="50">
        <v>71.37</v>
      </c>
      <c r="D958" s="50">
        <v>73.11</v>
      </c>
      <c r="E958" s="50">
        <v>640780</v>
      </c>
      <c r="F958" s="50" t="s">
        <v>995</v>
      </c>
      <c r="G958" s="25">
        <f t="shared" si="11"/>
        <v>5.7174121187252069E-2</v>
      </c>
    </row>
    <row r="959" spans="1:7">
      <c r="A959" s="50">
        <v>72.73</v>
      </c>
      <c r="B959" s="50">
        <v>74.614999999999995</v>
      </c>
      <c r="C959" s="50">
        <v>70.819999999999993</v>
      </c>
      <c r="D959" s="50">
        <v>73.7</v>
      </c>
      <c r="E959" s="50">
        <v>663053</v>
      </c>
      <c r="F959" s="50" t="s">
        <v>996</v>
      </c>
      <c r="G959" s="25">
        <f t="shared" si="11"/>
        <v>-1.3161465400271299E-2</v>
      </c>
    </row>
    <row r="960" spans="1:7">
      <c r="A960" s="50">
        <v>73.22</v>
      </c>
      <c r="B960" s="50">
        <v>73.89</v>
      </c>
      <c r="C960" s="50">
        <v>71.33</v>
      </c>
      <c r="D960" s="50">
        <v>72.22</v>
      </c>
      <c r="E960" s="50">
        <v>820706</v>
      </c>
      <c r="F960" s="50" t="s">
        <v>997</v>
      </c>
      <c r="G960" s="25">
        <f t="shared" si="11"/>
        <v>1.3846579894766009E-2</v>
      </c>
    </row>
    <row r="961" spans="1:7">
      <c r="A961" s="50">
        <v>72.94</v>
      </c>
      <c r="B961" s="50">
        <v>74.459999999999994</v>
      </c>
      <c r="C961" s="50">
        <v>72.47</v>
      </c>
      <c r="D961" s="50">
        <v>73.400000000000006</v>
      </c>
      <c r="E961" s="50">
        <v>567157</v>
      </c>
      <c r="F961" s="50" t="s">
        <v>998</v>
      </c>
      <c r="G961" s="25">
        <f t="shared" si="11"/>
        <v>-6.2670299727521916E-3</v>
      </c>
    </row>
    <row r="962" spans="1:7">
      <c r="A962" s="50">
        <v>73</v>
      </c>
      <c r="B962" s="50">
        <v>74.040000000000006</v>
      </c>
      <c r="C962" s="50">
        <v>71.171000000000006</v>
      </c>
      <c r="D962" s="50">
        <v>72.599999999999994</v>
      </c>
      <c r="E962" s="50">
        <v>712721</v>
      </c>
      <c r="F962" s="50" t="s">
        <v>999</v>
      </c>
      <c r="G962" s="25">
        <f t="shared" si="11"/>
        <v>5.5096418732782926E-3</v>
      </c>
    </row>
    <row r="963" spans="1:7">
      <c r="A963" s="50">
        <v>72.48</v>
      </c>
      <c r="B963" s="50">
        <v>73.944999999999993</v>
      </c>
      <c r="C963" s="50">
        <v>68.900000000000006</v>
      </c>
      <c r="D963" s="50">
        <v>71.2</v>
      </c>
      <c r="E963" s="50">
        <v>915794</v>
      </c>
      <c r="F963" s="50" t="s">
        <v>1000</v>
      </c>
      <c r="G963" s="25">
        <f t="shared" si="11"/>
        <v>1.7977528089887729E-2</v>
      </c>
    </row>
    <row r="964" spans="1:7">
      <c r="A964" s="50">
        <v>71.48</v>
      </c>
      <c r="B964" s="50">
        <v>72.87</v>
      </c>
      <c r="C964" s="50">
        <v>67.680000000000007</v>
      </c>
      <c r="D964" s="50">
        <v>69.3</v>
      </c>
      <c r="E964" s="50">
        <v>1074622</v>
      </c>
      <c r="F964" s="50" t="s">
        <v>1001</v>
      </c>
      <c r="G964" s="25">
        <f t="shared" si="11"/>
        <v>3.1457431457431628E-2</v>
      </c>
    </row>
    <row r="965" spans="1:7">
      <c r="A965" s="50">
        <v>70.56</v>
      </c>
      <c r="B965" s="50">
        <v>71.77</v>
      </c>
      <c r="C965" s="50">
        <v>67.400000000000006</v>
      </c>
      <c r="D965" s="50">
        <v>71.77</v>
      </c>
      <c r="E965" s="50">
        <v>1219150</v>
      </c>
      <c r="F965" s="50" t="s">
        <v>1002</v>
      </c>
      <c r="G965" s="25">
        <f t="shared" si="11"/>
        <v>-1.685941201058927E-2</v>
      </c>
    </row>
    <row r="966" spans="1:7">
      <c r="A966" s="50">
        <v>72.069999999999993</v>
      </c>
      <c r="B966" s="50">
        <v>72.48</v>
      </c>
      <c r="C966" s="50">
        <v>66.935000000000002</v>
      </c>
      <c r="D966" s="50">
        <v>67.06</v>
      </c>
      <c r="E966" s="50">
        <v>1971459</v>
      </c>
      <c r="F966" s="50" t="s">
        <v>1003</v>
      </c>
      <c r="G966" s="25">
        <f t="shared" si="11"/>
        <v>7.4709215627795755E-2</v>
      </c>
    </row>
    <row r="967" spans="1:7">
      <c r="A967" s="50">
        <v>66</v>
      </c>
      <c r="B967" s="50">
        <v>67.11</v>
      </c>
      <c r="C967" s="50">
        <v>61.88</v>
      </c>
      <c r="D967" s="50">
        <v>61.88</v>
      </c>
      <c r="E967" s="50">
        <v>1274666</v>
      </c>
      <c r="F967" s="50" t="s">
        <v>1004</v>
      </c>
      <c r="G967" s="25">
        <f t="shared" si="11"/>
        <v>6.6580478345184213E-2</v>
      </c>
    </row>
    <row r="968" spans="1:7">
      <c r="A968" s="50">
        <v>61.9</v>
      </c>
      <c r="B968" s="50">
        <v>63.29</v>
      </c>
      <c r="C968" s="50">
        <v>60.51</v>
      </c>
      <c r="D968" s="50">
        <v>61.02</v>
      </c>
      <c r="E968" s="50">
        <v>1117763</v>
      </c>
      <c r="F968" s="50" t="s">
        <v>1005</v>
      </c>
      <c r="G968" s="25">
        <f t="shared" ref="G968:G1031" si="12">A968/D968-1</f>
        <v>1.4421501147164895E-2</v>
      </c>
    </row>
    <row r="969" spans="1:7">
      <c r="A969" s="50">
        <v>62.19</v>
      </c>
      <c r="B969" s="50">
        <v>62.31</v>
      </c>
      <c r="C969" s="50">
        <v>58.62</v>
      </c>
      <c r="D969" s="50">
        <v>59.88</v>
      </c>
      <c r="E969" s="50">
        <v>1863787</v>
      </c>
      <c r="F969" s="50" t="s">
        <v>1006</v>
      </c>
      <c r="G969" s="25">
        <f t="shared" si="12"/>
        <v>3.8577154308617079E-2</v>
      </c>
    </row>
    <row r="970" spans="1:7">
      <c r="A970" s="50">
        <v>58.43</v>
      </c>
      <c r="B970" s="50">
        <v>59</v>
      </c>
      <c r="C970" s="50">
        <v>56.774999999999999</v>
      </c>
      <c r="D970" s="50">
        <v>57.9</v>
      </c>
      <c r="E970" s="50">
        <v>1316250</v>
      </c>
      <c r="F970" s="50" t="s">
        <v>1007</v>
      </c>
      <c r="G970" s="25">
        <f t="shared" si="12"/>
        <v>9.1537132987911107E-3</v>
      </c>
    </row>
    <row r="971" spans="1:7">
      <c r="A971" s="50">
        <v>58.55</v>
      </c>
      <c r="B971" s="50">
        <v>59.524999999999999</v>
      </c>
      <c r="C971" s="50">
        <v>55.74</v>
      </c>
      <c r="D971" s="50">
        <v>55.74</v>
      </c>
      <c r="E971" s="50">
        <v>1327289</v>
      </c>
      <c r="F971" s="50" t="s">
        <v>1008</v>
      </c>
      <c r="G971" s="25">
        <f t="shared" si="12"/>
        <v>5.0412630068173536E-2</v>
      </c>
    </row>
    <row r="972" spans="1:7">
      <c r="A972" s="50">
        <v>54.39</v>
      </c>
      <c r="B972" s="50">
        <v>54.48</v>
      </c>
      <c r="C972" s="50">
        <v>49.66</v>
      </c>
      <c r="D972" s="50">
        <v>50.14</v>
      </c>
      <c r="E972" s="50">
        <v>1137592</v>
      </c>
      <c r="F972" s="50" t="s">
        <v>1009</v>
      </c>
      <c r="G972" s="25">
        <f t="shared" si="12"/>
        <v>8.4762664539290045E-2</v>
      </c>
    </row>
    <row r="973" spans="1:7">
      <c r="A973" s="50">
        <v>51.79</v>
      </c>
      <c r="B973" s="50">
        <v>54.83</v>
      </c>
      <c r="C973" s="50">
        <v>51.66</v>
      </c>
      <c r="D973" s="50">
        <v>52.92</v>
      </c>
      <c r="E973" s="50">
        <v>738053</v>
      </c>
      <c r="F973" s="50" t="s">
        <v>1010</v>
      </c>
      <c r="G973" s="25">
        <f t="shared" si="12"/>
        <v>-2.1352985638699917E-2</v>
      </c>
    </row>
    <row r="974" spans="1:7">
      <c r="A974" s="50">
        <v>53.74</v>
      </c>
      <c r="B974" s="50">
        <v>56.63</v>
      </c>
      <c r="C974" s="50">
        <v>50.9</v>
      </c>
      <c r="D974" s="50">
        <v>56.08</v>
      </c>
      <c r="E974" s="50">
        <v>959207</v>
      </c>
      <c r="F974" s="50" t="s">
        <v>1011</v>
      </c>
      <c r="G974" s="25">
        <f t="shared" si="12"/>
        <v>-4.1726105563480664E-2</v>
      </c>
    </row>
    <row r="975" spans="1:7">
      <c r="A975" s="50">
        <v>54.85</v>
      </c>
      <c r="B975" s="50">
        <v>59.63</v>
      </c>
      <c r="C975" s="50">
        <v>54.73</v>
      </c>
      <c r="D975" s="50">
        <v>59.17</v>
      </c>
      <c r="E975" s="50">
        <v>1001551</v>
      </c>
      <c r="F975" s="50" t="s">
        <v>1012</v>
      </c>
      <c r="G975" s="25">
        <f t="shared" si="12"/>
        <v>-7.3009971269224261E-2</v>
      </c>
    </row>
    <row r="976" spans="1:7">
      <c r="A976" s="50">
        <v>60.94</v>
      </c>
      <c r="B976" s="50">
        <v>63.74</v>
      </c>
      <c r="C976" s="50">
        <v>59.6</v>
      </c>
      <c r="D976" s="50">
        <v>61.18</v>
      </c>
      <c r="E976" s="50">
        <v>868203</v>
      </c>
      <c r="F976" s="50" t="s">
        <v>1013</v>
      </c>
      <c r="G976" s="25">
        <f t="shared" si="12"/>
        <v>-3.9228506047728207E-3</v>
      </c>
    </row>
    <row r="977" spans="1:7">
      <c r="A977" s="50">
        <v>61.99</v>
      </c>
      <c r="B977" s="50">
        <v>66.959999999999994</v>
      </c>
      <c r="C977" s="50">
        <v>61.725000000000001</v>
      </c>
      <c r="D977" s="50">
        <v>66.959999999999994</v>
      </c>
      <c r="E977" s="50">
        <v>751312</v>
      </c>
      <c r="F977" s="50" t="s">
        <v>1014</v>
      </c>
      <c r="G977" s="25">
        <f t="shared" si="12"/>
        <v>-7.4223416965352285E-2</v>
      </c>
    </row>
    <row r="978" spans="1:7">
      <c r="A978" s="50">
        <v>67.84</v>
      </c>
      <c r="B978" s="50">
        <v>68.245000000000005</v>
      </c>
      <c r="C978" s="50">
        <v>63.06</v>
      </c>
      <c r="D978" s="50">
        <v>67.91</v>
      </c>
      <c r="E978" s="50">
        <v>918739</v>
      </c>
      <c r="F978" s="50" t="s">
        <v>1015</v>
      </c>
      <c r="G978" s="25">
        <f t="shared" si="12"/>
        <v>-1.0307760270945598E-3</v>
      </c>
    </row>
    <row r="979" spans="1:7">
      <c r="A979" s="50">
        <v>67.7</v>
      </c>
      <c r="B979" s="50">
        <v>67.760000000000005</v>
      </c>
      <c r="C979" s="50">
        <v>65.58</v>
      </c>
      <c r="D979" s="50">
        <v>66.290000000000006</v>
      </c>
      <c r="E979" s="50">
        <v>1070824</v>
      </c>
      <c r="F979" s="50" t="s">
        <v>1016</v>
      </c>
      <c r="G979" s="25">
        <f t="shared" si="12"/>
        <v>2.1270176497209192E-2</v>
      </c>
    </row>
    <row r="980" spans="1:7">
      <c r="A980" s="50">
        <v>67.12</v>
      </c>
      <c r="B980" s="50">
        <v>68.06</v>
      </c>
      <c r="C980" s="50">
        <v>65.62</v>
      </c>
      <c r="D980" s="50">
        <v>66.37</v>
      </c>
      <c r="E980" s="50">
        <v>505943</v>
      </c>
      <c r="F980" s="50" t="s">
        <v>1017</v>
      </c>
      <c r="G980" s="25">
        <f t="shared" si="12"/>
        <v>1.130028627391888E-2</v>
      </c>
    </row>
    <row r="981" spans="1:7">
      <c r="A981" s="50">
        <v>67.05</v>
      </c>
      <c r="B981" s="50">
        <v>69.39</v>
      </c>
      <c r="C981" s="50">
        <v>66.92</v>
      </c>
      <c r="D981" s="50">
        <v>67.77</v>
      </c>
      <c r="E981" s="50">
        <v>907440</v>
      </c>
      <c r="F981" s="50" t="s">
        <v>1018</v>
      </c>
      <c r="G981" s="25">
        <f t="shared" si="12"/>
        <v>-1.0624169986719778E-2</v>
      </c>
    </row>
    <row r="982" spans="1:7">
      <c r="A982" s="50">
        <v>68.069999999999993</v>
      </c>
      <c r="B982" s="50">
        <v>68.19</v>
      </c>
      <c r="C982" s="50">
        <v>64.03</v>
      </c>
      <c r="D982" s="50">
        <v>66.05</v>
      </c>
      <c r="E982" s="50">
        <v>640829</v>
      </c>
      <c r="F982" s="50" t="s">
        <v>1019</v>
      </c>
      <c r="G982" s="25">
        <f t="shared" si="12"/>
        <v>3.0582891748675234E-2</v>
      </c>
    </row>
    <row r="983" spans="1:7">
      <c r="A983" s="50">
        <v>65.33</v>
      </c>
      <c r="B983" s="50">
        <v>67.180000000000007</v>
      </c>
      <c r="C983" s="50">
        <v>65.08</v>
      </c>
      <c r="D983" s="50">
        <v>66.03</v>
      </c>
      <c r="E983" s="50">
        <v>527298</v>
      </c>
      <c r="F983" s="50" t="s">
        <v>1020</v>
      </c>
      <c r="G983" s="25">
        <f t="shared" si="12"/>
        <v>-1.0601241859760746E-2</v>
      </c>
    </row>
    <row r="984" spans="1:7">
      <c r="A984" s="50">
        <v>66.209999999999994</v>
      </c>
      <c r="B984" s="50">
        <v>68.12</v>
      </c>
      <c r="C984" s="50">
        <v>65.510000000000005</v>
      </c>
      <c r="D984" s="50">
        <v>68.12</v>
      </c>
      <c r="E984" s="50">
        <v>630509</v>
      </c>
      <c r="F984" s="50" t="s">
        <v>1021</v>
      </c>
      <c r="G984" s="25">
        <f t="shared" si="12"/>
        <v>-2.8038755137991922E-2</v>
      </c>
    </row>
    <row r="985" spans="1:7">
      <c r="A985" s="50">
        <v>68.16</v>
      </c>
      <c r="B985" s="50">
        <v>68.27</v>
      </c>
      <c r="C985" s="50">
        <v>64.5</v>
      </c>
      <c r="D985" s="50">
        <v>64.59</v>
      </c>
      <c r="E985" s="50">
        <v>510218</v>
      </c>
      <c r="F985" s="50" t="s">
        <v>1022</v>
      </c>
      <c r="G985" s="25">
        <f t="shared" si="12"/>
        <v>5.5271713887598661E-2</v>
      </c>
    </row>
    <row r="986" spans="1:7">
      <c r="A986" s="50">
        <v>65.63</v>
      </c>
      <c r="B986" s="50">
        <v>67.150000000000006</v>
      </c>
      <c r="C986" s="50">
        <v>65.3</v>
      </c>
      <c r="D986" s="50">
        <v>66.25</v>
      </c>
      <c r="E986" s="50">
        <v>454292</v>
      </c>
      <c r="F986" s="50" t="s">
        <v>1023</v>
      </c>
      <c r="G986" s="25">
        <f t="shared" si="12"/>
        <v>-9.3584905660377693E-3</v>
      </c>
    </row>
    <row r="987" spans="1:7">
      <c r="A987" s="50">
        <v>66.27</v>
      </c>
      <c r="B987" s="50">
        <v>69.819999999999993</v>
      </c>
      <c r="C987" s="50">
        <v>65.63</v>
      </c>
      <c r="D987" s="50">
        <v>68.569999999999993</v>
      </c>
      <c r="E987" s="50">
        <v>533318</v>
      </c>
      <c r="F987" s="50" t="s">
        <v>1024</v>
      </c>
      <c r="G987" s="25">
        <f t="shared" si="12"/>
        <v>-3.3542365465947133E-2</v>
      </c>
    </row>
    <row r="988" spans="1:7">
      <c r="A988" s="50">
        <v>67.48</v>
      </c>
      <c r="B988" s="50">
        <v>71.27</v>
      </c>
      <c r="C988" s="50">
        <v>67.23</v>
      </c>
      <c r="D988" s="50">
        <v>70.58</v>
      </c>
      <c r="E988" s="50">
        <v>550044</v>
      </c>
      <c r="F988" s="50" t="s">
        <v>1025</v>
      </c>
      <c r="G988" s="25">
        <f t="shared" si="12"/>
        <v>-4.3921790875602107E-2</v>
      </c>
    </row>
    <row r="989" spans="1:7">
      <c r="A989" s="50">
        <v>69.989999999999995</v>
      </c>
      <c r="B989" s="50">
        <v>70.97</v>
      </c>
      <c r="C989" s="50">
        <v>68.209999999999994</v>
      </c>
      <c r="D989" s="50">
        <v>68.72</v>
      </c>
      <c r="E989" s="50">
        <v>361204</v>
      </c>
      <c r="F989" s="50" t="s">
        <v>1026</v>
      </c>
      <c r="G989" s="25">
        <f t="shared" si="12"/>
        <v>1.848079161816063E-2</v>
      </c>
    </row>
    <row r="990" spans="1:7">
      <c r="A990" s="50">
        <v>68.959999999999994</v>
      </c>
      <c r="B990" s="50">
        <v>69.63</v>
      </c>
      <c r="C990" s="50">
        <v>67.510000000000005</v>
      </c>
      <c r="D990" s="50">
        <v>69.260000000000005</v>
      </c>
      <c r="E990" s="50">
        <v>289206</v>
      </c>
      <c r="F990" s="50" t="s">
        <v>1027</v>
      </c>
      <c r="G990" s="25">
        <f t="shared" si="12"/>
        <v>-4.3315044758881482E-3</v>
      </c>
    </row>
    <row r="991" spans="1:7">
      <c r="A991" s="50">
        <v>69.59</v>
      </c>
      <c r="B991" s="50">
        <v>72.040000000000006</v>
      </c>
      <c r="C991" s="50">
        <v>69.319999999999993</v>
      </c>
      <c r="D991" s="50">
        <v>71.89</v>
      </c>
      <c r="E991" s="50">
        <v>257150</v>
      </c>
      <c r="F991" s="50" t="s">
        <v>1028</v>
      </c>
      <c r="G991" s="25">
        <f t="shared" si="12"/>
        <v>-3.1993323132563645E-2</v>
      </c>
    </row>
    <row r="992" spans="1:7">
      <c r="A992" s="50">
        <v>71.28</v>
      </c>
      <c r="B992" s="50">
        <v>71.805000000000007</v>
      </c>
      <c r="C992" s="50">
        <v>69.61</v>
      </c>
      <c r="D992" s="50">
        <v>69.63</v>
      </c>
      <c r="E992" s="50">
        <v>562747</v>
      </c>
      <c r="F992" s="50" t="s">
        <v>1029</v>
      </c>
      <c r="G992" s="25">
        <f t="shared" si="12"/>
        <v>2.369668246445511E-2</v>
      </c>
    </row>
    <row r="993" spans="1:7">
      <c r="A993" s="50">
        <v>69.77</v>
      </c>
      <c r="B993" s="50">
        <v>73.19</v>
      </c>
      <c r="C993" s="50">
        <v>69.09</v>
      </c>
      <c r="D993" s="50">
        <v>71.900000000000006</v>
      </c>
      <c r="E993" s="50">
        <v>570707</v>
      </c>
      <c r="F993" s="50" t="s">
        <v>1030</v>
      </c>
      <c r="G993" s="25">
        <f t="shared" si="12"/>
        <v>-2.962447844228111E-2</v>
      </c>
    </row>
    <row r="994" spans="1:7">
      <c r="A994" s="50">
        <v>70.41</v>
      </c>
      <c r="B994" s="50">
        <v>70.7</v>
      </c>
      <c r="C994" s="50">
        <v>67.83</v>
      </c>
      <c r="D994" s="50">
        <v>68.540000000000006</v>
      </c>
      <c r="E994" s="50">
        <v>348941</v>
      </c>
      <c r="F994" s="50" t="s">
        <v>1031</v>
      </c>
      <c r="G994" s="25">
        <f t="shared" si="12"/>
        <v>2.7283338196673279E-2</v>
      </c>
    </row>
    <row r="995" spans="1:7">
      <c r="A995" s="50">
        <v>69.53</v>
      </c>
      <c r="B995" s="50">
        <v>70.94</v>
      </c>
      <c r="C995" s="50">
        <v>69.41</v>
      </c>
      <c r="D995" s="50">
        <v>70.58</v>
      </c>
      <c r="E995" s="50">
        <v>283926</v>
      </c>
      <c r="F995" s="50" t="s">
        <v>1032</v>
      </c>
      <c r="G995" s="25">
        <f t="shared" si="12"/>
        <v>-1.4876735619155479E-2</v>
      </c>
    </row>
    <row r="996" spans="1:7">
      <c r="A996" s="50">
        <v>70.849999999999994</v>
      </c>
      <c r="B996" s="50">
        <v>72.47</v>
      </c>
      <c r="C996" s="50">
        <v>69.849999999999994</v>
      </c>
      <c r="D996" s="50">
        <v>71.650000000000006</v>
      </c>
      <c r="E996" s="50">
        <v>430003</v>
      </c>
      <c r="F996" s="50" t="s">
        <v>1033</v>
      </c>
      <c r="G996" s="25">
        <f t="shared" si="12"/>
        <v>-1.1165387299372109E-2</v>
      </c>
    </row>
    <row r="997" spans="1:7">
      <c r="A997" s="50">
        <v>71.87</v>
      </c>
      <c r="B997" s="50">
        <v>72.790000000000006</v>
      </c>
      <c r="C997" s="50">
        <v>70.67</v>
      </c>
      <c r="D997" s="50">
        <v>72.44</v>
      </c>
      <c r="E997" s="50">
        <v>317117</v>
      </c>
      <c r="F997" s="50" t="s">
        <v>1034</v>
      </c>
      <c r="G997" s="25">
        <f t="shared" si="12"/>
        <v>-7.8685808945333502E-3</v>
      </c>
    </row>
    <row r="998" spans="1:7">
      <c r="A998" s="50">
        <v>73.91</v>
      </c>
      <c r="B998" s="50">
        <v>75.77</v>
      </c>
      <c r="C998" s="50">
        <v>73.040000000000006</v>
      </c>
      <c r="D998" s="50">
        <v>75.77</v>
      </c>
      <c r="E998" s="50">
        <v>264691</v>
      </c>
      <c r="F998" s="50" t="s">
        <v>1035</v>
      </c>
      <c r="G998" s="25">
        <f t="shared" si="12"/>
        <v>-2.4547974132242301E-2</v>
      </c>
    </row>
    <row r="999" spans="1:7">
      <c r="A999" s="50">
        <v>75.66</v>
      </c>
      <c r="B999" s="50">
        <v>76.5</v>
      </c>
      <c r="C999" s="50">
        <v>73.66</v>
      </c>
      <c r="D999" s="50">
        <v>73.930000000000007</v>
      </c>
      <c r="E999" s="50">
        <v>332028</v>
      </c>
      <c r="F999" s="50" t="s">
        <v>1036</v>
      </c>
      <c r="G999" s="25">
        <f t="shared" si="12"/>
        <v>2.3400513999729311E-2</v>
      </c>
    </row>
    <row r="1000" spans="1:7">
      <c r="A1000" s="50">
        <v>73.91</v>
      </c>
      <c r="B1000" s="50">
        <v>74.88</v>
      </c>
      <c r="C1000" s="50">
        <v>73.03</v>
      </c>
      <c r="D1000" s="50">
        <v>73.349999999999994</v>
      </c>
      <c r="E1000" s="50">
        <v>305910</v>
      </c>
      <c r="F1000" s="50" t="s">
        <v>1037</v>
      </c>
      <c r="G1000" s="25">
        <f t="shared" si="12"/>
        <v>7.6346284935242537E-3</v>
      </c>
    </row>
    <row r="1001" spans="1:7">
      <c r="A1001" s="50">
        <v>73.22</v>
      </c>
      <c r="B1001" s="50">
        <v>75.02</v>
      </c>
      <c r="C1001" s="50">
        <v>73.069999999999993</v>
      </c>
      <c r="D1001" s="50">
        <v>74.290000000000006</v>
      </c>
      <c r="E1001" s="50">
        <v>365360</v>
      </c>
      <c r="F1001" s="50" t="s">
        <v>1038</v>
      </c>
      <c r="G1001" s="25">
        <f t="shared" si="12"/>
        <v>-1.4403015210661008E-2</v>
      </c>
    </row>
    <row r="1002" spans="1:7">
      <c r="A1002" s="50">
        <v>74.13</v>
      </c>
      <c r="B1002" s="50">
        <v>76.34</v>
      </c>
      <c r="C1002" s="50">
        <v>73.564999999999998</v>
      </c>
      <c r="D1002" s="50">
        <v>76.31</v>
      </c>
      <c r="E1002" s="50">
        <v>290502</v>
      </c>
      <c r="F1002" s="50" t="s">
        <v>1039</v>
      </c>
      <c r="G1002" s="25">
        <f t="shared" si="12"/>
        <v>-2.8567684445026997E-2</v>
      </c>
    </row>
    <row r="1003" spans="1:7">
      <c r="A1003" s="50">
        <v>76.98</v>
      </c>
      <c r="B1003" s="50">
        <v>77.489999999999995</v>
      </c>
      <c r="C1003" s="50">
        <v>73.61</v>
      </c>
      <c r="D1003" s="50">
        <v>73.72</v>
      </c>
      <c r="E1003" s="50">
        <v>763233</v>
      </c>
      <c r="F1003" s="50" t="s">
        <v>1040</v>
      </c>
      <c r="G1003" s="25">
        <f t="shared" si="12"/>
        <v>4.4221378187737415E-2</v>
      </c>
    </row>
    <row r="1004" spans="1:7">
      <c r="A1004" s="50">
        <v>72.16</v>
      </c>
      <c r="B1004" s="50">
        <v>73.42</v>
      </c>
      <c r="C1004" s="50">
        <v>71.037199999999999</v>
      </c>
      <c r="D1004" s="50">
        <v>72.08</v>
      </c>
      <c r="E1004" s="50">
        <v>563742</v>
      </c>
      <c r="F1004" s="50" t="s">
        <v>1041</v>
      </c>
      <c r="G1004" s="25">
        <f t="shared" si="12"/>
        <v>1.1098779134295356E-3</v>
      </c>
    </row>
    <row r="1005" spans="1:7">
      <c r="A1005" s="50">
        <v>72.28</v>
      </c>
      <c r="B1005" s="50">
        <v>75.150000000000006</v>
      </c>
      <c r="C1005" s="50">
        <v>71.185000000000002</v>
      </c>
      <c r="D1005" s="50">
        <v>74.209999999999994</v>
      </c>
      <c r="E1005" s="50">
        <v>406312</v>
      </c>
      <c r="F1005" s="50" t="s">
        <v>1042</v>
      </c>
      <c r="G1005" s="25">
        <f t="shared" si="12"/>
        <v>-2.6007276647352029E-2</v>
      </c>
    </row>
    <row r="1006" spans="1:7">
      <c r="A1006" s="50">
        <v>73.66</v>
      </c>
      <c r="B1006" s="50">
        <v>74.5</v>
      </c>
      <c r="C1006" s="50">
        <v>72.319999999999993</v>
      </c>
      <c r="D1006" s="50">
        <v>74.5</v>
      </c>
      <c r="E1006" s="50">
        <v>591751</v>
      </c>
      <c r="F1006" s="50" t="s">
        <v>1043</v>
      </c>
      <c r="G1006" s="25">
        <f t="shared" si="12"/>
        <v>-1.1275167785234963E-2</v>
      </c>
    </row>
    <row r="1007" spans="1:7">
      <c r="A1007" s="50">
        <v>74.12</v>
      </c>
      <c r="B1007" s="50">
        <v>76.75</v>
      </c>
      <c r="C1007" s="50">
        <v>74</v>
      </c>
      <c r="D1007" s="50">
        <v>75.900000000000006</v>
      </c>
      <c r="E1007" s="50">
        <v>492268</v>
      </c>
      <c r="F1007" s="50" t="s">
        <v>1044</v>
      </c>
      <c r="G1007" s="25">
        <f t="shared" si="12"/>
        <v>-2.3451910408432197E-2</v>
      </c>
    </row>
    <row r="1008" spans="1:7">
      <c r="A1008" s="50">
        <v>76.849999999999994</v>
      </c>
      <c r="B1008" s="50">
        <v>77.790000000000006</v>
      </c>
      <c r="C1008" s="50">
        <v>74.480099999999993</v>
      </c>
      <c r="D1008" s="50">
        <v>75.06</v>
      </c>
      <c r="E1008" s="50">
        <v>512425</v>
      </c>
      <c r="F1008" s="50" t="s">
        <v>1045</v>
      </c>
      <c r="G1008" s="25">
        <f t="shared" si="12"/>
        <v>2.3847588595789837E-2</v>
      </c>
    </row>
    <row r="1009" spans="1:7">
      <c r="A1009" s="50">
        <v>75.540000000000006</v>
      </c>
      <c r="B1009" s="50">
        <v>77.53</v>
      </c>
      <c r="C1009" s="50">
        <v>73.614999999999995</v>
      </c>
      <c r="D1009" s="50">
        <v>73.614999999999995</v>
      </c>
      <c r="E1009" s="50">
        <v>841311</v>
      </c>
      <c r="F1009" s="50" t="s">
        <v>1046</v>
      </c>
      <c r="G1009" s="25">
        <f t="shared" si="12"/>
        <v>2.6149561909937002E-2</v>
      </c>
    </row>
    <row r="1010" spans="1:7">
      <c r="A1010" s="50">
        <v>74.349999999999994</v>
      </c>
      <c r="B1010" s="50">
        <v>74.564999999999998</v>
      </c>
      <c r="C1010" s="50">
        <v>71.040000000000006</v>
      </c>
      <c r="D1010" s="50">
        <v>72.069999999999993</v>
      </c>
      <c r="E1010" s="50">
        <v>698748</v>
      </c>
      <c r="F1010" s="50" t="s">
        <v>1047</v>
      </c>
      <c r="G1010" s="25">
        <f t="shared" si="12"/>
        <v>3.1635909532399031E-2</v>
      </c>
    </row>
    <row r="1011" spans="1:7">
      <c r="A1011" s="50">
        <v>72.290000000000006</v>
      </c>
      <c r="B1011" s="50">
        <v>72.655000000000001</v>
      </c>
      <c r="C1011" s="50">
        <v>69</v>
      </c>
      <c r="D1011" s="50">
        <v>69.47</v>
      </c>
      <c r="E1011" s="50">
        <v>374872</v>
      </c>
      <c r="F1011" s="50" t="s">
        <v>1048</v>
      </c>
      <c r="G1011" s="25">
        <f t="shared" si="12"/>
        <v>4.0593061753274817E-2</v>
      </c>
    </row>
    <row r="1012" spans="1:7">
      <c r="A1012" s="50">
        <v>69.680000000000007</v>
      </c>
      <c r="B1012" s="50">
        <v>70.504999999999995</v>
      </c>
      <c r="C1012" s="50">
        <v>67.599999999999994</v>
      </c>
      <c r="D1012" s="50">
        <v>68.08</v>
      </c>
      <c r="E1012" s="50">
        <v>433147</v>
      </c>
      <c r="F1012" s="50" t="s">
        <v>1049</v>
      </c>
      <c r="G1012" s="25">
        <f t="shared" si="12"/>
        <v>2.3501762632197609E-2</v>
      </c>
    </row>
    <row r="1013" spans="1:7">
      <c r="A1013" s="50">
        <v>67.08</v>
      </c>
      <c r="B1013" s="50">
        <v>67.8</v>
      </c>
      <c r="C1013" s="50">
        <v>65.72</v>
      </c>
      <c r="D1013" s="50">
        <v>65.77</v>
      </c>
      <c r="E1013" s="50">
        <v>378268</v>
      </c>
      <c r="F1013" s="50" t="s">
        <v>1050</v>
      </c>
      <c r="G1013" s="25">
        <f t="shared" si="12"/>
        <v>1.9917895697126431E-2</v>
      </c>
    </row>
    <row r="1014" spans="1:7">
      <c r="A1014" s="50">
        <v>65.77</v>
      </c>
      <c r="B1014" s="50">
        <v>67.73</v>
      </c>
      <c r="C1014" s="50">
        <v>65.540000000000006</v>
      </c>
      <c r="D1014" s="50">
        <v>67.260000000000005</v>
      </c>
      <c r="E1014" s="50">
        <v>570101</v>
      </c>
      <c r="F1014" s="50" t="s">
        <v>1051</v>
      </c>
      <c r="G1014" s="25">
        <f t="shared" si="12"/>
        <v>-2.2152839726434892E-2</v>
      </c>
    </row>
    <row r="1015" spans="1:7">
      <c r="A1015" s="50">
        <v>67.319999999999993</v>
      </c>
      <c r="B1015" s="50">
        <v>71.989999999999995</v>
      </c>
      <c r="C1015" s="50">
        <v>67.319999999999993</v>
      </c>
      <c r="D1015" s="50">
        <v>71.56</v>
      </c>
      <c r="E1015" s="50">
        <v>461416</v>
      </c>
      <c r="F1015" s="50" t="s">
        <v>1052</v>
      </c>
      <c r="G1015" s="25">
        <f t="shared" si="12"/>
        <v>-5.9250978200111937E-2</v>
      </c>
    </row>
    <row r="1016" spans="1:7">
      <c r="A1016" s="50">
        <v>70.7</v>
      </c>
      <c r="B1016" s="50">
        <v>71.16</v>
      </c>
      <c r="C1016" s="50">
        <v>69.17</v>
      </c>
      <c r="D1016" s="50">
        <v>69.17</v>
      </c>
      <c r="E1016" s="50">
        <v>440517</v>
      </c>
      <c r="F1016" s="50" t="s">
        <v>1053</v>
      </c>
      <c r="G1016" s="25">
        <f t="shared" si="12"/>
        <v>2.2119415931762365E-2</v>
      </c>
    </row>
    <row r="1017" spans="1:7">
      <c r="A1017" s="50">
        <v>71.5</v>
      </c>
      <c r="B1017" s="50">
        <v>71.91</v>
      </c>
      <c r="C1017" s="50">
        <v>69.55</v>
      </c>
      <c r="D1017" s="50">
        <v>69.98</v>
      </c>
      <c r="E1017" s="50">
        <v>754956</v>
      </c>
      <c r="F1017" s="50" t="s">
        <v>1054</v>
      </c>
      <c r="G1017" s="25">
        <f t="shared" si="12"/>
        <v>2.1720491569019673E-2</v>
      </c>
    </row>
    <row r="1018" spans="1:7">
      <c r="A1018" s="50">
        <v>68.52</v>
      </c>
      <c r="B1018" s="50">
        <v>70.52</v>
      </c>
      <c r="C1018" s="50">
        <v>66.88</v>
      </c>
      <c r="D1018" s="50">
        <v>68.010000000000005</v>
      </c>
      <c r="E1018" s="50">
        <v>608845</v>
      </c>
      <c r="F1018" s="50" t="s">
        <v>1055</v>
      </c>
      <c r="G1018" s="25">
        <f t="shared" si="12"/>
        <v>7.4988972209968363E-3</v>
      </c>
    </row>
    <row r="1019" spans="1:7">
      <c r="A1019" s="50">
        <v>68.31</v>
      </c>
      <c r="B1019" s="50">
        <v>71.08</v>
      </c>
      <c r="C1019" s="50">
        <v>68.2</v>
      </c>
      <c r="D1019" s="50">
        <v>70.7</v>
      </c>
      <c r="E1019" s="50">
        <v>721185</v>
      </c>
      <c r="F1019" s="50" t="s">
        <v>1056</v>
      </c>
      <c r="G1019" s="25">
        <f t="shared" si="12"/>
        <v>-3.3804809052333851E-2</v>
      </c>
    </row>
    <row r="1020" spans="1:7">
      <c r="A1020" s="50">
        <v>69.94</v>
      </c>
      <c r="B1020" s="50">
        <v>72.8</v>
      </c>
      <c r="C1020" s="50">
        <v>69.53</v>
      </c>
      <c r="D1020" s="50">
        <v>71.69</v>
      </c>
      <c r="E1020" s="50">
        <v>474697</v>
      </c>
      <c r="F1020" s="50" t="s">
        <v>1057</v>
      </c>
      <c r="G1020" s="25">
        <f t="shared" si="12"/>
        <v>-2.4410656995396796E-2</v>
      </c>
    </row>
    <row r="1021" spans="1:7">
      <c r="A1021" s="50">
        <v>71.94</v>
      </c>
      <c r="B1021" s="50">
        <v>75.37</v>
      </c>
      <c r="C1021" s="50">
        <v>71.38</v>
      </c>
      <c r="D1021" s="50">
        <v>75.040000000000006</v>
      </c>
      <c r="E1021" s="50">
        <v>479074</v>
      </c>
      <c r="F1021" s="50" t="s">
        <v>1058</v>
      </c>
      <c r="G1021" s="25">
        <f t="shared" si="12"/>
        <v>-4.1311300639658932E-2</v>
      </c>
    </row>
    <row r="1022" spans="1:7">
      <c r="A1022" s="50">
        <v>74.510000000000005</v>
      </c>
      <c r="B1022" s="50">
        <v>75.790000000000006</v>
      </c>
      <c r="C1022" s="50">
        <v>73.114999999999995</v>
      </c>
      <c r="D1022" s="50">
        <v>75.510000000000005</v>
      </c>
      <c r="E1022" s="50">
        <v>393504</v>
      </c>
      <c r="F1022" s="50" t="s">
        <v>1059</v>
      </c>
      <c r="G1022" s="25">
        <f t="shared" si="12"/>
        <v>-1.3243279035889288E-2</v>
      </c>
    </row>
    <row r="1023" spans="1:7">
      <c r="A1023" s="50">
        <v>75.290000000000006</v>
      </c>
      <c r="B1023" s="50">
        <v>77.37</v>
      </c>
      <c r="C1023" s="50">
        <v>74.989999999999995</v>
      </c>
      <c r="D1023" s="50">
        <v>75.69</v>
      </c>
      <c r="E1023" s="50">
        <v>1042846</v>
      </c>
      <c r="F1023" s="50" t="s">
        <v>1060</v>
      </c>
      <c r="G1023" s="25">
        <f t="shared" si="12"/>
        <v>-5.2847139648565244E-3</v>
      </c>
    </row>
    <row r="1024" spans="1:7">
      <c r="A1024" s="50">
        <v>75.31</v>
      </c>
      <c r="B1024" s="50">
        <v>75.47</v>
      </c>
      <c r="C1024" s="50">
        <v>71.09</v>
      </c>
      <c r="D1024" s="50">
        <v>71.930000000000007</v>
      </c>
      <c r="E1024" s="50">
        <v>1012585</v>
      </c>
      <c r="F1024" s="50" t="s">
        <v>1061</v>
      </c>
      <c r="G1024" s="25">
        <f t="shared" si="12"/>
        <v>4.6990129292367566E-2</v>
      </c>
    </row>
    <row r="1025" spans="1:7">
      <c r="A1025" s="50">
        <v>72.2</v>
      </c>
      <c r="B1025" s="50">
        <v>72.209999999999994</v>
      </c>
      <c r="C1025" s="50">
        <v>69.349999999999994</v>
      </c>
      <c r="D1025" s="50">
        <v>71.069999999999993</v>
      </c>
      <c r="E1025" s="50">
        <v>975839</v>
      </c>
      <c r="F1025" s="50" t="s">
        <v>1062</v>
      </c>
      <c r="G1025" s="25">
        <f t="shared" si="12"/>
        <v>1.5899817081750589E-2</v>
      </c>
    </row>
    <row r="1026" spans="1:7">
      <c r="A1026" s="50">
        <v>70.48</v>
      </c>
      <c r="B1026" s="50">
        <v>70.8</v>
      </c>
      <c r="C1026" s="50">
        <v>65.150000000000006</v>
      </c>
      <c r="D1026" s="50">
        <v>65.38</v>
      </c>
      <c r="E1026" s="50">
        <v>1729790</v>
      </c>
      <c r="F1026" s="50" t="s">
        <v>1063</v>
      </c>
      <c r="G1026" s="25">
        <f t="shared" si="12"/>
        <v>7.8005506271030978E-2</v>
      </c>
    </row>
    <row r="1027" spans="1:7">
      <c r="A1027" s="50">
        <v>68</v>
      </c>
      <c r="B1027" s="50">
        <v>70.86</v>
      </c>
      <c r="C1027" s="50">
        <v>67.98</v>
      </c>
      <c r="D1027" s="50">
        <v>70.209999999999994</v>
      </c>
      <c r="E1027" s="50">
        <v>1070597</v>
      </c>
      <c r="F1027" s="50" t="s">
        <v>1064</v>
      </c>
      <c r="G1027" s="25">
        <f t="shared" si="12"/>
        <v>-3.1476997578692378E-2</v>
      </c>
    </row>
    <row r="1028" spans="1:7">
      <c r="A1028" s="50">
        <v>69.75</v>
      </c>
      <c r="B1028" s="50">
        <v>72.180000000000007</v>
      </c>
      <c r="C1028" s="50">
        <v>69.52</v>
      </c>
      <c r="D1028" s="50">
        <v>71.13</v>
      </c>
      <c r="E1028" s="50">
        <v>929950</v>
      </c>
      <c r="F1028" s="50" t="s">
        <v>1065</v>
      </c>
      <c r="G1028" s="25">
        <f t="shared" si="12"/>
        <v>-1.9401096583719912E-2</v>
      </c>
    </row>
    <row r="1029" spans="1:7">
      <c r="A1029" s="50">
        <v>72.12</v>
      </c>
      <c r="B1029" s="50">
        <v>75.42</v>
      </c>
      <c r="C1029" s="50">
        <v>72.09</v>
      </c>
      <c r="D1029" s="50">
        <v>74.69</v>
      </c>
      <c r="E1029" s="50">
        <v>890157</v>
      </c>
      <c r="F1029" s="50" t="s">
        <v>1066</v>
      </c>
      <c r="G1029" s="25">
        <f t="shared" si="12"/>
        <v>-3.440889007899306E-2</v>
      </c>
    </row>
    <row r="1030" spans="1:7">
      <c r="A1030" s="50">
        <v>74.88</v>
      </c>
      <c r="B1030" s="50">
        <v>78.05</v>
      </c>
      <c r="C1030" s="50">
        <v>74.8</v>
      </c>
      <c r="D1030" s="50">
        <v>78.03</v>
      </c>
      <c r="E1030" s="50">
        <v>603400</v>
      </c>
      <c r="F1030" s="50" t="s">
        <v>1067</v>
      </c>
      <c r="G1030" s="25">
        <f t="shared" si="12"/>
        <v>-4.0369088811995413E-2</v>
      </c>
    </row>
    <row r="1031" spans="1:7">
      <c r="A1031" s="50">
        <v>78.819999999999993</v>
      </c>
      <c r="B1031" s="50">
        <v>79.16</v>
      </c>
      <c r="C1031" s="50">
        <v>76.89</v>
      </c>
      <c r="D1031" s="50">
        <v>78.28</v>
      </c>
      <c r="E1031" s="50">
        <v>470215</v>
      </c>
      <c r="F1031" s="50" t="s">
        <v>1068</v>
      </c>
      <c r="G1031" s="25">
        <f t="shared" si="12"/>
        <v>6.8983137455287391E-3</v>
      </c>
    </row>
    <row r="1032" spans="1:7">
      <c r="A1032" s="50">
        <v>79.11</v>
      </c>
      <c r="B1032" s="50">
        <v>79.73</v>
      </c>
      <c r="C1032" s="50">
        <v>76.754999999999995</v>
      </c>
      <c r="D1032" s="50">
        <v>77.959999999999994</v>
      </c>
      <c r="E1032" s="50">
        <v>1229760</v>
      </c>
      <c r="F1032" s="50" t="s">
        <v>1069</v>
      </c>
      <c r="G1032" s="25">
        <f t="shared" ref="G1032:G1095" si="13">A1032/D1032-1</f>
        <v>1.4751154438173542E-2</v>
      </c>
    </row>
    <row r="1033" spans="1:7">
      <c r="A1033" s="50">
        <v>76.11</v>
      </c>
      <c r="B1033" s="50">
        <v>78.819999999999993</v>
      </c>
      <c r="C1033" s="50">
        <v>75.59</v>
      </c>
      <c r="D1033" s="50">
        <v>76.650000000000006</v>
      </c>
      <c r="E1033" s="50">
        <v>878288</v>
      </c>
      <c r="F1033" s="50" t="s">
        <v>1070</v>
      </c>
      <c r="G1033" s="25">
        <f t="shared" si="13"/>
        <v>-7.0450097847358784E-3</v>
      </c>
    </row>
    <row r="1034" spans="1:7">
      <c r="A1034" s="50">
        <v>76.73</v>
      </c>
      <c r="B1034" s="50">
        <v>83.88</v>
      </c>
      <c r="C1034" s="50">
        <v>75.31</v>
      </c>
      <c r="D1034" s="50">
        <v>81</v>
      </c>
      <c r="E1034" s="50">
        <v>2606286</v>
      </c>
      <c r="F1034" s="50" t="s">
        <v>1071</v>
      </c>
      <c r="G1034" s="25">
        <f t="shared" si="13"/>
        <v>-5.2716049382716013E-2</v>
      </c>
    </row>
    <row r="1035" spans="1:7">
      <c r="A1035" s="50">
        <v>91.13</v>
      </c>
      <c r="B1035" s="50">
        <v>93.11</v>
      </c>
      <c r="C1035" s="50">
        <v>88.63</v>
      </c>
      <c r="D1035" s="50">
        <v>89.99</v>
      </c>
      <c r="E1035" s="50">
        <v>590832</v>
      </c>
      <c r="F1035" s="50" t="s">
        <v>1072</v>
      </c>
      <c r="G1035" s="25">
        <f t="shared" si="13"/>
        <v>1.2668074230470117E-2</v>
      </c>
    </row>
    <row r="1036" spans="1:7">
      <c r="A1036" s="50">
        <v>92.1</v>
      </c>
      <c r="B1036" s="50">
        <v>92.33</v>
      </c>
      <c r="C1036" s="50">
        <v>89.28</v>
      </c>
      <c r="D1036" s="50">
        <v>90.28</v>
      </c>
      <c r="E1036" s="50">
        <v>442761</v>
      </c>
      <c r="F1036" s="50" t="s">
        <v>1073</v>
      </c>
      <c r="G1036" s="25">
        <f t="shared" si="13"/>
        <v>2.0159503766061126E-2</v>
      </c>
    </row>
    <row r="1037" spans="1:7">
      <c r="A1037" s="50">
        <v>88.74</v>
      </c>
      <c r="B1037" s="50">
        <v>89.94</v>
      </c>
      <c r="C1037" s="50">
        <v>86.57</v>
      </c>
      <c r="D1037" s="50">
        <v>87.32</v>
      </c>
      <c r="E1037" s="50">
        <v>377863</v>
      </c>
      <c r="F1037" s="50" t="s">
        <v>1074</v>
      </c>
      <c r="G1037" s="25">
        <f t="shared" si="13"/>
        <v>1.6262024736600988E-2</v>
      </c>
    </row>
    <row r="1038" spans="1:7">
      <c r="A1038" s="50">
        <v>87.81</v>
      </c>
      <c r="B1038" s="50">
        <v>90.6</v>
      </c>
      <c r="C1038" s="50">
        <v>87.61</v>
      </c>
      <c r="D1038" s="50">
        <v>88.53</v>
      </c>
      <c r="E1038" s="50">
        <v>313930</v>
      </c>
      <c r="F1038" s="50" t="s">
        <v>1075</v>
      </c>
      <c r="G1038" s="25">
        <f t="shared" si="13"/>
        <v>-8.1328363266689463E-3</v>
      </c>
    </row>
    <row r="1039" spans="1:7">
      <c r="A1039" s="50">
        <v>88.3</v>
      </c>
      <c r="B1039" s="50">
        <v>89.08</v>
      </c>
      <c r="C1039" s="50">
        <v>85.81</v>
      </c>
      <c r="D1039" s="50">
        <v>86.6</v>
      </c>
      <c r="E1039" s="50">
        <v>659835</v>
      </c>
      <c r="F1039" s="50" t="s">
        <v>1076</v>
      </c>
      <c r="G1039" s="25">
        <f t="shared" si="13"/>
        <v>1.9630484988452768E-2</v>
      </c>
    </row>
    <row r="1040" spans="1:7">
      <c r="A1040" s="50">
        <v>86.67</v>
      </c>
      <c r="B1040" s="50">
        <v>88.26</v>
      </c>
      <c r="C1040" s="50">
        <v>86.1</v>
      </c>
      <c r="D1040" s="50">
        <v>87.18</v>
      </c>
      <c r="E1040" s="50">
        <v>380868</v>
      </c>
      <c r="F1040" s="50" t="s">
        <v>1077</v>
      </c>
      <c r="G1040" s="25">
        <f t="shared" si="13"/>
        <v>-5.8499655884377555E-3</v>
      </c>
    </row>
    <row r="1041" spans="1:7">
      <c r="A1041" s="50">
        <v>88.92</v>
      </c>
      <c r="B1041" s="50">
        <v>91.625</v>
      </c>
      <c r="C1041" s="50">
        <v>88.18</v>
      </c>
      <c r="D1041" s="50">
        <v>91.62</v>
      </c>
      <c r="E1041" s="50">
        <v>430823</v>
      </c>
      <c r="F1041" s="50" t="s">
        <v>1078</v>
      </c>
      <c r="G1041" s="25">
        <f t="shared" si="13"/>
        <v>-2.9469548133595369E-2</v>
      </c>
    </row>
    <row r="1042" spans="1:7">
      <c r="A1042" s="50">
        <v>91.73</v>
      </c>
      <c r="B1042" s="50">
        <v>92.83</v>
      </c>
      <c r="C1042" s="50">
        <v>88.715000000000003</v>
      </c>
      <c r="D1042" s="50">
        <v>92.08</v>
      </c>
      <c r="E1042" s="50">
        <v>755928</v>
      </c>
      <c r="F1042" s="50" t="s">
        <v>1079</v>
      </c>
      <c r="G1042" s="25">
        <f t="shared" si="13"/>
        <v>-3.8010425716767937E-3</v>
      </c>
    </row>
    <row r="1043" spans="1:7">
      <c r="A1043" s="50">
        <v>91.87</v>
      </c>
      <c r="B1043" s="50">
        <v>91.96</v>
      </c>
      <c r="C1043" s="50">
        <v>87.504999999999995</v>
      </c>
      <c r="D1043" s="50">
        <v>87.61</v>
      </c>
      <c r="E1043" s="50">
        <v>907224</v>
      </c>
      <c r="F1043" s="50" t="s">
        <v>1080</v>
      </c>
      <c r="G1043" s="25">
        <f t="shared" si="13"/>
        <v>4.8624586234448097E-2</v>
      </c>
    </row>
    <row r="1044" spans="1:7">
      <c r="A1044" s="50">
        <v>86.88</v>
      </c>
      <c r="B1044" s="50">
        <v>86.89</v>
      </c>
      <c r="C1044" s="50">
        <v>81.540000000000006</v>
      </c>
      <c r="D1044" s="50">
        <v>83.03</v>
      </c>
      <c r="E1044" s="50">
        <v>546964</v>
      </c>
      <c r="F1044" s="50" t="s">
        <v>1081</v>
      </c>
      <c r="G1044" s="25">
        <f t="shared" si="13"/>
        <v>4.6368782367818717E-2</v>
      </c>
    </row>
    <row r="1045" spans="1:7">
      <c r="A1045" s="50">
        <v>82.58</v>
      </c>
      <c r="B1045" s="50">
        <v>86.55</v>
      </c>
      <c r="C1045" s="50">
        <v>82.17</v>
      </c>
      <c r="D1045" s="50">
        <v>85.05</v>
      </c>
      <c r="E1045" s="50">
        <v>519157</v>
      </c>
      <c r="F1045" s="50" t="s">
        <v>1082</v>
      </c>
      <c r="G1045" s="25">
        <f t="shared" si="13"/>
        <v>-2.9041740152851214E-2</v>
      </c>
    </row>
    <row r="1046" spans="1:7">
      <c r="A1046" s="50">
        <v>84</v>
      </c>
      <c r="B1046" s="50">
        <v>88.44</v>
      </c>
      <c r="C1046" s="50">
        <v>83.29</v>
      </c>
      <c r="D1046" s="50">
        <v>86.9</v>
      </c>
      <c r="E1046" s="50">
        <v>700442</v>
      </c>
      <c r="F1046" s="50" t="s">
        <v>1083</v>
      </c>
      <c r="G1046" s="25">
        <f t="shared" si="13"/>
        <v>-3.3371691599539788E-2</v>
      </c>
    </row>
    <row r="1047" spans="1:7">
      <c r="A1047" s="50">
        <v>83.99</v>
      </c>
      <c r="B1047" s="50">
        <v>87.97</v>
      </c>
      <c r="C1047" s="50">
        <v>82.41</v>
      </c>
      <c r="D1047" s="50">
        <v>86.35</v>
      </c>
      <c r="E1047" s="50">
        <v>766304</v>
      </c>
      <c r="F1047" s="50" t="s">
        <v>1084</v>
      </c>
      <c r="G1047" s="25">
        <f t="shared" si="13"/>
        <v>-2.7330631152287177E-2</v>
      </c>
    </row>
    <row r="1048" spans="1:7">
      <c r="A1048" s="50">
        <v>88.62</v>
      </c>
      <c r="B1048" s="50">
        <v>88.79</v>
      </c>
      <c r="C1048" s="50">
        <v>82.1</v>
      </c>
      <c r="D1048" s="50">
        <v>83.25</v>
      </c>
      <c r="E1048" s="50">
        <v>646248</v>
      </c>
      <c r="F1048" s="50" t="s">
        <v>1085</v>
      </c>
      <c r="G1048" s="25">
        <f t="shared" si="13"/>
        <v>6.4504504504504512E-2</v>
      </c>
    </row>
    <row r="1049" spans="1:7">
      <c r="A1049" s="50">
        <v>85.31</v>
      </c>
      <c r="B1049" s="50">
        <v>87.51</v>
      </c>
      <c r="C1049" s="50">
        <v>84.27</v>
      </c>
      <c r="D1049" s="50">
        <v>85.466099999999997</v>
      </c>
      <c r="E1049" s="50">
        <v>571840</v>
      </c>
      <c r="F1049" s="50" t="s">
        <v>1086</v>
      </c>
      <c r="G1049" s="25">
        <f t="shared" si="13"/>
        <v>-1.8264551676043794E-3</v>
      </c>
    </row>
    <row r="1050" spans="1:7">
      <c r="A1050" s="50">
        <v>87.29</v>
      </c>
      <c r="B1050" s="50">
        <v>91</v>
      </c>
      <c r="C1050" s="50">
        <v>87.22</v>
      </c>
      <c r="D1050" s="50">
        <v>89.38</v>
      </c>
      <c r="E1050" s="50">
        <v>914963</v>
      </c>
      <c r="F1050" s="50" t="s">
        <v>1087</v>
      </c>
      <c r="G1050" s="25">
        <f t="shared" si="13"/>
        <v>-2.338330722756754E-2</v>
      </c>
    </row>
    <row r="1051" spans="1:7">
      <c r="A1051" s="50">
        <v>88.15</v>
      </c>
      <c r="B1051" s="50">
        <v>89.58</v>
      </c>
      <c r="C1051" s="50">
        <v>86.94</v>
      </c>
      <c r="D1051" s="50">
        <v>86.98</v>
      </c>
      <c r="E1051" s="50">
        <v>487925</v>
      </c>
      <c r="F1051" s="50" t="s">
        <v>1088</v>
      </c>
      <c r="G1051" s="25">
        <f t="shared" si="13"/>
        <v>1.3451368130604768E-2</v>
      </c>
    </row>
    <row r="1052" spans="1:7">
      <c r="A1052" s="50">
        <v>86.98</v>
      </c>
      <c r="B1052" s="50">
        <v>88.51</v>
      </c>
      <c r="C1052" s="50">
        <v>85.94</v>
      </c>
      <c r="D1052" s="50">
        <v>87.29</v>
      </c>
      <c r="E1052" s="50">
        <v>473722</v>
      </c>
      <c r="F1052" s="50" t="s">
        <v>1089</v>
      </c>
      <c r="G1052" s="25">
        <f t="shared" si="13"/>
        <v>-3.5513804559514917E-3</v>
      </c>
    </row>
    <row r="1053" spans="1:7">
      <c r="A1053" s="50">
        <v>88.96</v>
      </c>
      <c r="B1053" s="50">
        <v>91.6</v>
      </c>
      <c r="C1053" s="50">
        <v>87.08</v>
      </c>
      <c r="D1053" s="50">
        <v>88.91</v>
      </c>
      <c r="E1053" s="50">
        <v>752177</v>
      </c>
      <c r="F1053" s="50" t="s">
        <v>1090</v>
      </c>
      <c r="G1053" s="25">
        <f t="shared" si="13"/>
        <v>5.6236643797102914E-4</v>
      </c>
    </row>
    <row r="1054" spans="1:7">
      <c r="A1054" s="50">
        <v>89.72</v>
      </c>
      <c r="B1054" s="50">
        <v>95.86</v>
      </c>
      <c r="C1054" s="50">
        <v>89.61</v>
      </c>
      <c r="D1054" s="50">
        <v>95.71</v>
      </c>
      <c r="E1054" s="50">
        <v>826702</v>
      </c>
      <c r="F1054" s="50" t="s">
        <v>1091</v>
      </c>
      <c r="G1054" s="25">
        <f t="shared" si="13"/>
        <v>-6.2584891860829495E-2</v>
      </c>
    </row>
    <row r="1055" spans="1:7">
      <c r="A1055" s="50">
        <v>95.88</v>
      </c>
      <c r="B1055" s="50">
        <v>100.45</v>
      </c>
      <c r="C1055" s="50">
        <v>95.74</v>
      </c>
      <c r="D1055" s="50">
        <v>98.77</v>
      </c>
      <c r="E1055" s="50">
        <v>412343</v>
      </c>
      <c r="F1055" s="50" t="s">
        <v>1092</v>
      </c>
      <c r="G1055" s="25">
        <f t="shared" si="13"/>
        <v>-2.9259896729776247E-2</v>
      </c>
    </row>
    <row r="1056" spans="1:7">
      <c r="A1056" s="50">
        <v>98.74</v>
      </c>
      <c r="B1056" s="50">
        <v>98.957400000000007</v>
      </c>
      <c r="C1056" s="50">
        <v>96.974999999999994</v>
      </c>
      <c r="D1056" s="50">
        <v>97.77</v>
      </c>
      <c r="E1056" s="50">
        <v>345995</v>
      </c>
      <c r="F1056" s="50" t="s">
        <v>1093</v>
      </c>
      <c r="G1056" s="25">
        <f t="shared" si="13"/>
        <v>9.921243735297125E-3</v>
      </c>
    </row>
    <row r="1057" spans="1:7">
      <c r="A1057" s="50">
        <v>97.77</v>
      </c>
      <c r="B1057" s="50">
        <v>97.95</v>
      </c>
      <c r="C1057" s="50">
        <v>93</v>
      </c>
      <c r="D1057" s="50">
        <v>95</v>
      </c>
      <c r="E1057" s="50">
        <v>408788</v>
      </c>
      <c r="F1057" s="50" t="s">
        <v>1094</v>
      </c>
      <c r="G1057" s="25">
        <f t="shared" si="13"/>
        <v>2.9157894736842049E-2</v>
      </c>
    </row>
    <row r="1058" spans="1:7">
      <c r="A1058" s="50">
        <v>96.21</v>
      </c>
      <c r="B1058" s="50">
        <v>98.19</v>
      </c>
      <c r="C1058" s="50">
        <v>95.45</v>
      </c>
      <c r="D1058" s="50">
        <v>96.05</v>
      </c>
      <c r="E1058" s="50">
        <v>510928</v>
      </c>
      <c r="F1058" s="50" t="s">
        <v>1095</v>
      </c>
      <c r="G1058" s="25">
        <f t="shared" si="13"/>
        <v>1.665799062988027E-3</v>
      </c>
    </row>
    <row r="1059" spans="1:7">
      <c r="A1059" s="50">
        <v>96.54</v>
      </c>
      <c r="B1059" s="50">
        <v>98.89</v>
      </c>
      <c r="C1059" s="50">
        <v>95.67</v>
      </c>
      <c r="D1059" s="50">
        <v>95.86</v>
      </c>
      <c r="E1059" s="50">
        <v>369149</v>
      </c>
      <c r="F1059" s="50" t="s">
        <v>1096</v>
      </c>
      <c r="G1059" s="25">
        <f t="shared" si="13"/>
        <v>7.0936782808261878E-3</v>
      </c>
    </row>
    <row r="1060" spans="1:7">
      <c r="A1060" s="50">
        <v>96.7</v>
      </c>
      <c r="B1060" s="50">
        <v>100.53</v>
      </c>
      <c r="C1060" s="50">
        <v>96.155000000000001</v>
      </c>
      <c r="D1060" s="50">
        <v>99.43</v>
      </c>
      <c r="E1060" s="50">
        <v>512933</v>
      </c>
      <c r="F1060" s="50" t="s">
        <v>1097</v>
      </c>
      <c r="G1060" s="25">
        <f t="shared" si="13"/>
        <v>-2.7456502061751986E-2</v>
      </c>
    </row>
    <row r="1061" spans="1:7">
      <c r="A1061" s="50">
        <v>100.57</v>
      </c>
      <c r="B1061" s="50">
        <v>102.89</v>
      </c>
      <c r="C1061" s="50">
        <v>98.61</v>
      </c>
      <c r="D1061" s="50">
        <v>102.83</v>
      </c>
      <c r="E1061" s="50">
        <v>404508</v>
      </c>
      <c r="F1061" s="50" t="s">
        <v>1098</v>
      </c>
      <c r="G1061" s="25">
        <f t="shared" si="13"/>
        <v>-2.1978021978022011E-2</v>
      </c>
    </row>
    <row r="1062" spans="1:7">
      <c r="A1062" s="50">
        <v>103.04</v>
      </c>
      <c r="B1062" s="50">
        <v>104.64</v>
      </c>
      <c r="C1062" s="50">
        <v>101.1</v>
      </c>
      <c r="D1062" s="50">
        <v>103.7</v>
      </c>
      <c r="E1062" s="50">
        <v>565812</v>
      </c>
      <c r="F1062" s="50" t="s">
        <v>1099</v>
      </c>
      <c r="G1062" s="25">
        <f t="shared" si="13"/>
        <v>-6.3645130183220822E-3</v>
      </c>
    </row>
    <row r="1063" spans="1:7">
      <c r="A1063" s="50">
        <v>103.54</v>
      </c>
      <c r="B1063" s="50">
        <v>104.495</v>
      </c>
      <c r="C1063" s="50">
        <v>103.31</v>
      </c>
      <c r="D1063" s="50">
        <v>103.42</v>
      </c>
      <c r="E1063" s="50">
        <v>165969</v>
      </c>
      <c r="F1063" s="50" t="s">
        <v>1100</v>
      </c>
      <c r="G1063" s="25">
        <f t="shared" si="13"/>
        <v>1.1603171533551837E-3</v>
      </c>
    </row>
    <row r="1064" spans="1:7">
      <c r="A1064" s="50">
        <v>103.6</v>
      </c>
      <c r="B1064" s="50">
        <v>105.4263</v>
      </c>
      <c r="C1064" s="50">
        <v>103.38</v>
      </c>
      <c r="D1064" s="50">
        <v>103.38</v>
      </c>
      <c r="E1064" s="50">
        <v>196987</v>
      </c>
      <c r="F1064" s="50" t="s">
        <v>1101</v>
      </c>
      <c r="G1064" s="25">
        <f t="shared" si="13"/>
        <v>2.128071193654435E-3</v>
      </c>
    </row>
    <row r="1065" spans="1:7">
      <c r="A1065" s="50">
        <v>103.38</v>
      </c>
      <c r="B1065" s="50">
        <v>103.74</v>
      </c>
      <c r="C1065" s="50">
        <v>101.6</v>
      </c>
      <c r="D1065" s="50">
        <v>103.57</v>
      </c>
      <c r="E1065" s="50">
        <v>163165</v>
      </c>
      <c r="F1065" s="50" t="s">
        <v>1102</v>
      </c>
      <c r="G1065" s="25">
        <f t="shared" si="13"/>
        <v>-1.8345080621801069E-3</v>
      </c>
    </row>
    <row r="1066" spans="1:7">
      <c r="A1066" s="50">
        <v>103.41</v>
      </c>
      <c r="B1066" s="50">
        <v>105.355</v>
      </c>
      <c r="C1066" s="50">
        <v>103.04</v>
      </c>
      <c r="D1066" s="50">
        <v>105.2</v>
      </c>
      <c r="E1066" s="50">
        <v>179962</v>
      </c>
      <c r="F1066" s="50" t="s">
        <v>1103</v>
      </c>
      <c r="G1066" s="25">
        <f t="shared" si="13"/>
        <v>-1.7015209125475383E-2</v>
      </c>
    </row>
    <row r="1067" spans="1:7">
      <c r="A1067" s="50">
        <v>104.44</v>
      </c>
      <c r="B1067" s="50">
        <v>105.62</v>
      </c>
      <c r="C1067" s="50">
        <v>103.51</v>
      </c>
      <c r="D1067" s="50">
        <v>105.14</v>
      </c>
      <c r="E1067" s="50">
        <v>230102</v>
      </c>
      <c r="F1067" s="50" t="s">
        <v>1104</v>
      </c>
      <c r="G1067" s="25">
        <f t="shared" si="13"/>
        <v>-6.6577896138482195E-3</v>
      </c>
    </row>
    <row r="1068" spans="1:7">
      <c r="A1068" s="50">
        <v>103.92</v>
      </c>
      <c r="B1068" s="50">
        <v>104.655</v>
      </c>
      <c r="C1068" s="50">
        <v>102.8</v>
      </c>
      <c r="D1068" s="50">
        <v>104.64</v>
      </c>
      <c r="E1068" s="50">
        <v>251168</v>
      </c>
      <c r="F1068" s="50" t="s">
        <v>1105</v>
      </c>
      <c r="G1068" s="25">
        <f t="shared" si="13"/>
        <v>-6.8807339449541427E-3</v>
      </c>
    </row>
    <row r="1069" spans="1:7">
      <c r="A1069" s="50">
        <v>104.56</v>
      </c>
      <c r="B1069" s="50">
        <v>105.15</v>
      </c>
      <c r="C1069" s="50">
        <v>102.77500000000001</v>
      </c>
      <c r="D1069" s="50">
        <v>104.05</v>
      </c>
      <c r="E1069" s="50">
        <v>383283</v>
      </c>
      <c r="F1069" s="50" t="s">
        <v>1106</v>
      </c>
      <c r="G1069" s="25">
        <f t="shared" si="13"/>
        <v>4.9014896684287379E-3</v>
      </c>
    </row>
    <row r="1070" spans="1:7">
      <c r="A1070" s="50">
        <v>104.05</v>
      </c>
      <c r="B1070" s="50">
        <v>105.56</v>
      </c>
      <c r="C1070" s="50">
        <v>102.34</v>
      </c>
      <c r="D1070" s="50">
        <v>103.06</v>
      </c>
      <c r="E1070" s="50">
        <v>276433</v>
      </c>
      <c r="F1070" s="50" t="s">
        <v>1107</v>
      </c>
      <c r="G1070" s="25">
        <f t="shared" si="13"/>
        <v>9.6060547254026574E-3</v>
      </c>
    </row>
    <row r="1071" spans="1:7">
      <c r="A1071" s="50">
        <v>102.2</v>
      </c>
      <c r="B1071" s="50">
        <v>104.52</v>
      </c>
      <c r="C1071" s="50">
        <v>101.01</v>
      </c>
      <c r="D1071" s="50">
        <v>102.13</v>
      </c>
      <c r="E1071" s="50">
        <v>394072</v>
      </c>
      <c r="F1071" s="50" t="s">
        <v>1108</v>
      </c>
      <c r="G1071" s="25">
        <f t="shared" si="13"/>
        <v>6.8540095956137748E-4</v>
      </c>
    </row>
    <row r="1072" spans="1:7">
      <c r="A1072" s="50">
        <v>103.89</v>
      </c>
      <c r="B1072" s="50">
        <v>104.88</v>
      </c>
      <c r="C1072" s="50">
        <v>95.160700000000006</v>
      </c>
      <c r="D1072" s="50">
        <v>98.07</v>
      </c>
      <c r="E1072" s="50">
        <v>829642</v>
      </c>
      <c r="F1072" s="50" t="s">
        <v>1109</v>
      </c>
      <c r="G1072" s="25">
        <f t="shared" si="13"/>
        <v>5.9345365555215635E-2</v>
      </c>
    </row>
    <row r="1073" spans="1:7">
      <c r="A1073" s="50">
        <v>99.35</v>
      </c>
      <c r="B1073" s="50">
        <v>102.58</v>
      </c>
      <c r="C1073" s="50">
        <v>98.23</v>
      </c>
      <c r="D1073" s="50">
        <v>101.07</v>
      </c>
      <c r="E1073" s="50">
        <v>666608</v>
      </c>
      <c r="F1073" s="50" t="s">
        <v>1110</v>
      </c>
      <c r="G1073" s="25">
        <f t="shared" si="13"/>
        <v>-1.701790838033046E-2</v>
      </c>
    </row>
    <row r="1074" spans="1:7">
      <c r="A1074" s="50">
        <v>100.8</v>
      </c>
      <c r="B1074" s="50">
        <v>101.71</v>
      </c>
      <c r="C1074" s="50">
        <v>98.23</v>
      </c>
      <c r="D1074" s="50">
        <v>99.82</v>
      </c>
      <c r="E1074" s="50">
        <v>1313256</v>
      </c>
      <c r="F1074" s="50" t="s">
        <v>1111</v>
      </c>
      <c r="G1074" s="25">
        <f t="shared" si="13"/>
        <v>9.817671809256634E-3</v>
      </c>
    </row>
    <row r="1075" spans="1:7">
      <c r="A1075" s="50">
        <v>100.28</v>
      </c>
      <c r="B1075" s="50">
        <v>103.17</v>
      </c>
      <c r="C1075" s="50">
        <v>99.44</v>
      </c>
      <c r="D1075" s="50">
        <v>102.52</v>
      </c>
      <c r="E1075" s="50">
        <v>795064</v>
      </c>
      <c r="F1075" s="50" t="s">
        <v>1112</v>
      </c>
      <c r="G1075" s="25">
        <f t="shared" si="13"/>
        <v>-2.1849395239953107E-2</v>
      </c>
    </row>
    <row r="1076" spans="1:7">
      <c r="A1076" s="50">
        <v>104.36</v>
      </c>
      <c r="B1076" s="50">
        <v>107.28</v>
      </c>
      <c r="C1076" s="50">
        <v>103.73</v>
      </c>
      <c r="D1076" s="50">
        <v>105.47</v>
      </c>
      <c r="E1076" s="50">
        <v>405717</v>
      </c>
      <c r="F1076" s="50" t="s">
        <v>1113</v>
      </c>
      <c r="G1076" s="25">
        <f t="shared" si="13"/>
        <v>-1.0524319711766372E-2</v>
      </c>
    </row>
    <row r="1077" spans="1:7">
      <c r="A1077" s="50">
        <v>105.65</v>
      </c>
      <c r="B1077" s="50">
        <v>108.3</v>
      </c>
      <c r="C1077" s="50">
        <v>104.68</v>
      </c>
      <c r="D1077" s="50">
        <v>106.45</v>
      </c>
      <c r="E1077" s="50">
        <v>380158</v>
      </c>
      <c r="F1077" s="50" t="s">
        <v>1114</v>
      </c>
      <c r="G1077" s="25">
        <f t="shared" si="13"/>
        <v>-7.5152653828087779E-3</v>
      </c>
    </row>
    <row r="1078" spans="1:7">
      <c r="A1078" s="50">
        <v>106.45</v>
      </c>
      <c r="B1078" s="50">
        <v>109.89</v>
      </c>
      <c r="C1078" s="50">
        <v>105.4901</v>
      </c>
      <c r="D1078" s="50">
        <v>108.33</v>
      </c>
      <c r="E1078" s="50">
        <v>476325</v>
      </c>
      <c r="F1078" s="50" t="s">
        <v>1115</v>
      </c>
      <c r="G1078" s="25">
        <f t="shared" si="13"/>
        <v>-1.7354380134773306E-2</v>
      </c>
    </row>
    <row r="1079" spans="1:7">
      <c r="A1079" s="50">
        <v>108.96</v>
      </c>
      <c r="B1079" s="50">
        <v>110.32</v>
      </c>
      <c r="C1079" s="50">
        <v>105.78</v>
      </c>
      <c r="D1079" s="50">
        <v>107.63</v>
      </c>
      <c r="E1079" s="50">
        <v>473329</v>
      </c>
      <c r="F1079" s="50" t="s">
        <v>1116</v>
      </c>
      <c r="G1079" s="25">
        <f t="shared" si="13"/>
        <v>1.2357149493635644E-2</v>
      </c>
    </row>
    <row r="1080" spans="1:7">
      <c r="A1080" s="50">
        <v>108.13</v>
      </c>
      <c r="B1080" s="50">
        <v>110.64</v>
      </c>
      <c r="C1080" s="50">
        <v>107.43</v>
      </c>
      <c r="D1080" s="50">
        <v>108.58</v>
      </c>
      <c r="E1080" s="50">
        <v>523527</v>
      </c>
      <c r="F1080" s="50" t="s">
        <v>1117</v>
      </c>
      <c r="G1080" s="25">
        <f t="shared" si="13"/>
        <v>-4.1444096518695739E-3</v>
      </c>
    </row>
    <row r="1081" spans="1:7">
      <c r="A1081" s="50">
        <v>105.46</v>
      </c>
      <c r="B1081" s="50">
        <v>106.65</v>
      </c>
      <c r="C1081" s="50">
        <v>100.19</v>
      </c>
      <c r="D1081" s="50">
        <v>103.18</v>
      </c>
      <c r="E1081" s="50">
        <v>697828</v>
      </c>
      <c r="F1081" s="50" t="s">
        <v>1118</v>
      </c>
      <c r="G1081" s="25">
        <f t="shared" si="13"/>
        <v>2.2097305679395163E-2</v>
      </c>
    </row>
    <row r="1082" spans="1:7">
      <c r="A1082" s="50">
        <v>103.43</v>
      </c>
      <c r="B1082" s="50">
        <v>106.42</v>
      </c>
      <c r="C1082" s="50">
        <v>101.23</v>
      </c>
      <c r="D1082" s="50">
        <v>106.42</v>
      </c>
      <c r="E1082" s="50">
        <v>732294</v>
      </c>
      <c r="F1082" s="50" t="s">
        <v>1119</v>
      </c>
      <c r="G1082" s="25">
        <f t="shared" si="13"/>
        <v>-2.8096222514564895E-2</v>
      </c>
    </row>
    <row r="1083" spans="1:7">
      <c r="A1083" s="50">
        <v>106.24</v>
      </c>
      <c r="B1083" s="50">
        <v>107.6</v>
      </c>
      <c r="C1083" s="50">
        <v>103.58</v>
      </c>
      <c r="D1083" s="50">
        <v>104.23</v>
      </c>
      <c r="E1083" s="50">
        <v>693125</v>
      </c>
      <c r="F1083" s="50" t="s">
        <v>1120</v>
      </c>
      <c r="G1083" s="25">
        <f t="shared" si="13"/>
        <v>1.9284275160702302E-2</v>
      </c>
    </row>
    <row r="1084" spans="1:7">
      <c r="A1084" s="50">
        <v>104.6</v>
      </c>
      <c r="B1084" s="50">
        <v>112.11</v>
      </c>
      <c r="C1084" s="50">
        <v>104.47</v>
      </c>
      <c r="D1084" s="50">
        <v>112.11</v>
      </c>
      <c r="E1084" s="50">
        <v>645466</v>
      </c>
      <c r="F1084" s="50" t="s">
        <v>1121</v>
      </c>
      <c r="G1084" s="25">
        <f t="shared" si="13"/>
        <v>-6.6987779859067009E-2</v>
      </c>
    </row>
    <row r="1085" spans="1:7">
      <c r="A1085" s="50">
        <v>110.05</v>
      </c>
      <c r="B1085" s="50">
        <v>112.43</v>
      </c>
      <c r="C1085" s="50">
        <v>109.03</v>
      </c>
      <c r="D1085" s="50">
        <v>111.51</v>
      </c>
      <c r="E1085" s="50">
        <v>624365</v>
      </c>
      <c r="F1085" s="50" t="s">
        <v>1122</v>
      </c>
      <c r="G1085" s="25">
        <f t="shared" si="13"/>
        <v>-1.3092996143843627E-2</v>
      </c>
    </row>
    <row r="1086" spans="1:7">
      <c r="A1086" s="50">
        <v>111.51</v>
      </c>
      <c r="B1086" s="50">
        <v>113</v>
      </c>
      <c r="C1086" s="50">
        <v>110</v>
      </c>
      <c r="D1086" s="50">
        <v>111.22</v>
      </c>
      <c r="E1086" s="50">
        <v>317084</v>
      </c>
      <c r="F1086" s="50" t="s">
        <v>1123</v>
      </c>
      <c r="G1086" s="25">
        <f t="shared" si="13"/>
        <v>2.6074447041899429E-3</v>
      </c>
    </row>
    <row r="1087" spans="1:7">
      <c r="A1087" s="50">
        <v>110.68</v>
      </c>
      <c r="B1087" s="50">
        <v>113.39</v>
      </c>
      <c r="C1087" s="50">
        <v>109.07</v>
      </c>
      <c r="D1087" s="50">
        <v>110.36</v>
      </c>
      <c r="E1087" s="50">
        <v>309888</v>
      </c>
      <c r="F1087" s="50" t="s">
        <v>1124</v>
      </c>
      <c r="G1087" s="25">
        <f t="shared" si="13"/>
        <v>2.8996013048205871E-3</v>
      </c>
    </row>
    <row r="1088" spans="1:7">
      <c r="A1088" s="50">
        <v>112.28</v>
      </c>
      <c r="B1088" s="50">
        <v>114.27</v>
      </c>
      <c r="C1088" s="50">
        <v>111.505</v>
      </c>
      <c r="D1088" s="50">
        <v>113.65</v>
      </c>
      <c r="E1088" s="50">
        <v>441089</v>
      </c>
      <c r="F1088" s="50" t="s">
        <v>1125</v>
      </c>
      <c r="G1088" s="25">
        <f t="shared" si="13"/>
        <v>-1.2054553453585637E-2</v>
      </c>
    </row>
    <row r="1089" spans="1:7">
      <c r="A1089" s="50">
        <v>115.06</v>
      </c>
      <c r="B1089" s="50">
        <v>115.54</v>
      </c>
      <c r="C1089" s="50">
        <v>111.68</v>
      </c>
      <c r="D1089" s="50">
        <v>114.62</v>
      </c>
      <c r="E1089" s="50">
        <v>691639</v>
      </c>
      <c r="F1089" s="50" t="s">
        <v>1126</v>
      </c>
      <c r="G1089" s="25">
        <f t="shared" si="13"/>
        <v>3.8387715930900956E-3</v>
      </c>
    </row>
    <row r="1090" spans="1:7">
      <c r="A1090" s="50">
        <v>115.72</v>
      </c>
      <c r="B1090" s="50">
        <v>119.99</v>
      </c>
      <c r="C1090" s="50">
        <v>114.12</v>
      </c>
      <c r="D1090" s="50">
        <v>119.5</v>
      </c>
      <c r="E1090" s="50">
        <v>526122</v>
      </c>
      <c r="F1090" s="50" t="s">
        <v>1127</v>
      </c>
      <c r="G1090" s="25">
        <f t="shared" si="13"/>
        <v>-3.163179916317993E-2</v>
      </c>
    </row>
    <row r="1091" spans="1:7">
      <c r="A1091" s="50">
        <v>119.51</v>
      </c>
      <c r="B1091" s="50">
        <v>122.5</v>
      </c>
      <c r="C1091" s="50">
        <v>119.035</v>
      </c>
      <c r="D1091" s="50">
        <v>120.47</v>
      </c>
      <c r="E1091" s="50">
        <v>205317</v>
      </c>
      <c r="F1091" s="50" t="s">
        <v>1128</v>
      </c>
      <c r="G1091" s="25">
        <f t="shared" si="13"/>
        <v>-7.9687889101019982E-3</v>
      </c>
    </row>
    <row r="1092" spans="1:7">
      <c r="A1092" s="50">
        <v>120.09</v>
      </c>
      <c r="B1092" s="50">
        <v>122.33</v>
      </c>
      <c r="C1092" s="50">
        <v>119.02</v>
      </c>
      <c r="D1092" s="50">
        <v>121.5</v>
      </c>
      <c r="E1092" s="50">
        <v>369509</v>
      </c>
      <c r="F1092" s="50" t="s">
        <v>1129</v>
      </c>
      <c r="G1092" s="25">
        <f t="shared" si="13"/>
        <v>-1.1604938271604914E-2</v>
      </c>
    </row>
    <row r="1093" spans="1:7">
      <c r="A1093" s="50">
        <v>121.58</v>
      </c>
      <c r="B1093" s="50">
        <v>125.02</v>
      </c>
      <c r="C1093" s="50">
        <v>120.16</v>
      </c>
      <c r="D1093" s="50">
        <v>124.6</v>
      </c>
      <c r="E1093" s="50">
        <v>380975</v>
      </c>
      <c r="F1093" s="50" t="s">
        <v>1130</v>
      </c>
      <c r="G1093" s="25">
        <f t="shared" si="13"/>
        <v>-2.4237560192616359E-2</v>
      </c>
    </row>
    <row r="1094" spans="1:7">
      <c r="A1094" s="50">
        <v>124.71</v>
      </c>
      <c r="B1094" s="50">
        <v>127.11</v>
      </c>
      <c r="C1094" s="50">
        <v>123.6</v>
      </c>
      <c r="D1094" s="50">
        <v>127.11</v>
      </c>
      <c r="E1094" s="50">
        <v>370923</v>
      </c>
      <c r="F1094" s="50" t="s">
        <v>1131</v>
      </c>
      <c r="G1094" s="25">
        <f t="shared" si="13"/>
        <v>-1.8881283927307146E-2</v>
      </c>
    </row>
    <row r="1095" spans="1:7">
      <c r="A1095" s="50">
        <v>127.35</v>
      </c>
      <c r="B1095" s="50">
        <v>128.97</v>
      </c>
      <c r="C1095" s="50">
        <v>126.1</v>
      </c>
      <c r="D1095" s="50">
        <v>128.30000000000001</v>
      </c>
      <c r="E1095" s="50">
        <v>246980</v>
      </c>
      <c r="F1095" s="50" t="s">
        <v>1132</v>
      </c>
      <c r="G1095" s="25">
        <f t="shared" si="13"/>
        <v>-7.4045206547156406E-3</v>
      </c>
    </row>
    <row r="1096" spans="1:7">
      <c r="A1096" s="50">
        <v>128.26</v>
      </c>
      <c r="B1096" s="50">
        <v>128.28</v>
      </c>
      <c r="C1096" s="50">
        <v>125.26</v>
      </c>
      <c r="D1096" s="50">
        <v>126.5</v>
      </c>
      <c r="E1096" s="50">
        <v>289794</v>
      </c>
      <c r="F1096" s="50" t="s">
        <v>1133</v>
      </c>
      <c r="G1096" s="25">
        <f t="shared" ref="G1096:G1159" si="14">A1096/D1096-1</f>
        <v>1.3913043478260834E-2</v>
      </c>
    </row>
    <row r="1097" spans="1:7">
      <c r="A1097" s="50">
        <v>126.03</v>
      </c>
      <c r="B1097" s="50">
        <v>128.81</v>
      </c>
      <c r="C1097" s="50">
        <v>125.88</v>
      </c>
      <c r="D1097" s="50">
        <v>128.11000000000001</v>
      </c>
      <c r="E1097" s="50">
        <v>256740</v>
      </c>
      <c r="F1097" s="50" t="s">
        <v>1134</v>
      </c>
      <c r="G1097" s="25">
        <f t="shared" si="14"/>
        <v>-1.6236047146983124E-2</v>
      </c>
    </row>
    <row r="1098" spans="1:7">
      <c r="A1098" s="50">
        <v>127.84</v>
      </c>
      <c r="B1098" s="50">
        <v>132.08000000000001</v>
      </c>
      <c r="C1098" s="50">
        <v>126.57</v>
      </c>
      <c r="D1098" s="50">
        <v>130.03</v>
      </c>
      <c r="E1098" s="50">
        <v>540345</v>
      </c>
      <c r="F1098" s="50" t="s">
        <v>1135</v>
      </c>
      <c r="G1098" s="25">
        <f t="shared" si="14"/>
        <v>-1.6842267169114855E-2</v>
      </c>
    </row>
    <row r="1099" spans="1:7">
      <c r="A1099" s="50">
        <v>131.38999999999999</v>
      </c>
      <c r="B1099" s="50">
        <v>133.37</v>
      </c>
      <c r="C1099" s="50">
        <v>129.32</v>
      </c>
      <c r="D1099" s="50">
        <v>129.94999999999999</v>
      </c>
      <c r="E1099" s="50">
        <v>266904</v>
      </c>
      <c r="F1099" s="50" t="s">
        <v>1136</v>
      </c>
      <c r="G1099" s="25">
        <f t="shared" si="14"/>
        <v>1.1081185071181165E-2</v>
      </c>
    </row>
    <row r="1100" spans="1:7">
      <c r="A1100" s="50">
        <v>129.97</v>
      </c>
      <c r="B1100" s="50">
        <v>131.19999999999999</v>
      </c>
      <c r="C1100" s="50">
        <v>129.18</v>
      </c>
      <c r="D1100" s="50">
        <v>130.33000000000001</v>
      </c>
      <c r="E1100" s="50">
        <v>364437</v>
      </c>
      <c r="F1100" s="50" t="s">
        <v>1137</v>
      </c>
      <c r="G1100" s="25">
        <f t="shared" si="14"/>
        <v>-2.7622189825827759E-3</v>
      </c>
    </row>
    <row r="1101" spans="1:7">
      <c r="A1101" s="50">
        <v>129.37</v>
      </c>
      <c r="B1101" s="50">
        <v>135</v>
      </c>
      <c r="C1101" s="50">
        <v>128.05000000000001</v>
      </c>
      <c r="D1101" s="50">
        <v>130</v>
      </c>
      <c r="E1101" s="50">
        <v>534900</v>
      </c>
      <c r="F1101" s="50" t="s">
        <v>1138</v>
      </c>
      <c r="G1101" s="25">
        <f t="shared" si="14"/>
        <v>-4.8461538461538334E-3</v>
      </c>
    </row>
    <row r="1102" spans="1:7">
      <c r="A1102" s="50">
        <v>129</v>
      </c>
      <c r="B1102" s="50">
        <v>129.85</v>
      </c>
      <c r="C1102" s="50">
        <v>127.35</v>
      </c>
      <c r="D1102" s="50">
        <v>127.35</v>
      </c>
      <c r="E1102" s="50">
        <v>390785</v>
      </c>
      <c r="F1102" s="50" t="s">
        <v>1139</v>
      </c>
      <c r="G1102" s="25">
        <f t="shared" si="14"/>
        <v>1.2956419316843437E-2</v>
      </c>
    </row>
    <row r="1103" spans="1:7">
      <c r="A1103" s="50">
        <v>127.04</v>
      </c>
      <c r="B1103" s="50">
        <v>128.41</v>
      </c>
      <c r="C1103" s="50">
        <v>125.59</v>
      </c>
      <c r="D1103" s="50">
        <v>126.99</v>
      </c>
      <c r="E1103" s="50">
        <v>339938</v>
      </c>
      <c r="F1103" s="50" t="s">
        <v>1140</v>
      </c>
      <c r="G1103" s="25">
        <f t="shared" si="14"/>
        <v>3.9373178990476099E-4</v>
      </c>
    </row>
    <row r="1104" spans="1:7">
      <c r="A1104" s="50">
        <v>126.9</v>
      </c>
      <c r="B1104" s="50">
        <v>128.63999999999999</v>
      </c>
      <c r="C1104" s="50">
        <v>125.7</v>
      </c>
      <c r="D1104" s="50">
        <v>127.31</v>
      </c>
      <c r="E1104" s="50">
        <v>348838</v>
      </c>
      <c r="F1104" s="50" t="s">
        <v>1141</v>
      </c>
      <c r="G1104" s="25">
        <f t="shared" si="14"/>
        <v>-3.220485429267117E-3</v>
      </c>
    </row>
    <row r="1105" spans="1:7">
      <c r="A1105" s="50">
        <v>127.48</v>
      </c>
      <c r="B1105" s="50">
        <v>128.995</v>
      </c>
      <c r="C1105" s="50">
        <v>125.85</v>
      </c>
      <c r="D1105" s="50">
        <v>127.05</v>
      </c>
      <c r="E1105" s="50">
        <v>450108</v>
      </c>
      <c r="F1105" s="50" t="s">
        <v>1142</v>
      </c>
      <c r="G1105" s="25">
        <f t="shared" si="14"/>
        <v>3.3844942935852274E-3</v>
      </c>
    </row>
    <row r="1106" spans="1:7">
      <c r="A1106" s="50">
        <v>126.87</v>
      </c>
      <c r="B1106" s="50">
        <v>127.03</v>
      </c>
      <c r="C1106" s="50">
        <v>124.17</v>
      </c>
      <c r="D1106" s="50">
        <v>124.17</v>
      </c>
      <c r="E1106" s="50">
        <v>343413</v>
      </c>
      <c r="F1106" s="50" t="s">
        <v>1143</v>
      </c>
      <c r="G1106" s="25">
        <f t="shared" si="14"/>
        <v>2.1744382701135656E-2</v>
      </c>
    </row>
    <row r="1107" spans="1:7">
      <c r="A1107" s="50">
        <v>124.47</v>
      </c>
      <c r="B1107" s="50">
        <v>125.6876</v>
      </c>
      <c r="C1107" s="50">
        <v>122.15</v>
      </c>
      <c r="D1107" s="50">
        <v>122.25</v>
      </c>
      <c r="E1107" s="50">
        <v>282066</v>
      </c>
      <c r="F1107" s="50" t="s">
        <v>1144</v>
      </c>
      <c r="G1107" s="25">
        <f t="shared" si="14"/>
        <v>1.8159509202454016E-2</v>
      </c>
    </row>
    <row r="1108" spans="1:7">
      <c r="A1108" s="50">
        <v>122</v>
      </c>
      <c r="B1108" s="50">
        <v>124.58</v>
      </c>
      <c r="C1108" s="50">
        <v>121.26</v>
      </c>
      <c r="D1108" s="50">
        <v>123.81</v>
      </c>
      <c r="E1108" s="50">
        <v>302782</v>
      </c>
      <c r="F1108" s="50" t="s">
        <v>1145</v>
      </c>
      <c r="G1108" s="25">
        <f t="shared" si="14"/>
        <v>-1.4619174541636415E-2</v>
      </c>
    </row>
    <row r="1109" spans="1:7">
      <c r="A1109" s="50">
        <v>123.86</v>
      </c>
      <c r="B1109" s="50">
        <v>125.95</v>
      </c>
      <c r="C1109" s="50">
        <v>123.09</v>
      </c>
      <c r="D1109" s="50">
        <v>125.1</v>
      </c>
      <c r="E1109" s="50">
        <v>339245</v>
      </c>
      <c r="F1109" s="50" t="s">
        <v>1146</v>
      </c>
      <c r="G1109" s="25">
        <f t="shared" si="14"/>
        <v>-9.912070343724988E-3</v>
      </c>
    </row>
    <row r="1110" spans="1:7">
      <c r="A1110" s="50">
        <v>123.59</v>
      </c>
      <c r="B1110" s="50">
        <v>126.6</v>
      </c>
      <c r="C1110" s="50">
        <v>123.27</v>
      </c>
      <c r="D1110" s="50">
        <v>126.24</v>
      </c>
      <c r="E1110" s="50">
        <v>393254</v>
      </c>
      <c r="F1110" s="50" t="s">
        <v>1147</v>
      </c>
      <c r="G1110" s="25">
        <f t="shared" si="14"/>
        <v>-2.0991761723700875E-2</v>
      </c>
    </row>
    <row r="1111" spans="1:7">
      <c r="A1111" s="50">
        <v>125.45</v>
      </c>
      <c r="B1111" s="50">
        <v>126.97</v>
      </c>
      <c r="C1111" s="50">
        <v>124.43</v>
      </c>
      <c r="D1111" s="50">
        <v>126.09</v>
      </c>
      <c r="E1111" s="50">
        <v>476188</v>
      </c>
      <c r="F1111" s="50" t="s">
        <v>1148</v>
      </c>
      <c r="G1111" s="25">
        <f t="shared" si="14"/>
        <v>-5.0757395511142889E-3</v>
      </c>
    </row>
    <row r="1112" spans="1:7">
      <c r="A1112" s="50">
        <v>126.19</v>
      </c>
      <c r="B1112" s="50">
        <v>127</v>
      </c>
      <c r="C1112" s="50">
        <v>125.34</v>
      </c>
      <c r="D1112" s="50">
        <v>125.34</v>
      </c>
      <c r="E1112" s="50">
        <v>414459</v>
      </c>
      <c r="F1112" s="50" t="s">
        <v>1149</v>
      </c>
      <c r="G1112" s="25">
        <f t="shared" si="14"/>
        <v>6.7815541726503614E-3</v>
      </c>
    </row>
    <row r="1113" spans="1:7">
      <c r="A1113" s="50">
        <v>125.26</v>
      </c>
      <c r="B1113" s="50">
        <v>125.3828</v>
      </c>
      <c r="C1113" s="50">
        <v>123.51</v>
      </c>
      <c r="D1113" s="50">
        <v>124.23</v>
      </c>
      <c r="E1113" s="50">
        <v>272038</v>
      </c>
      <c r="F1113" s="50" t="s">
        <v>1150</v>
      </c>
      <c r="G1113" s="25">
        <f t="shared" si="14"/>
        <v>8.2910730097400798E-3</v>
      </c>
    </row>
    <row r="1114" spans="1:7">
      <c r="A1114" s="50">
        <v>123.88</v>
      </c>
      <c r="B1114" s="50">
        <v>126.13</v>
      </c>
      <c r="C1114" s="50">
        <v>123.67</v>
      </c>
      <c r="D1114" s="50">
        <v>124.97</v>
      </c>
      <c r="E1114" s="50">
        <v>247387</v>
      </c>
      <c r="F1114" s="50" t="s">
        <v>1151</v>
      </c>
      <c r="G1114" s="25">
        <f t="shared" si="14"/>
        <v>-8.7220933023925973E-3</v>
      </c>
    </row>
    <row r="1115" spans="1:7">
      <c r="A1115" s="50">
        <v>125.04</v>
      </c>
      <c r="B1115" s="50">
        <v>126.05</v>
      </c>
      <c r="C1115" s="50">
        <v>123.2101</v>
      </c>
      <c r="D1115" s="50">
        <v>123.41</v>
      </c>
      <c r="E1115" s="50">
        <v>401256</v>
      </c>
      <c r="F1115" s="50" t="s">
        <v>1152</v>
      </c>
      <c r="G1115" s="25">
        <f t="shared" si="14"/>
        <v>1.3208005834211223E-2</v>
      </c>
    </row>
    <row r="1116" spans="1:7">
      <c r="A1116" s="50">
        <v>123.35</v>
      </c>
      <c r="B1116" s="50">
        <v>125.96</v>
      </c>
      <c r="C1116" s="50">
        <v>123.07</v>
      </c>
      <c r="D1116" s="50">
        <v>125</v>
      </c>
      <c r="E1116" s="50">
        <v>354692</v>
      </c>
      <c r="F1116" s="50" t="s">
        <v>1153</v>
      </c>
      <c r="G1116" s="25">
        <f t="shared" si="14"/>
        <v>-1.3200000000000101E-2</v>
      </c>
    </row>
    <row r="1117" spans="1:7">
      <c r="A1117" s="50">
        <v>123.92</v>
      </c>
      <c r="B1117" s="50">
        <v>126.08</v>
      </c>
      <c r="C1117" s="50">
        <v>123.7901</v>
      </c>
      <c r="D1117" s="50">
        <v>124.82</v>
      </c>
      <c r="E1117" s="50">
        <v>514592</v>
      </c>
      <c r="F1117" s="50" t="s">
        <v>1154</v>
      </c>
      <c r="G1117" s="25">
        <f t="shared" si="14"/>
        <v>-7.210382951450045E-3</v>
      </c>
    </row>
    <row r="1118" spans="1:7">
      <c r="A1118" s="50">
        <v>122.31</v>
      </c>
      <c r="B1118" s="50">
        <v>124.9</v>
      </c>
      <c r="C1118" s="50">
        <v>120.2</v>
      </c>
      <c r="D1118" s="50">
        <v>121.44</v>
      </c>
      <c r="E1118" s="50">
        <v>593034</v>
      </c>
      <c r="F1118" s="50" t="s">
        <v>1155</v>
      </c>
      <c r="G1118" s="25">
        <f t="shared" si="14"/>
        <v>7.1640316205534571E-3</v>
      </c>
    </row>
    <row r="1119" spans="1:7">
      <c r="A1119" s="50">
        <v>119.54</v>
      </c>
      <c r="B1119" s="50">
        <v>120.48</v>
      </c>
      <c r="C1119" s="50">
        <v>116.815</v>
      </c>
      <c r="D1119" s="50">
        <v>117.37</v>
      </c>
      <c r="E1119" s="50">
        <v>211124</v>
      </c>
      <c r="F1119" s="50" t="s">
        <v>1156</v>
      </c>
      <c r="G1119" s="25">
        <f t="shared" si="14"/>
        <v>1.8488540512907825E-2</v>
      </c>
    </row>
    <row r="1120" spans="1:7">
      <c r="A1120" s="50">
        <v>116.81</v>
      </c>
      <c r="B1120" s="50">
        <v>118.5</v>
      </c>
      <c r="C1120" s="50">
        <v>116.04</v>
      </c>
      <c r="D1120" s="50">
        <v>117.13</v>
      </c>
      <c r="E1120" s="50">
        <v>119430</v>
      </c>
      <c r="F1120" s="50" t="s">
        <v>1157</v>
      </c>
      <c r="G1120" s="25">
        <f t="shared" si="14"/>
        <v>-2.7320071715187799E-3</v>
      </c>
    </row>
    <row r="1121" spans="1:7">
      <c r="A1121" s="50">
        <v>117.64</v>
      </c>
      <c r="B1121" s="50">
        <v>119.06</v>
      </c>
      <c r="C1121" s="50">
        <v>116.99</v>
      </c>
      <c r="D1121" s="50">
        <v>119.06</v>
      </c>
      <c r="E1121" s="50">
        <v>111866</v>
      </c>
      <c r="F1121" s="50" t="s">
        <v>1158</v>
      </c>
      <c r="G1121" s="25">
        <f t="shared" si="14"/>
        <v>-1.1926759616999849E-2</v>
      </c>
    </row>
    <row r="1122" spans="1:7">
      <c r="A1122" s="50">
        <v>118.65</v>
      </c>
      <c r="B1122" s="50">
        <v>120.5159</v>
      </c>
      <c r="C1122" s="50">
        <v>117.455</v>
      </c>
      <c r="D1122" s="50">
        <v>117.81</v>
      </c>
      <c r="E1122" s="50">
        <v>257967</v>
      </c>
      <c r="F1122" s="50" t="s">
        <v>1159</v>
      </c>
      <c r="G1122" s="25">
        <f t="shared" si="14"/>
        <v>7.1301247771835552E-3</v>
      </c>
    </row>
    <row r="1123" spans="1:7">
      <c r="A1123" s="50">
        <v>117.06</v>
      </c>
      <c r="B1123" s="50">
        <v>118.48</v>
      </c>
      <c r="C1123" s="50">
        <v>115.35</v>
      </c>
      <c r="D1123" s="50">
        <v>115.47</v>
      </c>
      <c r="E1123" s="50">
        <v>637563</v>
      </c>
      <c r="F1123" s="50" t="s">
        <v>1160</v>
      </c>
      <c r="G1123" s="25">
        <f t="shared" si="14"/>
        <v>1.3769810340348076E-2</v>
      </c>
    </row>
    <row r="1124" spans="1:7">
      <c r="A1124" s="50">
        <v>116.67</v>
      </c>
      <c r="B1124" s="50">
        <v>118.25</v>
      </c>
      <c r="C1124" s="50">
        <v>115.02</v>
      </c>
      <c r="D1124" s="50">
        <v>116.67</v>
      </c>
      <c r="E1124" s="50">
        <v>200639</v>
      </c>
      <c r="F1124" s="50" t="s">
        <v>1161</v>
      </c>
      <c r="G1124" s="25">
        <f t="shared" si="14"/>
        <v>0</v>
      </c>
    </row>
    <row r="1125" spans="1:7">
      <c r="A1125" s="50">
        <v>116.23</v>
      </c>
      <c r="B1125" s="50">
        <v>119.25</v>
      </c>
      <c r="C1125" s="50">
        <v>114.13</v>
      </c>
      <c r="D1125" s="50">
        <v>119.25</v>
      </c>
      <c r="E1125" s="50">
        <v>351037</v>
      </c>
      <c r="F1125" s="50" t="s">
        <v>1162</v>
      </c>
      <c r="G1125" s="25">
        <f t="shared" si="14"/>
        <v>-2.5324947589098534E-2</v>
      </c>
    </row>
    <row r="1126" spans="1:7">
      <c r="A1126" s="50">
        <v>119.52</v>
      </c>
      <c r="B1126" s="50">
        <v>120.49</v>
      </c>
      <c r="C1126" s="50">
        <v>116.11</v>
      </c>
      <c r="D1126" s="50">
        <v>118.5</v>
      </c>
      <c r="E1126" s="50">
        <v>384984</v>
      </c>
      <c r="F1126" s="50" t="s">
        <v>1163</v>
      </c>
      <c r="G1126" s="25">
        <f t="shared" si="14"/>
        <v>8.6075949367088178E-3</v>
      </c>
    </row>
    <row r="1127" spans="1:7">
      <c r="A1127" s="50">
        <v>118.06</v>
      </c>
      <c r="B1127" s="50">
        <v>120.09</v>
      </c>
      <c r="C1127" s="50">
        <v>117.75</v>
      </c>
      <c r="D1127" s="50">
        <v>118.43</v>
      </c>
      <c r="E1127" s="50">
        <v>272467</v>
      </c>
      <c r="F1127" s="50" t="s">
        <v>1164</v>
      </c>
      <c r="G1127" s="25">
        <f t="shared" si="14"/>
        <v>-3.124208393143646E-3</v>
      </c>
    </row>
    <row r="1128" spans="1:7">
      <c r="A1128" s="50">
        <v>118.01</v>
      </c>
      <c r="B1128" s="50">
        <v>120.09</v>
      </c>
      <c r="C1128" s="50">
        <v>116.49</v>
      </c>
      <c r="D1128" s="50">
        <v>119.31</v>
      </c>
      <c r="E1128" s="50">
        <v>291728</v>
      </c>
      <c r="F1128" s="50" t="s">
        <v>1165</v>
      </c>
      <c r="G1128" s="25">
        <f t="shared" si="14"/>
        <v>-1.0895985248512208E-2</v>
      </c>
    </row>
    <row r="1129" spans="1:7">
      <c r="A1129" s="50">
        <v>118.63</v>
      </c>
      <c r="B1129" s="50">
        <v>121.89100000000001</v>
      </c>
      <c r="C1129" s="50">
        <v>116.22</v>
      </c>
      <c r="D1129" s="50">
        <v>119.65</v>
      </c>
      <c r="E1129" s="50">
        <v>424312</v>
      </c>
      <c r="F1129" s="50" t="s">
        <v>1166</v>
      </c>
      <c r="G1129" s="25">
        <f t="shared" si="14"/>
        <v>-8.5248641872127662E-3</v>
      </c>
    </row>
    <row r="1130" spans="1:7">
      <c r="A1130" s="50">
        <v>121.96</v>
      </c>
      <c r="B1130" s="50">
        <v>123.32</v>
      </c>
      <c r="C1130" s="50">
        <v>120.71</v>
      </c>
      <c r="D1130" s="50">
        <v>123.32</v>
      </c>
      <c r="E1130" s="50">
        <v>223856</v>
      </c>
      <c r="F1130" s="50" t="s">
        <v>1167</v>
      </c>
      <c r="G1130" s="25">
        <f t="shared" si="14"/>
        <v>-1.1028219266947747E-2</v>
      </c>
    </row>
    <row r="1131" spans="1:7">
      <c r="A1131" s="50">
        <v>124.66</v>
      </c>
      <c r="B1131" s="50">
        <v>126.145</v>
      </c>
      <c r="C1131" s="50">
        <v>122.74</v>
      </c>
      <c r="D1131" s="50">
        <v>125.24</v>
      </c>
      <c r="E1131" s="50">
        <v>324575</v>
      </c>
      <c r="F1131" s="50" t="s">
        <v>1168</v>
      </c>
      <c r="G1131" s="25">
        <f t="shared" si="14"/>
        <v>-4.6311082721175456E-3</v>
      </c>
    </row>
    <row r="1132" spans="1:7">
      <c r="A1132" s="50">
        <v>126.23</v>
      </c>
      <c r="B1132" s="50">
        <v>126.59</v>
      </c>
      <c r="C1132" s="50">
        <v>122.44</v>
      </c>
      <c r="D1132" s="50">
        <v>123.8</v>
      </c>
      <c r="E1132" s="50">
        <v>687725</v>
      </c>
      <c r="F1132" s="50" t="s">
        <v>1169</v>
      </c>
      <c r="G1132" s="25">
        <f t="shared" si="14"/>
        <v>1.9628432956381392E-2</v>
      </c>
    </row>
    <row r="1133" spans="1:7">
      <c r="A1133" s="50">
        <v>122.83</v>
      </c>
      <c r="B1133" s="50">
        <v>123.58</v>
      </c>
      <c r="C1133" s="50">
        <v>120.17</v>
      </c>
      <c r="D1133" s="50">
        <v>120.73</v>
      </c>
      <c r="E1133" s="50">
        <v>338154</v>
      </c>
      <c r="F1133" s="50" t="s">
        <v>1170</v>
      </c>
      <c r="G1133" s="25">
        <f t="shared" si="14"/>
        <v>1.7394185372318294E-2</v>
      </c>
    </row>
    <row r="1134" spans="1:7">
      <c r="A1134" s="50">
        <v>120.76</v>
      </c>
      <c r="B1134" s="50">
        <v>122.25</v>
      </c>
      <c r="C1134" s="50">
        <v>118.88</v>
      </c>
      <c r="D1134" s="50">
        <v>121.39</v>
      </c>
      <c r="E1134" s="50">
        <v>216481</v>
      </c>
      <c r="F1134" s="50" t="s">
        <v>1171</v>
      </c>
      <c r="G1134" s="25">
        <f t="shared" si="14"/>
        <v>-5.1898838454567109E-3</v>
      </c>
    </row>
    <row r="1135" spans="1:7">
      <c r="A1135" s="50">
        <v>120.12</v>
      </c>
      <c r="B1135" s="50">
        <v>120.64400000000001</v>
      </c>
      <c r="C1135" s="50">
        <v>117.58</v>
      </c>
      <c r="D1135" s="50">
        <v>120</v>
      </c>
      <c r="E1135" s="50">
        <v>301152</v>
      </c>
      <c r="F1135" s="50" t="s">
        <v>1172</v>
      </c>
      <c r="G1135" s="25">
        <f t="shared" si="14"/>
        <v>1.0000000000001119E-3</v>
      </c>
    </row>
    <row r="1136" spans="1:7">
      <c r="A1136" s="50">
        <v>122.89</v>
      </c>
      <c r="B1136" s="50">
        <v>125.82</v>
      </c>
      <c r="C1136" s="50">
        <v>121.85</v>
      </c>
      <c r="D1136" s="50">
        <v>125.13</v>
      </c>
      <c r="E1136" s="50">
        <v>788673</v>
      </c>
      <c r="F1136" s="50" t="s">
        <v>1173</v>
      </c>
      <c r="G1136" s="25">
        <f t="shared" si="14"/>
        <v>-1.7901382562135359E-2</v>
      </c>
    </row>
    <row r="1137" spans="1:7">
      <c r="A1137" s="50">
        <v>124.36</v>
      </c>
      <c r="B1137" s="50">
        <v>124.85</v>
      </c>
      <c r="C1137" s="50">
        <v>120.74</v>
      </c>
      <c r="D1137" s="50">
        <v>121.27</v>
      </c>
      <c r="E1137" s="50">
        <v>486844</v>
      </c>
      <c r="F1137" s="50" t="s">
        <v>1174</v>
      </c>
      <c r="G1137" s="25">
        <f t="shared" si="14"/>
        <v>2.5480333140925238E-2</v>
      </c>
    </row>
    <row r="1138" spans="1:7">
      <c r="A1138" s="50">
        <v>121.19</v>
      </c>
      <c r="B1138" s="50">
        <v>121.48</v>
      </c>
      <c r="C1138" s="50">
        <v>117.76</v>
      </c>
      <c r="D1138" s="50">
        <v>118.25</v>
      </c>
      <c r="E1138" s="50">
        <v>518012</v>
      </c>
      <c r="F1138" s="50" t="s">
        <v>1175</v>
      </c>
      <c r="G1138" s="25">
        <f t="shared" si="14"/>
        <v>2.486257928118385E-2</v>
      </c>
    </row>
    <row r="1139" spans="1:7">
      <c r="A1139" s="50">
        <v>118.52</v>
      </c>
      <c r="B1139" s="50">
        <v>120.61</v>
      </c>
      <c r="C1139" s="50">
        <v>117.81010000000001</v>
      </c>
      <c r="D1139" s="50">
        <v>120.12</v>
      </c>
      <c r="E1139" s="50">
        <v>438408</v>
      </c>
      <c r="F1139" s="50" t="s">
        <v>1176</v>
      </c>
      <c r="G1139" s="25">
        <f t="shared" si="14"/>
        <v>-1.3320013320013424E-2</v>
      </c>
    </row>
    <row r="1140" spans="1:7">
      <c r="A1140" s="50">
        <v>119.51</v>
      </c>
      <c r="B1140" s="50">
        <v>121</v>
      </c>
      <c r="C1140" s="50">
        <v>117.79</v>
      </c>
      <c r="D1140" s="50">
        <v>120.59</v>
      </c>
      <c r="E1140" s="50">
        <v>353712</v>
      </c>
      <c r="F1140" s="50" t="s">
        <v>1177</v>
      </c>
      <c r="G1140" s="25">
        <f t="shared" si="14"/>
        <v>-8.9559664980511933E-3</v>
      </c>
    </row>
    <row r="1141" spans="1:7">
      <c r="A1141" s="50">
        <v>120.59</v>
      </c>
      <c r="B1141" s="50">
        <v>121.83</v>
      </c>
      <c r="C1141" s="50">
        <v>119.47</v>
      </c>
      <c r="D1141" s="50">
        <v>121.3</v>
      </c>
      <c r="E1141" s="50">
        <v>368546</v>
      </c>
      <c r="F1141" s="50" t="s">
        <v>1178</v>
      </c>
      <c r="G1141" s="25">
        <f t="shared" si="14"/>
        <v>-5.8532563891178224E-3</v>
      </c>
    </row>
    <row r="1142" spans="1:7">
      <c r="A1142" s="50">
        <v>121.26</v>
      </c>
      <c r="B1142" s="50">
        <v>126</v>
      </c>
      <c r="C1142" s="50">
        <v>121.26</v>
      </c>
      <c r="D1142" s="50">
        <v>122.51</v>
      </c>
      <c r="E1142" s="50">
        <v>717561</v>
      </c>
      <c r="F1142" s="50" t="s">
        <v>1179</v>
      </c>
      <c r="G1142" s="25">
        <f t="shared" si="14"/>
        <v>-1.0203248714390711E-2</v>
      </c>
    </row>
    <row r="1143" spans="1:7">
      <c r="A1143" s="50">
        <v>122.75</v>
      </c>
      <c r="B1143" s="50">
        <v>124.35</v>
      </c>
      <c r="C1143" s="50">
        <v>119.04</v>
      </c>
      <c r="D1143" s="50">
        <v>119.4</v>
      </c>
      <c r="E1143" s="50">
        <v>731429</v>
      </c>
      <c r="F1143" s="50" t="s">
        <v>1180</v>
      </c>
      <c r="G1143" s="25">
        <f t="shared" si="14"/>
        <v>2.8056951423785614E-2</v>
      </c>
    </row>
    <row r="1144" spans="1:7">
      <c r="A1144" s="50">
        <v>119.71</v>
      </c>
      <c r="B1144" s="50">
        <v>120.1511</v>
      </c>
      <c r="C1144" s="50">
        <v>116.45</v>
      </c>
      <c r="D1144" s="50">
        <v>116.45</v>
      </c>
      <c r="E1144" s="50">
        <v>681539</v>
      </c>
      <c r="F1144" s="50" t="s">
        <v>1181</v>
      </c>
      <c r="G1144" s="25">
        <f t="shared" si="14"/>
        <v>2.7994847574066117E-2</v>
      </c>
    </row>
    <row r="1145" spans="1:7">
      <c r="A1145" s="50">
        <v>117.88</v>
      </c>
      <c r="B1145" s="50">
        <v>118.3599</v>
      </c>
      <c r="C1145" s="50">
        <v>113.6617</v>
      </c>
      <c r="D1145" s="50">
        <v>113.89</v>
      </c>
      <c r="E1145" s="50">
        <v>562356</v>
      </c>
      <c r="F1145" s="50" t="s">
        <v>1182</v>
      </c>
      <c r="G1145" s="25">
        <f t="shared" si="14"/>
        <v>3.5033804548248337E-2</v>
      </c>
    </row>
    <row r="1146" spans="1:7">
      <c r="A1146" s="50">
        <v>113.83</v>
      </c>
      <c r="B1146" s="50">
        <v>113.95</v>
      </c>
      <c r="C1146" s="50">
        <v>111.57</v>
      </c>
      <c r="D1146" s="50">
        <v>111.99</v>
      </c>
      <c r="E1146" s="50">
        <v>298970</v>
      </c>
      <c r="F1146" s="50" t="s">
        <v>1183</v>
      </c>
      <c r="G1146" s="25">
        <f t="shared" si="14"/>
        <v>1.6430038396285429E-2</v>
      </c>
    </row>
    <row r="1147" spans="1:7">
      <c r="A1147" s="50">
        <v>111.18</v>
      </c>
      <c r="B1147" s="50">
        <v>111.59</v>
      </c>
      <c r="C1147" s="50">
        <v>108.80500000000001</v>
      </c>
      <c r="D1147" s="50">
        <v>109.28</v>
      </c>
      <c r="E1147" s="50">
        <v>274641</v>
      </c>
      <c r="F1147" s="50" t="s">
        <v>1184</v>
      </c>
      <c r="G1147" s="25">
        <f t="shared" si="14"/>
        <v>1.738653001464141E-2</v>
      </c>
    </row>
    <row r="1148" spans="1:7">
      <c r="A1148" s="50">
        <v>109.1</v>
      </c>
      <c r="B1148" s="50">
        <v>110.53</v>
      </c>
      <c r="C1148" s="50">
        <v>108.32</v>
      </c>
      <c r="D1148" s="50">
        <v>110.53</v>
      </c>
      <c r="E1148" s="50">
        <v>227584</v>
      </c>
      <c r="F1148" s="50" t="s">
        <v>1185</v>
      </c>
      <c r="G1148" s="25">
        <f t="shared" si="14"/>
        <v>-1.2937663982629188E-2</v>
      </c>
    </row>
    <row r="1149" spans="1:7">
      <c r="A1149" s="50">
        <v>110.81</v>
      </c>
      <c r="B1149" s="50">
        <v>111.46</v>
      </c>
      <c r="C1149" s="50">
        <v>109.93</v>
      </c>
      <c r="D1149" s="50">
        <v>110.61</v>
      </c>
      <c r="E1149" s="50">
        <v>211288</v>
      </c>
      <c r="F1149" s="50" t="s">
        <v>1186</v>
      </c>
      <c r="G1149" s="25">
        <f t="shared" si="14"/>
        <v>1.8081547780490759E-3</v>
      </c>
    </row>
    <row r="1150" spans="1:7">
      <c r="A1150" s="50">
        <v>110.05</v>
      </c>
      <c r="B1150" s="50">
        <v>110.85</v>
      </c>
      <c r="C1150" s="50">
        <v>106.32</v>
      </c>
      <c r="D1150" s="50">
        <v>106.97</v>
      </c>
      <c r="E1150" s="50">
        <v>340856</v>
      </c>
      <c r="F1150" s="50" t="s">
        <v>1187</v>
      </c>
      <c r="G1150" s="25">
        <f t="shared" si="14"/>
        <v>2.8793119566233427E-2</v>
      </c>
    </row>
    <row r="1151" spans="1:7">
      <c r="A1151" s="50">
        <v>106.69</v>
      </c>
      <c r="B1151" s="50">
        <v>109.67</v>
      </c>
      <c r="C1151" s="50">
        <v>106.69</v>
      </c>
      <c r="D1151" s="50">
        <v>108.59</v>
      </c>
      <c r="E1151" s="50">
        <v>364485</v>
      </c>
      <c r="F1151" s="50" t="s">
        <v>1188</v>
      </c>
      <c r="G1151" s="25">
        <f t="shared" si="14"/>
        <v>-1.7497007090892414E-2</v>
      </c>
    </row>
    <row r="1152" spans="1:7">
      <c r="A1152" s="50">
        <v>108.9</v>
      </c>
      <c r="B1152" s="50">
        <v>111.13500000000001</v>
      </c>
      <c r="C1152" s="50">
        <v>108.56</v>
      </c>
      <c r="D1152" s="50">
        <v>110.06</v>
      </c>
      <c r="E1152" s="50">
        <v>245061</v>
      </c>
      <c r="F1152" s="50" t="s">
        <v>1189</v>
      </c>
      <c r="G1152" s="25">
        <f t="shared" si="14"/>
        <v>-1.0539705615118966E-2</v>
      </c>
    </row>
    <row r="1153" spans="1:7">
      <c r="A1153" s="50">
        <v>110.21</v>
      </c>
      <c r="B1153" s="50">
        <v>110.79</v>
      </c>
      <c r="C1153" s="50">
        <v>109.035</v>
      </c>
      <c r="D1153" s="50">
        <v>110.09</v>
      </c>
      <c r="E1153" s="50">
        <v>595768</v>
      </c>
      <c r="F1153" s="50" t="s">
        <v>1190</v>
      </c>
      <c r="G1153" s="25">
        <f t="shared" si="14"/>
        <v>1.0900172586065793E-3</v>
      </c>
    </row>
    <row r="1154" spans="1:7">
      <c r="A1154" s="50">
        <v>109.1</v>
      </c>
      <c r="B1154" s="50">
        <v>109.26</v>
      </c>
      <c r="C1154" s="50">
        <v>105.28</v>
      </c>
      <c r="D1154" s="50">
        <v>106.46</v>
      </c>
      <c r="E1154" s="50">
        <v>327750</v>
      </c>
      <c r="F1154" s="50" t="s">
        <v>1191</v>
      </c>
      <c r="G1154" s="25">
        <f t="shared" si="14"/>
        <v>2.4798046214540737E-2</v>
      </c>
    </row>
    <row r="1155" spans="1:7">
      <c r="A1155" s="50">
        <v>106.41</v>
      </c>
      <c r="B1155" s="50">
        <v>107.22</v>
      </c>
      <c r="C1155" s="50">
        <v>105.48</v>
      </c>
      <c r="D1155" s="50">
        <v>105.64</v>
      </c>
      <c r="E1155" s="50">
        <v>755011</v>
      </c>
      <c r="F1155" s="50" t="s">
        <v>1192</v>
      </c>
      <c r="G1155" s="25">
        <f t="shared" si="14"/>
        <v>7.2889057175311578E-3</v>
      </c>
    </row>
    <row r="1156" spans="1:7">
      <c r="A1156" s="50">
        <v>105.62</v>
      </c>
      <c r="B1156" s="50">
        <v>107.64</v>
      </c>
      <c r="C1156" s="50">
        <v>104.34</v>
      </c>
      <c r="D1156" s="50">
        <v>106.55</v>
      </c>
      <c r="E1156" s="50">
        <v>334952</v>
      </c>
      <c r="F1156" s="50" t="s">
        <v>1193</v>
      </c>
      <c r="G1156" s="25">
        <f t="shared" si="14"/>
        <v>-8.7282965743781249E-3</v>
      </c>
    </row>
    <row r="1157" spans="1:7">
      <c r="A1157" s="50">
        <v>107.42</v>
      </c>
      <c r="B1157" s="50">
        <v>110.7</v>
      </c>
      <c r="C1157" s="50">
        <v>106.57</v>
      </c>
      <c r="D1157" s="50">
        <v>110.12</v>
      </c>
      <c r="E1157" s="50">
        <v>1047394</v>
      </c>
      <c r="F1157" s="50" t="s">
        <v>1194</v>
      </c>
      <c r="G1157" s="25">
        <f t="shared" si="14"/>
        <v>-2.4518706865237938E-2</v>
      </c>
    </row>
    <row r="1158" spans="1:7">
      <c r="A1158" s="50">
        <v>109.83</v>
      </c>
      <c r="B1158" s="50">
        <v>111.1904</v>
      </c>
      <c r="C1158" s="50">
        <v>108.56</v>
      </c>
      <c r="D1158" s="50">
        <v>110.89</v>
      </c>
      <c r="E1158" s="50">
        <v>211461</v>
      </c>
      <c r="F1158" s="50" t="s">
        <v>1195</v>
      </c>
      <c r="G1158" s="25">
        <f t="shared" si="14"/>
        <v>-9.5590224546848734E-3</v>
      </c>
    </row>
    <row r="1159" spans="1:7">
      <c r="A1159" s="50">
        <v>111.93</v>
      </c>
      <c r="B1159" s="50">
        <v>111.99</v>
      </c>
      <c r="C1159" s="50">
        <v>108.44499999999999</v>
      </c>
      <c r="D1159" s="50">
        <v>111.8</v>
      </c>
      <c r="E1159" s="50">
        <v>282308</v>
      </c>
      <c r="F1159" s="50" t="s">
        <v>1196</v>
      </c>
      <c r="G1159" s="25">
        <f t="shared" si="14"/>
        <v>1.1627906976745539E-3</v>
      </c>
    </row>
    <row r="1160" spans="1:7">
      <c r="A1160" s="50">
        <v>112.09</v>
      </c>
      <c r="B1160" s="50">
        <v>112.57</v>
      </c>
      <c r="C1160" s="50">
        <v>110.53</v>
      </c>
      <c r="D1160" s="50">
        <v>111.07</v>
      </c>
      <c r="E1160" s="50">
        <v>134808</v>
      </c>
      <c r="F1160" s="50" t="s">
        <v>1197</v>
      </c>
      <c r="G1160" s="25">
        <f t="shared" ref="G1160:G1223" si="15">A1160/D1160-1</f>
        <v>9.1833978572073427E-3</v>
      </c>
    </row>
    <row r="1161" spans="1:7">
      <c r="A1161" s="50">
        <v>111.42</v>
      </c>
      <c r="B1161" s="50">
        <v>112.24</v>
      </c>
      <c r="C1161" s="50">
        <v>110.65</v>
      </c>
      <c r="D1161" s="50">
        <v>111.8</v>
      </c>
      <c r="E1161" s="50">
        <v>188819</v>
      </c>
      <c r="F1161" s="50" t="s">
        <v>1198</v>
      </c>
      <c r="G1161" s="25">
        <f t="shared" si="15"/>
        <v>-3.3989266547406194E-3</v>
      </c>
    </row>
    <row r="1162" spans="1:7">
      <c r="A1162" s="50">
        <v>111.89</v>
      </c>
      <c r="B1162" s="50">
        <v>112.77500000000001</v>
      </c>
      <c r="C1162" s="50">
        <v>110.52</v>
      </c>
      <c r="D1162" s="50">
        <v>111.75</v>
      </c>
      <c r="E1162" s="50">
        <v>210958</v>
      </c>
      <c r="F1162" s="50" t="s">
        <v>1199</v>
      </c>
      <c r="G1162" s="25">
        <f t="shared" si="15"/>
        <v>1.2527964205817366E-3</v>
      </c>
    </row>
    <row r="1163" spans="1:7">
      <c r="A1163" s="50">
        <v>112.06</v>
      </c>
      <c r="B1163" s="50">
        <v>116.33</v>
      </c>
      <c r="C1163" s="50">
        <v>111.28</v>
      </c>
      <c r="D1163" s="50">
        <v>115.8</v>
      </c>
      <c r="E1163" s="50">
        <v>364091</v>
      </c>
      <c r="F1163" s="50" t="s">
        <v>1200</v>
      </c>
      <c r="G1163" s="25">
        <f t="shared" si="15"/>
        <v>-3.2297063903281464E-2</v>
      </c>
    </row>
    <row r="1164" spans="1:7">
      <c r="A1164" s="50">
        <v>115.6</v>
      </c>
      <c r="B1164" s="50">
        <v>117.08</v>
      </c>
      <c r="C1164" s="50">
        <v>113.24</v>
      </c>
      <c r="D1164" s="50">
        <v>114.46</v>
      </c>
      <c r="E1164" s="50">
        <v>241358</v>
      </c>
      <c r="F1164" s="50" t="s">
        <v>1201</v>
      </c>
      <c r="G1164" s="25">
        <f t="shared" si="15"/>
        <v>9.9598112877861134E-3</v>
      </c>
    </row>
    <row r="1165" spans="1:7">
      <c r="A1165" s="50">
        <v>114.59</v>
      </c>
      <c r="B1165" s="50">
        <v>117.77</v>
      </c>
      <c r="C1165" s="50">
        <v>112.61499999999999</v>
      </c>
      <c r="D1165" s="50">
        <v>116.68</v>
      </c>
      <c r="E1165" s="50">
        <v>419777</v>
      </c>
      <c r="F1165" s="50" t="s">
        <v>1202</v>
      </c>
      <c r="G1165" s="25">
        <f t="shared" si="15"/>
        <v>-1.7912238601302755E-2</v>
      </c>
    </row>
    <row r="1166" spans="1:7">
      <c r="A1166" s="50">
        <v>115.97</v>
      </c>
      <c r="B1166" s="50">
        <v>116.43</v>
      </c>
      <c r="C1166" s="50">
        <v>113.62</v>
      </c>
      <c r="D1166" s="50">
        <v>115.33</v>
      </c>
      <c r="E1166" s="50">
        <v>298422</v>
      </c>
      <c r="F1166" s="50" t="s">
        <v>1203</v>
      </c>
      <c r="G1166" s="25">
        <f t="shared" si="15"/>
        <v>5.5492933321772409E-3</v>
      </c>
    </row>
    <row r="1167" spans="1:7">
      <c r="A1167" s="50">
        <v>115.19</v>
      </c>
      <c r="B1167" s="50">
        <v>115.985</v>
      </c>
      <c r="C1167" s="50">
        <v>114.25</v>
      </c>
      <c r="D1167" s="50">
        <v>114.27</v>
      </c>
      <c r="E1167" s="50">
        <v>166105</v>
      </c>
      <c r="F1167" s="50" t="s">
        <v>1204</v>
      </c>
      <c r="G1167" s="25">
        <f t="shared" si="15"/>
        <v>8.0511070272162311E-3</v>
      </c>
    </row>
    <row r="1168" spans="1:7">
      <c r="A1168" s="50">
        <v>114.57</v>
      </c>
      <c r="B1168" s="50">
        <v>114.8</v>
      </c>
      <c r="C1168" s="50">
        <v>112</v>
      </c>
      <c r="D1168" s="50">
        <v>114.1</v>
      </c>
      <c r="E1168" s="50">
        <v>202805</v>
      </c>
      <c r="F1168" s="50" t="s">
        <v>1205</v>
      </c>
      <c r="G1168" s="25">
        <f t="shared" si="15"/>
        <v>4.1191936897457815E-3</v>
      </c>
    </row>
    <row r="1169" spans="1:7">
      <c r="A1169" s="50">
        <v>113.49</v>
      </c>
      <c r="B1169" s="50">
        <v>115.33</v>
      </c>
      <c r="C1169" s="50">
        <v>112.63</v>
      </c>
      <c r="D1169" s="50">
        <v>113.6</v>
      </c>
      <c r="E1169" s="50">
        <v>200766</v>
      </c>
      <c r="F1169" s="50" t="s">
        <v>1206</v>
      </c>
      <c r="G1169" s="25">
        <f t="shared" si="15"/>
        <v>-9.6830985915496992E-4</v>
      </c>
    </row>
    <row r="1170" spans="1:7">
      <c r="A1170" s="50">
        <v>114.39</v>
      </c>
      <c r="B1170" s="50">
        <v>116.34</v>
      </c>
      <c r="C1170" s="50">
        <v>113.73</v>
      </c>
      <c r="D1170" s="50">
        <v>115.22</v>
      </c>
      <c r="E1170" s="50">
        <v>215391</v>
      </c>
      <c r="F1170" s="50" t="s">
        <v>1207</v>
      </c>
      <c r="G1170" s="25">
        <f t="shared" si="15"/>
        <v>-7.2036104842908566E-3</v>
      </c>
    </row>
    <row r="1171" spans="1:7">
      <c r="A1171" s="50">
        <v>115.77</v>
      </c>
      <c r="B1171" s="50">
        <v>117.42</v>
      </c>
      <c r="C1171" s="50">
        <v>114.27500000000001</v>
      </c>
      <c r="D1171" s="50">
        <v>114.27500000000001</v>
      </c>
      <c r="E1171" s="50">
        <v>172610</v>
      </c>
      <c r="F1171" s="50" t="s">
        <v>1208</v>
      </c>
      <c r="G1171" s="25">
        <f t="shared" si="15"/>
        <v>1.3082476482170202E-2</v>
      </c>
    </row>
    <row r="1172" spans="1:7">
      <c r="A1172" s="50">
        <v>114.98</v>
      </c>
      <c r="B1172" s="50">
        <v>115.85</v>
      </c>
      <c r="C1172" s="50">
        <v>113.91</v>
      </c>
      <c r="D1172" s="50">
        <v>113.97</v>
      </c>
      <c r="E1172" s="50">
        <v>199292</v>
      </c>
      <c r="F1172" s="50" t="s">
        <v>1209</v>
      </c>
      <c r="G1172" s="25">
        <f t="shared" si="15"/>
        <v>8.8619812231289785E-3</v>
      </c>
    </row>
    <row r="1173" spans="1:7">
      <c r="A1173" s="50">
        <v>113.63</v>
      </c>
      <c r="B1173" s="50">
        <v>115.66</v>
      </c>
      <c r="C1173" s="50">
        <v>111.32</v>
      </c>
      <c r="D1173" s="50">
        <v>114.94</v>
      </c>
      <c r="E1173" s="50">
        <v>210448</v>
      </c>
      <c r="F1173" s="50" t="s">
        <v>1210</v>
      </c>
      <c r="G1173" s="25">
        <f t="shared" si="15"/>
        <v>-1.1397250739516251E-2</v>
      </c>
    </row>
    <row r="1174" spans="1:7">
      <c r="A1174" s="50">
        <v>115.25</v>
      </c>
      <c r="B1174" s="50">
        <v>115.8</v>
      </c>
      <c r="C1174" s="50">
        <v>114.02</v>
      </c>
      <c r="D1174" s="50">
        <v>115.64</v>
      </c>
      <c r="E1174" s="50">
        <v>138142</v>
      </c>
      <c r="F1174" s="50" t="s">
        <v>1211</v>
      </c>
      <c r="G1174" s="25">
        <f t="shared" si="15"/>
        <v>-3.3725354548599373E-3</v>
      </c>
    </row>
    <row r="1175" spans="1:7">
      <c r="A1175" s="50">
        <v>115.92</v>
      </c>
      <c r="B1175" s="50">
        <v>116.48</v>
      </c>
      <c r="C1175" s="50">
        <v>113.8</v>
      </c>
      <c r="D1175" s="50">
        <v>114.8</v>
      </c>
      <c r="E1175" s="50">
        <v>168329</v>
      </c>
      <c r="F1175" s="50" t="s">
        <v>1212</v>
      </c>
      <c r="G1175" s="25">
        <f t="shared" si="15"/>
        <v>9.7560975609756184E-3</v>
      </c>
    </row>
    <row r="1176" spans="1:7">
      <c r="A1176" s="50">
        <v>114.76</v>
      </c>
      <c r="B1176" s="50">
        <v>115.63</v>
      </c>
      <c r="C1176" s="50">
        <v>114.35</v>
      </c>
      <c r="D1176" s="50">
        <v>114.4</v>
      </c>
      <c r="E1176" s="50">
        <v>239972</v>
      </c>
      <c r="F1176" s="50" t="s">
        <v>1213</v>
      </c>
      <c r="G1176" s="25">
        <f t="shared" si="15"/>
        <v>3.1468531468530347E-3</v>
      </c>
    </row>
    <row r="1177" spans="1:7">
      <c r="A1177" s="50">
        <v>114</v>
      </c>
      <c r="B1177" s="50">
        <v>114.1699</v>
      </c>
      <c r="C1177" s="50">
        <v>111.33</v>
      </c>
      <c r="D1177" s="50">
        <v>112.53</v>
      </c>
      <c r="E1177" s="50">
        <v>201917</v>
      </c>
      <c r="F1177" s="50" t="s">
        <v>1214</v>
      </c>
      <c r="G1177" s="25">
        <f t="shared" si="15"/>
        <v>1.3063183151159619E-2</v>
      </c>
    </row>
    <row r="1178" spans="1:7">
      <c r="A1178" s="50">
        <v>113.15</v>
      </c>
      <c r="B1178" s="50">
        <v>114.735</v>
      </c>
      <c r="C1178" s="50">
        <v>110.82</v>
      </c>
      <c r="D1178" s="50">
        <v>112.63</v>
      </c>
      <c r="E1178" s="50">
        <v>299063</v>
      </c>
      <c r="F1178" s="50" t="s">
        <v>1215</v>
      </c>
      <c r="G1178" s="25">
        <f t="shared" si="15"/>
        <v>4.6168871526237609E-3</v>
      </c>
    </row>
    <row r="1179" spans="1:7">
      <c r="A1179" s="50">
        <v>111.5</v>
      </c>
      <c r="B1179" s="50">
        <v>111.97</v>
      </c>
      <c r="C1179" s="50">
        <v>107.45</v>
      </c>
      <c r="D1179" s="50">
        <v>108.37</v>
      </c>
      <c r="E1179" s="50">
        <v>336445</v>
      </c>
      <c r="F1179" s="50" t="s">
        <v>1216</v>
      </c>
      <c r="G1179" s="25">
        <f t="shared" si="15"/>
        <v>2.8882532066069944E-2</v>
      </c>
    </row>
    <row r="1180" spans="1:7">
      <c r="A1180" s="50">
        <v>109.96</v>
      </c>
      <c r="B1180" s="50">
        <v>111.89</v>
      </c>
      <c r="C1180" s="50">
        <v>109.62</v>
      </c>
      <c r="D1180" s="50">
        <v>110.41</v>
      </c>
      <c r="E1180" s="50">
        <v>187531</v>
      </c>
      <c r="F1180" s="50" t="s">
        <v>1217</v>
      </c>
      <c r="G1180" s="25">
        <f t="shared" si="15"/>
        <v>-4.0757177791866939E-3</v>
      </c>
    </row>
    <row r="1181" spans="1:7">
      <c r="A1181" s="50">
        <v>109.43</v>
      </c>
      <c r="B1181" s="50">
        <v>111.57</v>
      </c>
      <c r="C1181" s="50">
        <v>107.57</v>
      </c>
      <c r="D1181" s="50">
        <v>111.13</v>
      </c>
      <c r="E1181" s="50">
        <v>187614</v>
      </c>
      <c r="F1181" s="50" t="s">
        <v>1218</v>
      </c>
      <c r="G1181" s="25">
        <f t="shared" si="15"/>
        <v>-1.5297399442094739E-2</v>
      </c>
    </row>
    <row r="1182" spans="1:7">
      <c r="A1182" s="50">
        <v>110.98</v>
      </c>
      <c r="B1182" s="50">
        <v>114.06</v>
      </c>
      <c r="C1182" s="50">
        <v>110.795</v>
      </c>
      <c r="D1182" s="50">
        <v>113.49</v>
      </c>
      <c r="E1182" s="50">
        <v>205725</v>
      </c>
      <c r="F1182" s="50" t="s">
        <v>1219</v>
      </c>
      <c r="G1182" s="25">
        <f t="shared" si="15"/>
        <v>-2.2116486034011729E-2</v>
      </c>
    </row>
    <row r="1183" spans="1:7">
      <c r="A1183" s="50">
        <v>112.88</v>
      </c>
      <c r="B1183" s="50">
        <v>114.53</v>
      </c>
      <c r="C1183" s="50">
        <v>112.41</v>
      </c>
      <c r="D1183" s="50">
        <v>113.34</v>
      </c>
      <c r="E1183" s="50">
        <v>138847</v>
      </c>
      <c r="F1183" s="50" t="s">
        <v>1220</v>
      </c>
      <c r="G1183" s="25">
        <f t="shared" si="15"/>
        <v>-4.0585847891301263E-3</v>
      </c>
    </row>
    <row r="1184" spans="1:7">
      <c r="A1184" s="50">
        <v>113.84</v>
      </c>
      <c r="B1184" s="50">
        <v>116.05</v>
      </c>
      <c r="C1184" s="50">
        <v>112.22</v>
      </c>
      <c r="D1184" s="50">
        <v>115.64</v>
      </c>
      <c r="E1184" s="50">
        <v>177998</v>
      </c>
      <c r="F1184" s="50" t="s">
        <v>1221</v>
      </c>
      <c r="G1184" s="25">
        <f t="shared" si="15"/>
        <v>-1.5565548253199557E-2</v>
      </c>
    </row>
    <row r="1185" spans="1:7">
      <c r="A1185" s="50">
        <v>115.21</v>
      </c>
      <c r="B1185" s="50">
        <v>115.68</v>
      </c>
      <c r="C1185" s="50">
        <v>112.49</v>
      </c>
      <c r="D1185" s="50">
        <v>114.25</v>
      </c>
      <c r="E1185" s="50">
        <v>181303</v>
      </c>
      <c r="F1185" s="50" t="s">
        <v>1222</v>
      </c>
      <c r="G1185" s="25">
        <f t="shared" si="15"/>
        <v>8.402625820568943E-3</v>
      </c>
    </row>
    <row r="1186" spans="1:7">
      <c r="A1186" s="50">
        <v>114.1</v>
      </c>
      <c r="B1186" s="50">
        <v>114.6</v>
      </c>
      <c r="C1186" s="50">
        <v>111</v>
      </c>
      <c r="D1186" s="50">
        <v>112.07</v>
      </c>
      <c r="E1186" s="50">
        <v>262595</v>
      </c>
      <c r="F1186" s="50" t="s">
        <v>1223</v>
      </c>
      <c r="G1186" s="25">
        <f t="shared" si="15"/>
        <v>1.8113678950655743E-2</v>
      </c>
    </row>
    <row r="1187" spans="1:7">
      <c r="A1187" s="50">
        <v>114.83</v>
      </c>
      <c r="B1187" s="50">
        <v>116.14</v>
      </c>
      <c r="C1187" s="50">
        <v>113.22499999999999</v>
      </c>
      <c r="D1187" s="50">
        <v>115.21</v>
      </c>
      <c r="E1187" s="50">
        <v>232350</v>
      </c>
      <c r="F1187" s="50" t="s">
        <v>1224</v>
      </c>
      <c r="G1187" s="25">
        <f t="shared" si="15"/>
        <v>-3.2983247981945851E-3</v>
      </c>
    </row>
    <row r="1188" spans="1:7">
      <c r="A1188" s="50">
        <v>114.46</v>
      </c>
      <c r="B1188" s="50">
        <v>115.425</v>
      </c>
      <c r="C1188" s="50">
        <v>112.16</v>
      </c>
      <c r="D1188" s="50">
        <v>114.25</v>
      </c>
      <c r="E1188" s="50">
        <v>321438</v>
      </c>
      <c r="F1188" s="50" t="s">
        <v>1225</v>
      </c>
      <c r="G1188" s="25">
        <f t="shared" si="15"/>
        <v>1.8380743982493453E-3</v>
      </c>
    </row>
    <row r="1189" spans="1:7">
      <c r="A1189" s="50">
        <v>113.87</v>
      </c>
      <c r="B1189" s="50">
        <v>114.26990000000001</v>
      </c>
      <c r="C1189" s="50">
        <v>112.9188</v>
      </c>
      <c r="D1189" s="50">
        <v>113.05</v>
      </c>
      <c r="E1189" s="50">
        <v>297705</v>
      </c>
      <c r="F1189" s="50" t="s">
        <v>1226</v>
      </c>
      <c r="G1189" s="25">
        <f t="shared" si="15"/>
        <v>7.2534276868643222E-3</v>
      </c>
    </row>
    <row r="1190" spans="1:7">
      <c r="A1190" s="50">
        <v>111.82</v>
      </c>
      <c r="B1190" s="50">
        <v>112.47</v>
      </c>
      <c r="C1190" s="50">
        <v>110.07</v>
      </c>
      <c r="D1190" s="50">
        <v>110.74</v>
      </c>
      <c r="E1190" s="50">
        <v>222329</v>
      </c>
      <c r="F1190" s="50" t="s">
        <v>1227</v>
      </c>
      <c r="G1190" s="25">
        <f t="shared" si="15"/>
        <v>9.7525735958099435E-3</v>
      </c>
    </row>
    <row r="1191" spans="1:7">
      <c r="A1191" s="50">
        <v>111.27</v>
      </c>
      <c r="B1191" s="50">
        <v>113.97</v>
      </c>
      <c r="C1191" s="50">
        <v>110.32</v>
      </c>
      <c r="D1191" s="50">
        <v>113.51</v>
      </c>
      <c r="E1191" s="50">
        <v>341138</v>
      </c>
      <c r="F1191" s="50" t="s">
        <v>1228</v>
      </c>
      <c r="G1191" s="25">
        <f t="shared" si="15"/>
        <v>-1.9733944145890359E-2</v>
      </c>
    </row>
    <row r="1192" spans="1:7">
      <c r="A1192" s="50">
        <v>113.79</v>
      </c>
      <c r="B1192" s="50">
        <v>113.79</v>
      </c>
      <c r="C1192" s="50">
        <v>111.46</v>
      </c>
      <c r="D1192" s="50">
        <v>112.29</v>
      </c>
      <c r="E1192" s="50">
        <v>212664</v>
      </c>
      <c r="F1192" s="50" t="s">
        <v>1229</v>
      </c>
      <c r="G1192" s="25">
        <f t="shared" si="15"/>
        <v>1.3358268768367543E-2</v>
      </c>
    </row>
    <row r="1193" spans="1:7">
      <c r="A1193" s="50">
        <v>112.62</v>
      </c>
      <c r="B1193" s="50">
        <v>113.5</v>
      </c>
      <c r="C1193" s="50">
        <v>110.96</v>
      </c>
      <c r="D1193" s="50">
        <v>112.88</v>
      </c>
      <c r="E1193" s="50">
        <v>257170</v>
      </c>
      <c r="F1193" s="50" t="s">
        <v>1230</v>
      </c>
      <c r="G1193" s="25">
        <f t="shared" si="15"/>
        <v>-2.3033309709424854E-3</v>
      </c>
    </row>
    <row r="1194" spans="1:7">
      <c r="A1194" s="50">
        <v>112.18</v>
      </c>
      <c r="B1194" s="50">
        <v>114.01</v>
      </c>
      <c r="C1194" s="50">
        <v>111.15</v>
      </c>
      <c r="D1194" s="50">
        <v>111.93</v>
      </c>
      <c r="E1194" s="50">
        <v>559084</v>
      </c>
      <c r="F1194" s="50" t="s">
        <v>1231</v>
      </c>
      <c r="G1194" s="25">
        <f t="shared" si="15"/>
        <v>2.2335388189047567E-3</v>
      </c>
    </row>
    <row r="1195" spans="1:7">
      <c r="A1195" s="50">
        <v>111.82</v>
      </c>
      <c r="B1195" s="50">
        <v>113.37990000000001</v>
      </c>
      <c r="C1195" s="50">
        <v>111.03</v>
      </c>
      <c r="D1195" s="50">
        <v>111.38</v>
      </c>
      <c r="E1195" s="50">
        <v>250103</v>
      </c>
      <c r="F1195" s="50" t="s">
        <v>1232</v>
      </c>
      <c r="G1195" s="25">
        <f t="shared" si="15"/>
        <v>3.9504399353564867E-3</v>
      </c>
    </row>
    <row r="1196" spans="1:7">
      <c r="A1196" s="50">
        <v>110.21</v>
      </c>
      <c r="B1196" s="50">
        <v>111.095</v>
      </c>
      <c r="C1196" s="50">
        <v>108.98</v>
      </c>
      <c r="D1196" s="50">
        <v>109.8</v>
      </c>
      <c r="E1196" s="50">
        <v>360862</v>
      </c>
      <c r="F1196" s="50" t="s">
        <v>1233</v>
      </c>
      <c r="G1196" s="25">
        <f t="shared" si="15"/>
        <v>3.7340619307832945E-3</v>
      </c>
    </row>
    <row r="1197" spans="1:7">
      <c r="A1197" s="50">
        <v>109.6</v>
      </c>
      <c r="B1197" s="50">
        <v>109.91500000000001</v>
      </c>
      <c r="C1197" s="50">
        <v>108.17</v>
      </c>
      <c r="D1197" s="50">
        <v>109.22</v>
      </c>
      <c r="E1197" s="50">
        <v>287849</v>
      </c>
      <c r="F1197" s="50" t="s">
        <v>1234</v>
      </c>
      <c r="G1197" s="25">
        <f t="shared" si="15"/>
        <v>3.479216260757978E-3</v>
      </c>
    </row>
    <row r="1198" spans="1:7">
      <c r="A1198" s="50">
        <v>109.16</v>
      </c>
      <c r="B1198" s="50">
        <v>110.42</v>
      </c>
      <c r="C1198" s="50">
        <v>105.53</v>
      </c>
      <c r="D1198" s="50">
        <v>107.8</v>
      </c>
      <c r="E1198" s="50">
        <v>361043</v>
      </c>
      <c r="F1198" s="50" t="s">
        <v>1235</v>
      </c>
      <c r="G1198" s="25">
        <f t="shared" si="15"/>
        <v>1.2615955473098239E-2</v>
      </c>
    </row>
    <row r="1199" spans="1:7">
      <c r="A1199" s="50">
        <v>108.12</v>
      </c>
      <c r="B1199" s="50">
        <v>108.94</v>
      </c>
      <c r="C1199" s="50">
        <v>106.5</v>
      </c>
      <c r="D1199" s="50">
        <v>106.89</v>
      </c>
      <c r="E1199" s="50">
        <v>540365</v>
      </c>
      <c r="F1199" s="50" t="s">
        <v>1236</v>
      </c>
      <c r="G1199" s="25">
        <f t="shared" si="15"/>
        <v>1.1507156890261161E-2</v>
      </c>
    </row>
    <row r="1200" spans="1:7">
      <c r="A1200" s="50">
        <v>107.28</v>
      </c>
      <c r="B1200" s="50">
        <v>108.02</v>
      </c>
      <c r="C1200" s="50">
        <v>102.66</v>
      </c>
      <c r="D1200" s="50">
        <v>103.03</v>
      </c>
      <c r="E1200" s="50">
        <v>318723</v>
      </c>
      <c r="F1200" s="50" t="s">
        <v>1237</v>
      </c>
      <c r="G1200" s="25">
        <f t="shared" si="15"/>
        <v>4.125012132388628E-2</v>
      </c>
    </row>
    <row r="1201" spans="1:7">
      <c r="A1201" s="50">
        <v>103.99</v>
      </c>
      <c r="B1201" s="50">
        <v>105.42</v>
      </c>
      <c r="C1201" s="50">
        <v>102.34</v>
      </c>
      <c r="D1201" s="50">
        <v>104.89</v>
      </c>
      <c r="E1201" s="50">
        <v>656433</v>
      </c>
      <c r="F1201" s="50" t="s">
        <v>1238</v>
      </c>
      <c r="G1201" s="25">
        <f t="shared" si="15"/>
        <v>-8.5804175803222416E-3</v>
      </c>
    </row>
    <row r="1202" spans="1:7">
      <c r="A1202" s="50">
        <v>105.03</v>
      </c>
      <c r="B1202" s="50">
        <v>107.34</v>
      </c>
      <c r="C1202" s="50">
        <v>104.0226</v>
      </c>
      <c r="D1202" s="50">
        <v>107.04</v>
      </c>
      <c r="E1202" s="50">
        <v>309562</v>
      </c>
      <c r="F1202" s="50" t="s">
        <v>1239</v>
      </c>
      <c r="G1202" s="25">
        <f t="shared" si="15"/>
        <v>-1.8778026905829637E-2</v>
      </c>
    </row>
    <row r="1203" spans="1:7">
      <c r="A1203" s="50">
        <v>107.11</v>
      </c>
      <c r="B1203" s="50">
        <v>107.98</v>
      </c>
      <c r="C1203" s="50">
        <v>106.13</v>
      </c>
      <c r="D1203" s="50">
        <v>106.13</v>
      </c>
      <c r="E1203" s="50">
        <v>459977</v>
      </c>
      <c r="F1203" s="50" t="s">
        <v>1240</v>
      </c>
      <c r="G1203" s="25">
        <f t="shared" si="15"/>
        <v>9.2339583529634783E-3</v>
      </c>
    </row>
    <row r="1204" spans="1:7">
      <c r="A1204" s="50">
        <v>106.1</v>
      </c>
      <c r="B1204" s="50">
        <v>106.1</v>
      </c>
      <c r="C1204" s="50">
        <v>102.26</v>
      </c>
      <c r="D1204" s="50">
        <v>104.14</v>
      </c>
      <c r="E1204" s="50">
        <v>245147</v>
      </c>
      <c r="F1204" s="50" t="s">
        <v>1241</v>
      </c>
      <c r="G1204" s="25">
        <f t="shared" si="15"/>
        <v>1.8820818129441141E-2</v>
      </c>
    </row>
    <row r="1205" spans="1:7">
      <c r="A1205" s="50">
        <v>104.27</v>
      </c>
      <c r="B1205" s="50">
        <v>104.78</v>
      </c>
      <c r="C1205" s="50">
        <v>101.57</v>
      </c>
      <c r="D1205" s="50">
        <v>102.5</v>
      </c>
      <c r="E1205" s="50">
        <v>338328</v>
      </c>
      <c r="F1205" s="50" t="s">
        <v>1242</v>
      </c>
      <c r="G1205" s="25">
        <f t="shared" si="15"/>
        <v>1.7268292682926845E-2</v>
      </c>
    </row>
    <row r="1206" spans="1:7">
      <c r="A1206" s="50">
        <v>102.87</v>
      </c>
      <c r="B1206" s="50">
        <v>104.3875</v>
      </c>
      <c r="C1206" s="50">
        <v>102.27500000000001</v>
      </c>
      <c r="D1206" s="50">
        <v>103.64</v>
      </c>
      <c r="E1206" s="50">
        <v>408291</v>
      </c>
      <c r="F1206" s="50" t="s">
        <v>1243</v>
      </c>
      <c r="G1206" s="25">
        <f t="shared" si="15"/>
        <v>-7.4295638749517501E-3</v>
      </c>
    </row>
    <row r="1207" spans="1:7">
      <c r="A1207" s="50">
        <v>102.99</v>
      </c>
      <c r="B1207" s="50">
        <v>104.56</v>
      </c>
      <c r="C1207" s="50">
        <v>101.35</v>
      </c>
      <c r="D1207" s="50">
        <v>103.41</v>
      </c>
      <c r="E1207" s="50">
        <v>479332</v>
      </c>
      <c r="F1207" s="50" t="s">
        <v>1244</v>
      </c>
      <c r="G1207" s="25">
        <f t="shared" si="15"/>
        <v>-4.0615027560197969E-3</v>
      </c>
    </row>
    <row r="1208" spans="1:7">
      <c r="A1208" s="50">
        <v>103.07</v>
      </c>
      <c r="B1208" s="50">
        <v>103.8</v>
      </c>
      <c r="C1208" s="50">
        <v>100.67</v>
      </c>
      <c r="D1208" s="50">
        <v>101.26</v>
      </c>
      <c r="E1208" s="50">
        <v>299439</v>
      </c>
      <c r="F1208" s="50" t="s">
        <v>1245</v>
      </c>
      <c r="G1208" s="25">
        <f t="shared" si="15"/>
        <v>1.7874777799723462E-2</v>
      </c>
    </row>
    <row r="1209" spans="1:7">
      <c r="A1209" s="50">
        <v>101.55</v>
      </c>
      <c r="B1209" s="50">
        <v>103.42</v>
      </c>
      <c r="C1209" s="50">
        <v>101.07</v>
      </c>
      <c r="D1209" s="50">
        <v>101.83</v>
      </c>
      <c r="E1209" s="50">
        <v>272434</v>
      </c>
      <c r="F1209" s="50" t="s">
        <v>1246</v>
      </c>
      <c r="G1209" s="25">
        <f t="shared" si="15"/>
        <v>-2.749680840616775E-3</v>
      </c>
    </row>
    <row r="1210" spans="1:7">
      <c r="A1210" s="50">
        <v>101.18</v>
      </c>
      <c r="B1210" s="50">
        <v>103.38</v>
      </c>
      <c r="C1210" s="50">
        <v>100</v>
      </c>
      <c r="D1210" s="50">
        <v>102.23</v>
      </c>
      <c r="E1210" s="50">
        <v>372314</v>
      </c>
      <c r="F1210" s="50" t="s">
        <v>1247</v>
      </c>
      <c r="G1210" s="25">
        <f t="shared" si="15"/>
        <v>-1.0270957644527012E-2</v>
      </c>
    </row>
    <row r="1211" spans="1:7">
      <c r="A1211" s="50">
        <v>103.08</v>
      </c>
      <c r="B1211" s="50">
        <v>104.0682</v>
      </c>
      <c r="C1211" s="50">
        <v>101.89</v>
      </c>
      <c r="D1211" s="50">
        <v>102.91</v>
      </c>
      <c r="E1211" s="50">
        <v>265668</v>
      </c>
      <c r="F1211" s="50" t="s">
        <v>1248</v>
      </c>
      <c r="G1211" s="25">
        <f t="shared" si="15"/>
        <v>1.6519288698864099E-3</v>
      </c>
    </row>
    <row r="1212" spans="1:7">
      <c r="A1212" s="50">
        <v>102.86</v>
      </c>
      <c r="B1212" s="50">
        <v>103.95</v>
      </c>
      <c r="C1212" s="50">
        <v>101.04</v>
      </c>
      <c r="D1212" s="50">
        <v>103.95</v>
      </c>
      <c r="E1212" s="50">
        <v>311168</v>
      </c>
      <c r="F1212" s="50" t="s">
        <v>1249</v>
      </c>
      <c r="G1212" s="25">
        <f t="shared" si="15"/>
        <v>-1.0485810485810543E-2</v>
      </c>
    </row>
    <row r="1213" spans="1:7">
      <c r="A1213" s="50">
        <v>103.97</v>
      </c>
      <c r="B1213" s="50">
        <v>105.97</v>
      </c>
      <c r="C1213" s="50">
        <v>103.5</v>
      </c>
      <c r="D1213" s="50">
        <v>104.99</v>
      </c>
      <c r="E1213" s="50">
        <v>316228</v>
      </c>
      <c r="F1213" s="50" t="s">
        <v>1250</v>
      </c>
      <c r="G1213" s="25">
        <f t="shared" si="15"/>
        <v>-9.7152109724735203E-3</v>
      </c>
    </row>
    <row r="1214" spans="1:7">
      <c r="A1214" s="50">
        <v>103.95</v>
      </c>
      <c r="B1214" s="50">
        <v>104.59</v>
      </c>
      <c r="C1214" s="50">
        <v>102.07</v>
      </c>
      <c r="D1214" s="50">
        <v>103.97</v>
      </c>
      <c r="E1214" s="50">
        <v>374720</v>
      </c>
      <c r="F1214" s="50" t="s">
        <v>1251</v>
      </c>
      <c r="G1214" s="25">
        <f t="shared" si="15"/>
        <v>-1.9236318168702748E-4</v>
      </c>
    </row>
    <row r="1215" spans="1:7">
      <c r="A1215" s="50">
        <v>104.6</v>
      </c>
      <c r="B1215" s="50">
        <v>105.6</v>
      </c>
      <c r="C1215" s="50">
        <v>103.28</v>
      </c>
      <c r="D1215" s="50">
        <v>104.95</v>
      </c>
      <c r="E1215" s="50">
        <v>291487</v>
      </c>
      <c r="F1215" s="50" t="s">
        <v>1252</v>
      </c>
      <c r="G1215" s="25">
        <f t="shared" si="15"/>
        <v>-3.3349213911386677E-3</v>
      </c>
    </row>
    <row r="1216" spans="1:7">
      <c r="A1216" s="50">
        <v>104.07</v>
      </c>
      <c r="B1216" s="50">
        <v>105.61</v>
      </c>
      <c r="C1216" s="50">
        <v>104.01</v>
      </c>
      <c r="D1216" s="50">
        <v>104.77</v>
      </c>
      <c r="E1216" s="50">
        <v>492129</v>
      </c>
      <c r="F1216" s="50" t="s">
        <v>1253</v>
      </c>
      <c r="G1216" s="25">
        <f t="shared" si="15"/>
        <v>-6.6813018993987505E-3</v>
      </c>
    </row>
    <row r="1217" spans="1:7">
      <c r="A1217" s="50">
        <v>103.91</v>
      </c>
      <c r="B1217" s="50">
        <v>105.85</v>
      </c>
      <c r="C1217" s="50">
        <v>101.779</v>
      </c>
      <c r="D1217" s="50">
        <v>104.34</v>
      </c>
      <c r="E1217" s="50">
        <v>391878</v>
      </c>
      <c r="F1217" s="50" t="s">
        <v>1254</v>
      </c>
      <c r="G1217" s="25">
        <f t="shared" si="15"/>
        <v>-4.1211424190148449E-3</v>
      </c>
    </row>
    <row r="1218" spans="1:7">
      <c r="A1218" s="50">
        <v>104.04</v>
      </c>
      <c r="B1218" s="50">
        <v>106.255</v>
      </c>
      <c r="C1218" s="50">
        <v>103.62</v>
      </c>
      <c r="D1218" s="50">
        <v>105.96</v>
      </c>
      <c r="E1218" s="50">
        <v>669197</v>
      </c>
      <c r="F1218" s="50" t="s">
        <v>1255</v>
      </c>
      <c r="G1218" s="25">
        <f t="shared" si="15"/>
        <v>-1.812004530011313E-2</v>
      </c>
    </row>
    <row r="1219" spans="1:7">
      <c r="A1219" s="50">
        <v>104.54</v>
      </c>
      <c r="B1219" s="50">
        <v>105.92</v>
      </c>
      <c r="C1219" s="50">
        <v>102.01</v>
      </c>
      <c r="D1219" s="50">
        <v>104.15</v>
      </c>
      <c r="E1219" s="50">
        <v>308488</v>
      </c>
      <c r="F1219" s="50" t="s">
        <v>1256</v>
      </c>
      <c r="G1219" s="25">
        <f t="shared" si="15"/>
        <v>3.7445991358617814E-3</v>
      </c>
    </row>
    <row r="1220" spans="1:7">
      <c r="A1220" s="50">
        <v>102.76</v>
      </c>
      <c r="B1220" s="50">
        <v>103.59</v>
      </c>
      <c r="C1220" s="50">
        <v>99.01</v>
      </c>
      <c r="D1220" s="50">
        <v>99.91</v>
      </c>
      <c r="E1220" s="50">
        <v>305280</v>
      </c>
      <c r="F1220" s="50" t="s">
        <v>1257</v>
      </c>
      <c r="G1220" s="25">
        <f t="shared" si="15"/>
        <v>2.8525673105795235E-2</v>
      </c>
    </row>
    <row r="1221" spans="1:7">
      <c r="A1221" s="50">
        <v>102.63</v>
      </c>
      <c r="B1221" s="50">
        <v>105</v>
      </c>
      <c r="C1221" s="50">
        <v>101.39</v>
      </c>
      <c r="D1221" s="50">
        <v>102.65</v>
      </c>
      <c r="E1221" s="50">
        <v>343270</v>
      </c>
      <c r="F1221" s="50" t="s">
        <v>1258</v>
      </c>
      <c r="G1221" s="25">
        <f t="shared" si="15"/>
        <v>-1.9483682415988302E-4</v>
      </c>
    </row>
    <row r="1222" spans="1:7">
      <c r="A1222" s="50">
        <v>102.31</v>
      </c>
      <c r="B1222" s="50">
        <v>104.53</v>
      </c>
      <c r="C1222" s="50">
        <v>100.71</v>
      </c>
      <c r="D1222" s="50">
        <v>102.92</v>
      </c>
      <c r="E1222" s="50">
        <v>486458</v>
      </c>
      <c r="F1222" s="50" t="s">
        <v>1259</v>
      </c>
      <c r="G1222" s="25">
        <f t="shared" si="15"/>
        <v>-5.9269335406140211E-3</v>
      </c>
    </row>
    <row r="1223" spans="1:7">
      <c r="A1223" s="50">
        <v>104.71</v>
      </c>
      <c r="B1223" s="50">
        <v>105.19</v>
      </c>
      <c r="C1223" s="50">
        <v>100.02</v>
      </c>
      <c r="D1223" s="50">
        <v>101.54</v>
      </c>
      <c r="E1223" s="50">
        <v>514708</v>
      </c>
      <c r="F1223" s="50" t="s">
        <v>1260</v>
      </c>
      <c r="G1223" s="25">
        <f t="shared" si="15"/>
        <v>3.1219223951152175E-2</v>
      </c>
    </row>
    <row r="1224" spans="1:7">
      <c r="A1224" s="50">
        <v>100.14</v>
      </c>
      <c r="B1224" s="50">
        <v>104.22</v>
      </c>
      <c r="C1224" s="50">
        <v>98.06</v>
      </c>
      <c r="D1224" s="50">
        <v>102.75</v>
      </c>
      <c r="E1224" s="50">
        <v>414776</v>
      </c>
      <c r="F1224" s="50" t="s">
        <v>1261</v>
      </c>
      <c r="G1224" s="25">
        <f t="shared" ref="G1224:G1287" si="16">A1224/D1224-1</f>
        <v>-2.5401459854014541E-2</v>
      </c>
    </row>
    <row r="1225" spans="1:7">
      <c r="A1225" s="50">
        <v>102.31</v>
      </c>
      <c r="B1225" s="50">
        <v>105.56</v>
      </c>
      <c r="C1225" s="50">
        <v>100.88</v>
      </c>
      <c r="D1225" s="50">
        <v>103.89</v>
      </c>
      <c r="E1225" s="50">
        <v>630713</v>
      </c>
      <c r="F1225" s="50" t="s">
        <v>1262</v>
      </c>
      <c r="G1225" s="25">
        <f t="shared" si="16"/>
        <v>-1.5208393493117756E-2</v>
      </c>
    </row>
    <row r="1226" spans="1:7">
      <c r="A1226" s="50">
        <v>106.11</v>
      </c>
      <c r="B1226" s="50">
        <v>107.72</v>
      </c>
      <c r="C1226" s="50">
        <v>98.22</v>
      </c>
      <c r="D1226" s="50">
        <v>99.86</v>
      </c>
      <c r="E1226" s="50">
        <v>669014</v>
      </c>
      <c r="F1226" s="50" t="s">
        <v>1263</v>
      </c>
      <c r="G1226" s="25">
        <f t="shared" si="16"/>
        <v>6.2587622671740339E-2</v>
      </c>
    </row>
    <row r="1227" spans="1:7">
      <c r="A1227" s="50">
        <v>103.9</v>
      </c>
      <c r="B1227" s="50">
        <v>105.87</v>
      </c>
      <c r="C1227" s="50">
        <v>101.685</v>
      </c>
      <c r="D1227" s="50">
        <v>105.87</v>
      </c>
      <c r="E1227" s="50">
        <v>515651</v>
      </c>
      <c r="F1227" s="50" t="s">
        <v>1264</v>
      </c>
      <c r="G1227" s="25">
        <f t="shared" si="16"/>
        <v>-1.8607726456975504E-2</v>
      </c>
    </row>
    <row r="1228" spans="1:7">
      <c r="A1228" s="50">
        <v>107.47</v>
      </c>
      <c r="B1228" s="50">
        <v>109.55500000000001</v>
      </c>
      <c r="C1228" s="50">
        <v>102.72</v>
      </c>
      <c r="D1228" s="50">
        <v>102.72</v>
      </c>
      <c r="E1228" s="50">
        <v>625100</v>
      </c>
      <c r="F1228" s="50" t="s">
        <v>1265</v>
      </c>
      <c r="G1228" s="25">
        <f t="shared" si="16"/>
        <v>4.6242211838006142E-2</v>
      </c>
    </row>
    <row r="1229" spans="1:7">
      <c r="A1229" s="50">
        <v>103.65</v>
      </c>
      <c r="B1229" s="50">
        <v>106.26</v>
      </c>
      <c r="C1229" s="50">
        <v>101.85</v>
      </c>
      <c r="D1229" s="50">
        <v>106.17</v>
      </c>
      <c r="E1229" s="50">
        <v>767498</v>
      </c>
      <c r="F1229" s="50" t="s">
        <v>1266</v>
      </c>
      <c r="G1229" s="25">
        <f t="shared" si="16"/>
        <v>-2.3735518508053111E-2</v>
      </c>
    </row>
    <row r="1230" spans="1:7">
      <c r="A1230" s="50">
        <v>107.45</v>
      </c>
      <c r="B1230" s="50">
        <v>111.46</v>
      </c>
      <c r="C1230" s="50">
        <v>106.26</v>
      </c>
      <c r="D1230" s="50">
        <v>111.46</v>
      </c>
      <c r="E1230" s="50">
        <v>328144</v>
      </c>
      <c r="F1230" s="50" t="s">
        <v>1267</v>
      </c>
      <c r="G1230" s="25">
        <f t="shared" si="16"/>
        <v>-3.5977032119145824E-2</v>
      </c>
    </row>
    <row r="1231" spans="1:7">
      <c r="A1231" s="50">
        <v>109.92</v>
      </c>
      <c r="B1231" s="50">
        <v>111.33</v>
      </c>
      <c r="C1231" s="50">
        <v>107.25</v>
      </c>
      <c r="D1231" s="50">
        <v>111.04</v>
      </c>
      <c r="E1231" s="50">
        <v>397776</v>
      </c>
      <c r="F1231" s="50" t="s">
        <v>1268</v>
      </c>
      <c r="G1231" s="25">
        <f t="shared" si="16"/>
        <v>-1.008645533141217E-2</v>
      </c>
    </row>
    <row r="1232" spans="1:7">
      <c r="A1232" s="50">
        <v>112.46</v>
      </c>
      <c r="B1232" s="50">
        <v>116.87990000000001</v>
      </c>
      <c r="C1232" s="50">
        <v>111.46</v>
      </c>
      <c r="D1232" s="50">
        <v>116.48</v>
      </c>
      <c r="E1232" s="50">
        <v>387125</v>
      </c>
      <c r="F1232" s="50" t="s">
        <v>1269</v>
      </c>
      <c r="G1232" s="25">
        <f t="shared" si="16"/>
        <v>-3.4512362637362681E-2</v>
      </c>
    </row>
    <row r="1233" spans="1:7">
      <c r="A1233" s="50">
        <v>116.06</v>
      </c>
      <c r="B1233" s="50">
        <v>119.4415</v>
      </c>
      <c r="C1233" s="50">
        <v>114.78</v>
      </c>
      <c r="D1233" s="50">
        <v>116.32</v>
      </c>
      <c r="E1233" s="50">
        <v>356012</v>
      </c>
      <c r="F1233" s="50" t="s">
        <v>1270</v>
      </c>
      <c r="G1233" s="25">
        <f t="shared" si="16"/>
        <v>-2.2352132049517914E-3</v>
      </c>
    </row>
    <row r="1234" spans="1:7">
      <c r="A1234" s="50">
        <v>117.08</v>
      </c>
      <c r="B1234" s="50">
        <v>121.27</v>
      </c>
      <c r="C1234" s="50">
        <v>114.51</v>
      </c>
      <c r="D1234" s="50">
        <v>121.25</v>
      </c>
      <c r="E1234" s="50">
        <v>356220</v>
      </c>
      <c r="F1234" s="50" t="s">
        <v>1271</v>
      </c>
      <c r="G1234" s="25">
        <f t="shared" si="16"/>
        <v>-3.4391752577319634E-2</v>
      </c>
    </row>
    <row r="1235" spans="1:7">
      <c r="A1235" s="50">
        <v>120.46</v>
      </c>
      <c r="B1235" s="50">
        <v>121.09</v>
      </c>
      <c r="C1235" s="50">
        <v>118.63</v>
      </c>
      <c r="D1235" s="50">
        <v>119.76</v>
      </c>
      <c r="E1235" s="50">
        <v>196804</v>
      </c>
      <c r="F1235" s="50" t="s">
        <v>1272</v>
      </c>
      <c r="G1235" s="25">
        <f t="shared" si="16"/>
        <v>5.845023380093517E-3</v>
      </c>
    </row>
    <row r="1236" spans="1:7">
      <c r="A1236" s="50">
        <v>120.7</v>
      </c>
      <c r="B1236" s="50">
        <v>122.49</v>
      </c>
      <c r="C1236" s="50">
        <v>119.22</v>
      </c>
      <c r="D1236" s="50">
        <v>121.95</v>
      </c>
      <c r="E1236" s="50">
        <v>436129</v>
      </c>
      <c r="F1236" s="50" t="s">
        <v>1273</v>
      </c>
      <c r="G1236" s="25">
        <f t="shared" si="16"/>
        <v>-1.0250102501024982E-2</v>
      </c>
    </row>
    <row r="1237" spans="1:7">
      <c r="A1237" s="50">
        <v>121.14</v>
      </c>
      <c r="B1237" s="50">
        <v>122.4</v>
      </c>
      <c r="C1237" s="50">
        <v>118.7</v>
      </c>
      <c r="D1237" s="50">
        <v>120.28</v>
      </c>
      <c r="E1237" s="50">
        <v>320455</v>
      </c>
      <c r="F1237" s="50" t="s">
        <v>1274</v>
      </c>
      <c r="G1237" s="25">
        <f t="shared" si="16"/>
        <v>7.1499833721317962E-3</v>
      </c>
    </row>
    <row r="1238" spans="1:7">
      <c r="A1238" s="50">
        <v>120.05</v>
      </c>
      <c r="B1238" s="50">
        <v>120.33</v>
      </c>
      <c r="C1238" s="50">
        <v>117.7101</v>
      </c>
      <c r="D1238" s="50">
        <v>118.68</v>
      </c>
      <c r="E1238" s="50">
        <v>294141</v>
      </c>
      <c r="F1238" s="50" t="s">
        <v>1275</v>
      </c>
      <c r="G1238" s="25">
        <f t="shared" si="16"/>
        <v>1.1543646781260408E-2</v>
      </c>
    </row>
    <row r="1239" spans="1:7">
      <c r="A1239" s="50">
        <v>117.79</v>
      </c>
      <c r="B1239" s="50">
        <v>121.32</v>
      </c>
      <c r="C1239" s="50">
        <v>116.65</v>
      </c>
      <c r="D1239" s="50">
        <v>116.65</v>
      </c>
      <c r="E1239" s="50">
        <v>508179</v>
      </c>
      <c r="F1239" s="50" t="s">
        <v>1276</v>
      </c>
      <c r="G1239" s="25">
        <f t="shared" si="16"/>
        <v>9.7728246892412329E-3</v>
      </c>
    </row>
    <row r="1240" spans="1:7">
      <c r="A1240" s="50">
        <v>117.01</v>
      </c>
      <c r="B1240" s="50">
        <v>117.88</v>
      </c>
      <c r="C1240" s="50">
        <v>112.6992</v>
      </c>
      <c r="D1240" s="50">
        <v>113.4</v>
      </c>
      <c r="E1240" s="50">
        <v>693314</v>
      </c>
      <c r="F1240" s="50" t="s">
        <v>1277</v>
      </c>
      <c r="G1240" s="25">
        <f t="shared" si="16"/>
        <v>3.1834215167548585E-2</v>
      </c>
    </row>
    <row r="1241" spans="1:7">
      <c r="A1241" s="50">
        <v>114.3</v>
      </c>
      <c r="B1241" s="50">
        <v>115.14</v>
      </c>
      <c r="C1241" s="50">
        <v>112.13</v>
      </c>
      <c r="D1241" s="50">
        <v>114.56</v>
      </c>
      <c r="E1241" s="50">
        <v>654474</v>
      </c>
      <c r="F1241" s="50" t="s">
        <v>1278</v>
      </c>
      <c r="G1241" s="25">
        <f t="shared" si="16"/>
        <v>-2.269553072625774E-3</v>
      </c>
    </row>
    <row r="1242" spans="1:7">
      <c r="A1242" s="50">
        <v>115.14</v>
      </c>
      <c r="B1242" s="50">
        <v>120.32</v>
      </c>
      <c r="C1242" s="50">
        <v>113.81</v>
      </c>
      <c r="D1242" s="50">
        <v>118.72</v>
      </c>
      <c r="E1242" s="50">
        <v>981943</v>
      </c>
      <c r="F1242" s="50" t="s">
        <v>1279</v>
      </c>
      <c r="G1242" s="25">
        <f t="shared" si="16"/>
        <v>-3.0154986522911043E-2</v>
      </c>
    </row>
    <row r="1243" spans="1:7">
      <c r="A1243" s="50">
        <v>119.09</v>
      </c>
      <c r="B1243" s="50">
        <v>119.29</v>
      </c>
      <c r="C1243" s="50">
        <v>116.42</v>
      </c>
      <c r="D1243" s="50">
        <v>119.08</v>
      </c>
      <c r="E1243" s="50">
        <v>705936</v>
      </c>
      <c r="F1243" s="50" t="s">
        <v>1280</v>
      </c>
      <c r="G1243" s="25">
        <f t="shared" si="16"/>
        <v>8.3977158213066616E-5</v>
      </c>
    </row>
    <row r="1244" spans="1:7">
      <c r="A1244" s="50">
        <v>118.7</v>
      </c>
      <c r="B1244" s="50">
        <v>119.46</v>
      </c>
      <c r="C1244" s="50">
        <v>115.78</v>
      </c>
      <c r="D1244" s="50">
        <v>117.179</v>
      </c>
      <c r="E1244" s="50">
        <v>677297</v>
      </c>
      <c r="F1244" s="50" t="s">
        <v>1281</v>
      </c>
      <c r="G1244" s="25">
        <f t="shared" si="16"/>
        <v>1.2980141492929587E-2</v>
      </c>
    </row>
    <row r="1245" spans="1:7">
      <c r="A1245" s="50">
        <v>116.04</v>
      </c>
      <c r="B1245" s="50">
        <v>117.67</v>
      </c>
      <c r="C1245" s="50">
        <v>114.87</v>
      </c>
      <c r="D1245" s="50">
        <v>116.42</v>
      </c>
      <c r="E1245" s="50">
        <v>779223</v>
      </c>
      <c r="F1245" s="50" t="s">
        <v>1282</v>
      </c>
      <c r="G1245" s="25">
        <f t="shared" si="16"/>
        <v>-3.2640439786977282E-3</v>
      </c>
    </row>
    <row r="1246" spans="1:7">
      <c r="A1246" s="50">
        <v>115.33</v>
      </c>
      <c r="B1246" s="50">
        <v>116.89</v>
      </c>
      <c r="C1246" s="50">
        <v>113.33</v>
      </c>
      <c r="D1246" s="50">
        <v>115</v>
      </c>
      <c r="E1246" s="50">
        <v>410923</v>
      </c>
      <c r="F1246" s="50" t="s">
        <v>1283</v>
      </c>
      <c r="G1246" s="25">
        <f t="shared" si="16"/>
        <v>2.8695652173913455E-3</v>
      </c>
    </row>
    <row r="1247" spans="1:7">
      <c r="A1247" s="50">
        <v>113.27</v>
      </c>
      <c r="B1247" s="50">
        <v>114.23</v>
      </c>
      <c r="C1247" s="50">
        <v>110.49</v>
      </c>
      <c r="D1247" s="50">
        <v>111.8</v>
      </c>
      <c r="E1247" s="50">
        <v>287822</v>
      </c>
      <c r="F1247" s="50" t="s">
        <v>1284</v>
      </c>
      <c r="G1247" s="25">
        <f t="shared" si="16"/>
        <v>1.3148479427549153E-2</v>
      </c>
    </row>
    <row r="1248" spans="1:7">
      <c r="A1248" s="50">
        <v>112.88</v>
      </c>
      <c r="B1248" s="50">
        <v>113.28</v>
      </c>
      <c r="C1248" s="50">
        <v>109.6649</v>
      </c>
      <c r="D1248" s="50">
        <v>113</v>
      </c>
      <c r="E1248" s="50">
        <v>279907</v>
      </c>
      <c r="F1248" s="50" t="s">
        <v>1285</v>
      </c>
      <c r="G1248" s="25">
        <f t="shared" si="16"/>
        <v>-1.0619469026549311E-3</v>
      </c>
    </row>
    <row r="1249" spans="1:7">
      <c r="A1249" s="50">
        <v>113.29</v>
      </c>
      <c r="B1249" s="50">
        <v>114.04</v>
      </c>
      <c r="C1249" s="50">
        <v>111.28</v>
      </c>
      <c r="D1249" s="50">
        <v>113.4</v>
      </c>
      <c r="E1249" s="50">
        <v>662192</v>
      </c>
      <c r="F1249" s="50" t="s">
        <v>1286</v>
      </c>
      <c r="G1249" s="25">
        <f t="shared" si="16"/>
        <v>-9.7001763668425056E-4</v>
      </c>
    </row>
    <row r="1250" spans="1:7">
      <c r="A1250" s="50">
        <v>111.01</v>
      </c>
      <c r="B1250" s="50">
        <v>112.68</v>
      </c>
      <c r="C1250" s="50">
        <v>110.22</v>
      </c>
      <c r="D1250" s="50">
        <v>111.56</v>
      </c>
      <c r="E1250" s="50">
        <v>308498</v>
      </c>
      <c r="F1250" s="50" t="s">
        <v>1287</v>
      </c>
      <c r="G1250" s="25">
        <f t="shared" si="16"/>
        <v>-4.9300824668340182E-3</v>
      </c>
    </row>
    <row r="1251" spans="1:7">
      <c r="A1251" s="50">
        <v>112.26</v>
      </c>
      <c r="B1251" s="50">
        <v>114.52</v>
      </c>
      <c r="C1251" s="50">
        <v>110.58</v>
      </c>
      <c r="D1251" s="50">
        <v>112.01</v>
      </c>
      <c r="E1251" s="50">
        <v>400328</v>
      </c>
      <c r="F1251" s="50" t="s">
        <v>1288</v>
      </c>
      <c r="G1251" s="25">
        <f t="shared" si="16"/>
        <v>2.2319435764663886E-3</v>
      </c>
    </row>
    <row r="1252" spans="1:7">
      <c r="A1252" s="50">
        <v>112.09</v>
      </c>
      <c r="B1252" s="50">
        <v>113.44</v>
      </c>
      <c r="C1252" s="50">
        <v>110.29</v>
      </c>
      <c r="D1252" s="50">
        <v>113.44</v>
      </c>
      <c r="E1252" s="50">
        <v>399882</v>
      </c>
      <c r="F1252" s="50" t="s">
        <v>1289</v>
      </c>
      <c r="G1252" s="25">
        <f t="shared" si="16"/>
        <v>-1.1900564174894157E-2</v>
      </c>
    </row>
    <row r="1253" spans="1:7">
      <c r="A1253" s="50">
        <v>111.3</v>
      </c>
      <c r="B1253" s="50">
        <v>112.33</v>
      </c>
      <c r="C1253" s="50">
        <v>109.63</v>
      </c>
      <c r="D1253" s="50">
        <v>110.59</v>
      </c>
      <c r="E1253" s="50">
        <v>508721</v>
      </c>
      <c r="F1253" s="50" t="s">
        <v>1290</v>
      </c>
      <c r="G1253" s="25">
        <f t="shared" si="16"/>
        <v>6.4201103173884277E-3</v>
      </c>
    </row>
    <row r="1254" spans="1:7">
      <c r="A1254" s="50">
        <v>108.4</v>
      </c>
      <c r="B1254" s="50">
        <v>110.37</v>
      </c>
      <c r="C1254" s="50">
        <v>106.22</v>
      </c>
      <c r="D1254" s="50">
        <v>106.22</v>
      </c>
      <c r="E1254" s="50">
        <v>861543</v>
      </c>
      <c r="F1254" s="50" t="s">
        <v>1291</v>
      </c>
      <c r="G1254" s="25">
        <f t="shared" si="16"/>
        <v>2.0523441913010698E-2</v>
      </c>
    </row>
    <row r="1255" spans="1:7">
      <c r="A1255" s="50">
        <v>104.58</v>
      </c>
      <c r="B1255" s="50">
        <v>104.8479</v>
      </c>
      <c r="C1255" s="50">
        <v>100.58</v>
      </c>
      <c r="D1255" s="50">
        <v>103.72</v>
      </c>
      <c r="E1255" s="50">
        <v>722904</v>
      </c>
      <c r="F1255" s="50" t="s">
        <v>1292</v>
      </c>
      <c r="G1255" s="25">
        <f t="shared" si="16"/>
        <v>8.2915541843424645E-3</v>
      </c>
    </row>
    <row r="1256" spans="1:7">
      <c r="A1256" s="50">
        <v>104.15</v>
      </c>
      <c r="B1256" s="50">
        <v>108.65</v>
      </c>
      <c r="C1256" s="50">
        <v>103.34</v>
      </c>
      <c r="D1256" s="50">
        <v>108.44</v>
      </c>
      <c r="E1256" s="50">
        <v>402444</v>
      </c>
      <c r="F1256" s="50" t="s">
        <v>1293</v>
      </c>
      <c r="G1256" s="25">
        <f t="shared" si="16"/>
        <v>-3.9561047583917319E-2</v>
      </c>
    </row>
    <row r="1257" spans="1:7">
      <c r="A1257" s="50">
        <v>108.65</v>
      </c>
      <c r="B1257" s="50">
        <v>109.29</v>
      </c>
      <c r="C1257" s="50">
        <v>104.09</v>
      </c>
      <c r="D1257" s="50">
        <v>107.5</v>
      </c>
      <c r="E1257" s="50">
        <v>465411</v>
      </c>
      <c r="F1257" s="50" t="s">
        <v>1294</v>
      </c>
      <c r="G1257" s="25">
        <f t="shared" si="16"/>
        <v>1.0697674418604697E-2</v>
      </c>
    </row>
    <row r="1258" spans="1:7">
      <c r="A1258" s="50">
        <v>107.07</v>
      </c>
      <c r="B1258" s="50">
        <v>108.09</v>
      </c>
      <c r="C1258" s="50">
        <v>103.705</v>
      </c>
      <c r="D1258" s="50">
        <v>104.89</v>
      </c>
      <c r="E1258" s="50">
        <v>719880</v>
      </c>
      <c r="F1258" s="50" t="s">
        <v>1295</v>
      </c>
      <c r="G1258" s="25">
        <f t="shared" si="16"/>
        <v>2.0783678139002726E-2</v>
      </c>
    </row>
    <row r="1259" spans="1:7">
      <c r="A1259" s="50">
        <v>106.57</v>
      </c>
      <c r="B1259" s="50">
        <v>113.75</v>
      </c>
      <c r="C1259" s="50">
        <v>106.2</v>
      </c>
      <c r="D1259" s="50">
        <v>113.75</v>
      </c>
      <c r="E1259" s="50">
        <v>420710</v>
      </c>
      <c r="F1259" s="50" t="s">
        <v>1296</v>
      </c>
      <c r="G1259" s="25">
        <f t="shared" si="16"/>
        <v>-6.3120879120879159E-2</v>
      </c>
    </row>
    <row r="1260" spans="1:7">
      <c r="A1260" s="50">
        <v>113.07</v>
      </c>
      <c r="B1260" s="50">
        <v>114.086</v>
      </c>
      <c r="C1260" s="50">
        <v>110.73</v>
      </c>
      <c r="D1260" s="50">
        <v>113</v>
      </c>
      <c r="E1260" s="50">
        <v>460270</v>
      </c>
      <c r="F1260" s="50" t="s">
        <v>1297</v>
      </c>
      <c r="G1260" s="25">
        <f t="shared" si="16"/>
        <v>6.1946902654863578E-4</v>
      </c>
    </row>
    <row r="1261" spans="1:7">
      <c r="A1261" s="50">
        <v>112.19</v>
      </c>
      <c r="B1261" s="50">
        <v>115</v>
      </c>
      <c r="C1261" s="50">
        <v>111.66</v>
      </c>
      <c r="D1261" s="50">
        <v>112.6</v>
      </c>
      <c r="E1261" s="50">
        <v>422380</v>
      </c>
      <c r="F1261" s="50" t="s">
        <v>1298</v>
      </c>
      <c r="G1261" s="25">
        <f t="shared" si="16"/>
        <v>-3.6412078152753269E-3</v>
      </c>
    </row>
    <row r="1262" spans="1:7">
      <c r="A1262" s="50">
        <v>111.34</v>
      </c>
      <c r="B1262" s="50">
        <v>112.15</v>
      </c>
      <c r="C1262" s="50">
        <v>108.6</v>
      </c>
      <c r="D1262" s="50">
        <v>109.7</v>
      </c>
      <c r="E1262" s="50">
        <v>1111938</v>
      </c>
      <c r="F1262" s="50" t="s">
        <v>1299</v>
      </c>
      <c r="G1262" s="25">
        <f t="shared" si="16"/>
        <v>1.4949863263445717E-2</v>
      </c>
    </row>
    <row r="1263" spans="1:7">
      <c r="A1263" s="50">
        <v>109.8</v>
      </c>
      <c r="B1263" s="50">
        <v>112.43</v>
      </c>
      <c r="C1263" s="50">
        <v>109.04</v>
      </c>
      <c r="D1263" s="50">
        <v>112.06</v>
      </c>
      <c r="E1263" s="50">
        <v>527511</v>
      </c>
      <c r="F1263" s="50" t="s">
        <v>1300</v>
      </c>
      <c r="G1263" s="25">
        <f t="shared" si="16"/>
        <v>-2.016776726753533E-2</v>
      </c>
    </row>
    <row r="1264" spans="1:7">
      <c r="A1264" s="50">
        <v>114.33</v>
      </c>
      <c r="B1264" s="50">
        <v>115.99</v>
      </c>
      <c r="C1264" s="50">
        <v>109.15</v>
      </c>
      <c r="D1264" s="50">
        <v>110.88</v>
      </c>
      <c r="E1264" s="50">
        <v>670388</v>
      </c>
      <c r="F1264" s="50" t="s">
        <v>1301</v>
      </c>
      <c r="G1264" s="25">
        <f t="shared" si="16"/>
        <v>3.1114718614718706E-2</v>
      </c>
    </row>
    <row r="1265" spans="1:7">
      <c r="A1265" s="50">
        <v>112.36</v>
      </c>
      <c r="B1265" s="50">
        <v>114.85169999999999</v>
      </c>
      <c r="C1265" s="50">
        <v>110.3</v>
      </c>
      <c r="D1265" s="50">
        <v>114.33</v>
      </c>
      <c r="E1265" s="50">
        <v>595470</v>
      </c>
      <c r="F1265" s="50" t="s">
        <v>1302</v>
      </c>
      <c r="G1265" s="25">
        <f t="shared" si="16"/>
        <v>-1.7230823056065714E-2</v>
      </c>
    </row>
    <row r="1266" spans="1:7">
      <c r="A1266" s="50">
        <v>113.77</v>
      </c>
      <c r="B1266" s="50">
        <v>114.64</v>
      </c>
      <c r="C1266" s="50">
        <v>111.16</v>
      </c>
      <c r="D1266" s="50">
        <v>112.78</v>
      </c>
      <c r="E1266" s="50">
        <v>428984</v>
      </c>
      <c r="F1266" s="50" t="s">
        <v>1303</v>
      </c>
      <c r="G1266" s="25">
        <f t="shared" si="16"/>
        <v>8.7781521546372865E-3</v>
      </c>
    </row>
    <row r="1267" spans="1:7">
      <c r="A1267" s="50">
        <v>112.91</v>
      </c>
      <c r="B1267" s="50">
        <v>113.74</v>
      </c>
      <c r="C1267" s="50">
        <v>109.83</v>
      </c>
      <c r="D1267" s="50">
        <v>111.89</v>
      </c>
      <c r="E1267" s="50">
        <v>1310761</v>
      </c>
      <c r="F1267" s="50" t="s">
        <v>1304</v>
      </c>
      <c r="G1267" s="25">
        <f t="shared" si="16"/>
        <v>9.1160961658771633E-3</v>
      </c>
    </row>
    <row r="1268" spans="1:7">
      <c r="A1268" s="50">
        <v>115.09</v>
      </c>
      <c r="B1268" s="50">
        <v>118.52</v>
      </c>
      <c r="C1268" s="50">
        <v>113.76</v>
      </c>
      <c r="D1268" s="50">
        <v>116.79</v>
      </c>
      <c r="E1268" s="50">
        <v>2056608</v>
      </c>
      <c r="F1268" s="50" t="s">
        <v>1305</v>
      </c>
      <c r="G1268" s="25">
        <f t="shared" si="16"/>
        <v>-1.455604075691419E-2</v>
      </c>
    </row>
    <row r="1269" spans="1:7">
      <c r="A1269" s="50">
        <v>114.33</v>
      </c>
      <c r="B1269" s="50">
        <v>121.92</v>
      </c>
      <c r="C1269" s="50">
        <v>110.25</v>
      </c>
      <c r="D1269" s="50">
        <v>115.01</v>
      </c>
      <c r="E1269" s="50">
        <v>5148099</v>
      </c>
      <c r="F1269" s="50" t="s">
        <v>1306</v>
      </c>
      <c r="G1269" s="25">
        <f t="shared" si="16"/>
        <v>-5.9125293452744199E-3</v>
      </c>
    </row>
    <row r="1270" spans="1:7">
      <c r="A1270" s="50">
        <v>110.13</v>
      </c>
      <c r="B1270" s="50">
        <v>111.645</v>
      </c>
      <c r="C1270" s="50">
        <v>107.81</v>
      </c>
      <c r="D1270" s="50">
        <v>108.99</v>
      </c>
      <c r="E1270" s="50">
        <v>820653</v>
      </c>
      <c r="F1270" s="50" t="s">
        <v>1307</v>
      </c>
      <c r="G1270" s="25">
        <f t="shared" si="16"/>
        <v>1.0459675199559593E-2</v>
      </c>
    </row>
    <row r="1271" spans="1:7">
      <c r="A1271" s="50">
        <v>103.68</v>
      </c>
      <c r="B1271" s="50">
        <v>112.11</v>
      </c>
      <c r="C1271" s="50">
        <v>103.26</v>
      </c>
      <c r="D1271" s="50">
        <v>111.54</v>
      </c>
      <c r="E1271" s="50">
        <v>863585</v>
      </c>
      <c r="F1271" s="50" t="s">
        <v>1308</v>
      </c>
      <c r="G1271" s="25">
        <f t="shared" si="16"/>
        <v>-7.0467993544916618E-2</v>
      </c>
    </row>
    <row r="1272" spans="1:7">
      <c r="A1272" s="50">
        <v>111.53</v>
      </c>
      <c r="B1272" s="50">
        <v>113.94</v>
      </c>
      <c r="C1272" s="50">
        <v>104.405</v>
      </c>
      <c r="D1272" s="50">
        <v>113.94</v>
      </c>
      <c r="E1272" s="50">
        <v>1009311</v>
      </c>
      <c r="F1272" s="50" t="s">
        <v>1309</v>
      </c>
      <c r="G1272" s="25">
        <f t="shared" si="16"/>
        <v>-2.115148323679128E-2</v>
      </c>
    </row>
    <row r="1273" spans="1:7">
      <c r="A1273" s="50">
        <v>112.42</v>
      </c>
      <c r="B1273" s="50">
        <v>118.46</v>
      </c>
      <c r="C1273" s="50">
        <v>108.505</v>
      </c>
      <c r="D1273" s="50">
        <v>115.94</v>
      </c>
      <c r="E1273" s="50">
        <v>1206706</v>
      </c>
      <c r="F1273" s="50" t="s">
        <v>1310</v>
      </c>
      <c r="G1273" s="25">
        <f t="shared" si="16"/>
        <v>-3.0360531309297834E-2</v>
      </c>
    </row>
    <row r="1274" spans="1:7">
      <c r="A1274" s="50">
        <v>117.76</v>
      </c>
      <c r="B1274" s="50">
        <v>124.64</v>
      </c>
      <c r="C1274" s="50">
        <v>117.01</v>
      </c>
      <c r="D1274" s="50">
        <v>124.19</v>
      </c>
      <c r="E1274" s="50">
        <v>854620</v>
      </c>
      <c r="F1274" s="50" t="s">
        <v>1311</v>
      </c>
      <c r="G1274" s="25">
        <f t="shared" si="16"/>
        <v>-5.1775505274176625E-2</v>
      </c>
    </row>
    <row r="1275" spans="1:7">
      <c r="A1275" s="50">
        <v>124.06</v>
      </c>
      <c r="B1275" s="50">
        <v>129.05000000000001</v>
      </c>
      <c r="C1275" s="50">
        <v>122.94</v>
      </c>
      <c r="D1275" s="50">
        <v>128.81</v>
      </c>
      <c r="E1275" s="50">
        <v>575195</v>
      </c>
      <c r="F1275" s="50" t="s">
        <v>1312</v>
      </c>
      <c r="G1275" s="25">
        <f t="shared" si="16"/>
        <v>-3.6876018942628708E-2</v>
      </c>
    </row>
    <row r="1276" spans="1:7">
      <c r="A1276" s="50">
        <v>127.6</v>
      </c>
      <c r="B1276" s="50">
        <v>127.99</v>
      </c>
      <c r="C1276" s="50">
        <v>123.96</v>
      </c>
      <c r="D1276" s="50">
        <v>125.41</v>
      </c>
      <c r="E1276" s="50">
        <v>363441</v>
      </c>
      <c r="F1276" s="50" t="s">
        <v>1313</v>
      </c>
      <c r="G1276" s="25">
        <f t="shared" si="16"/>
        <v>1.7462722270951359E-2</v>
      </c>
    </row>
    <row r="1277" spans="1:7">
      <c r="A1277" s="50">
        <v>124.02</v>
      </c>
      <c r="B1277" s="50">
        <v>126.3</v>
      </c>
      <c r="C1277" s="50">
        <v>118.67100000000001</v>
      </c>
      <c r="D1277" s="50">
        <v>122.18</v>
      </c>
      <c r="E1277" s="50">
        <v>645285</v>
      </c>
      <c r="F1277" s="50" t="s">
        <v>1314</v>
      </c>
      <c r="G1277" s="25">
        <f t="shared" si="16"/>
        <v>1.5059747912915311E-2</v>
      </c>
    </row>
    <row r="1278" spans="1:7">
      <c r="A1278" s="50">
        <v>121.51</v>
      </c>
      <c r="B1278" s="50">
        <v>126.99</v>
      </c>
      <c r="C1278" s="50">
        <v>119.49</v>
      </c>
      <c r="D1278" s="50">
        <v>123.88</v>
      </c>
      <c r="E1278" s="50">
        <v>1028265</v>
      </c>
      <c r="F1278" s="50" t="s">
        <v>1315</v>
      </c>
      <c r="G1278" s="25">
        <f t="shared" si="16"/>
        <v>-1.9131417500807157E-2</v>
      </c>
    </row>
    <row r="1279" spans="1:7">
      <c r="A1279" s="50">
        <v>124.58</v>
      </c>
      <c r="B1279" s="50">
        <v>125</v>
      </c>
      <c r="C1279" s="50">
        <v>116.66</v>
      </c>
      <c r="D1279" s="50">
        <v>121.71</v>
      </c>
      <c r="E1279" s="50">
        <v>458091</v>
      </c>
      <c r="F1279" s="50" t="s">
        <v>1316</v>
      </c>
      <c r="G1279" s="25">
        <f t="shared" si="16"/>
        <v>2.3580642510886651E-2</v>
      </c>
    </row>
    <row r="1280" spans="1:7">
      <c r="A1280" s="50">
        <v>123</v>
      </c>
      <c r="B1280" s="50">
        <v>123.86</v>
      </c>
      <c r="C1280" s="50">
        <v>114.04</v>
      </c>
      <c r="D1280" s="50">
        <v>120.1</v>
      </c>
      <c r="E1280" s="50">
        <v>889237</v>
      </c>
      <c r="F1280" s="50" t="s">
        <v>1317</v>
      </c>
      <c r="G1280" s="25">
        <f t="shared" si="16"/>
        <v>2.4146544546211457E-2</v>
      </c>
    </row>
    <row r="1281" spans="1:7">
      <c r="A1281" s="50">
        <v>123.64</v>
      </c>
      <c r="B1281" s="50">
        <v>129.80000000000001</v>
      </c>
      <c r="C1281" s="50">
        <v>122.29</v>
      </c>
      <c r="D1281" s="50">
        <v>129.65</v>
      </c>
      <c r="E1281" s="50">
        <v>725525</v>
      </c>
      <c r="F1281" s="50" t="s">
        <v>1318</v>
      </c>
      <c r="G1281" s="25">
        <f t="shared" si="16"/>
        <v>-4.6355572695719327E-2</v>
      </c>
    </row>
    <row r="1282" spans="1:7">
      <c r="A1282" s="50">
        <v>132.06</v>
      </c>
      <c r="B1282" s="50">
        <v>132.54</v>
      </c>
      <c r="C1282" s="50">
        <v>128.26</v>
      </c>
      <c r="D1282" s="50">
        <v>130.32</v>
      </c>
      <c r="E1282" s="50">
        <v>555792</v>
      </c>
      <c r="F1282" s="50" t="s">
        <v>1319</v>
      </c>
      <c r="G1282" s="25">
        <f t="shared" si="16"/>
        <v>1.3351749539594948E-2</v>
      </c>
    </row>
    <row r="1283" spans="1:7">
      <c r="A1283" s="50">
        <v>129.47</v>
      </c>
      <c r="B1283" s="50">
        <v>129.66999999999999</v>
      </c>
      <c r="C1283" s="50">
        <v>126.01</v>
      </c>
      <c r="D1283" s="50">
        <v>128.88</v>
      </c>
      <c r="E1283" s="50">
        <v>554387</v>
      </c>
      <c r="F1283" s="50" t="s">
        <v>1320</v>
      </c>
      <c r="G1283" s="25">
        <f t="shared" si="16"/>
        <v>4.5779019242706553E-3</v>
      </c>
    </row>
    <row r="1284" spans="1:7">
      <c r="A1284" s="50">
        <v>129.9</v>
      </c>
      <c r="B1284" s="50">
        <v>130.33000000000001</v>
      </c>
      <c r="C1284" s="50">
        <v>126.26600000000001</v>
      </c>
      <c r="D1284" s="50">
        <v>128</v>
      </c>
      <c r="E1284" s="50">
        <v>668164</v>
      </c>
      <c r="F1284" s="50" t="s">
        <v>1321</v>
      </c>
      <c r="G1284" s="25">
        <f t="shared" si="16"/>
        <v>1.4843750000000044E-2</v>
      </c>
    </row>
    <row r="1285" spans="1:7">
      <c r="A1285" s="50">
        <v>128.77500000000001</v>
      </c>
      <c r="B1285" s="50">
        <v>136.32</v>
      </c>
      <c r="C1285" s="50">
        <v>128.19999999999999</v>
      </c>
      <c r="D1285" s="50">
        <v>134.38</v>
      </c>
      <c r="E1285" s="50">
        <v>1076149</v>
      </c>
      <c r="F1285" s="50" t="s">
        <v>1322</v>
      </c>
      <c r="G1285" s="25">
        <f t="shared" si="16"/>
        <v>-4.1710075904152322E-2</v>
      </c>
    </row>
    <row r="1286" spans="1:7">
      <c r="A1286" s="50">
        <v>133.47</v>
      </c>
      <c r="B1286" s="50">
        <v>143.51</v>
      </c>
      <c r="C1286" s="50">
        <v>127.20010000000001</v>
      </c>
      <c r="D1286" s="50">
        <v>141.69</v>
      </c>
      <c r="E1286" s="50">
        <v>2705440</v>
      </c>
      <c r="F1286" s="50" t="s">
        <v>1323</v>
      </c>
      <c r="G1286" s="25">
        <f t="shared" si="16"/>
        <v>-5.8013974168960369E-2</v>
      </c>
    </row>
    <row r="1287" spans="1:7">
      <c r="A1287" s="50">
        <v>150.37</v>
      </c>
      <c r="B1287" s="50">
        <v>152.4418</v>
      </c>
      <c r="C1287" s="50">
        <v>146.02500000000001</v>
      </c>
      <c r="D1287" s="50">
        <v>149.59</v>
      </c>
      <c r="E1287" s="50">
        <v>872501</v>
      </c>
      <c r="F1287" s="50" t="s">
        <v>1324</v>
      </c>
      <c r="G1287" s="25">
        <f t="shared" si="16"/>
        <v>5.2142522895914922E-3</v>
      </c>
    </row>
    <row r="1288" spans="1:7">
      <c r="A1288" s="50">
        <v>148</v>
      </c>
      <c r="B1288" s="50">
        <v>150.9</v>
      </c>
      <c r="C1288" s="50">
        <v>144.32</v>
      </c>
      <c r="D1288" s="50">
        <v>149.58000000000001</v>
      </c>
      <c r="E1288" s="50">
        <v>1054676</v>
      </c>
      <c r="F1288" s="50" t="s">
        <v>1325</v>
      </c>
      <c r="G1288" s="25">
        <f t="shared" ref="G1288:G1351" si="17">A1288/D1288-1</f>
        <v>-1.0562909479877036E-2</v>
      </c>
    </row>
    <row r="1289" spans="1:7">
      <c r="A1289" s="50">
        <v>148.57</v>
      </c>
      <c r="B1289" s="50">
        <v>149.66</v>
      </c>
      <c r="C1289" s="50">
        <v>144.91499999999999</v>
      </c>
      <c r="D1289" s="50">
        <v>148</v>
      </c>
      <c r="E1289" s="50">
        <v>436569</v>
      </c>
      <c r="F1289" s="50" t="s">
        <v>1326</v>
      </c>
      <c r="G1289" s="25">
        <f t="shared" si="17"/>
        <v>3.8513513513513953E-3</v>
      </c>
    </row>
    <row r="1290" spans="1:7">
      <c r="A1290" s="50">
        <v>148.1</v>
      </c>
      <c r="B1290" s="50">
        <v>154.61000000000001</v>
      </c>
      <c r="C1290" s="50">
        <v>146.01</v>
      </c>
      <c r="D1290" s="50">
        <v>152</v>
      </c>
      <c r="E1290" s="50">
        <v>569687</v>
      </c>
      <c r="F1290" s="50" t="s">
        <v>1327</v>
      </c>
      <c r="G1290" s="25">
        <f t="shared" si="17"/>
        <v>-2.5657894736842102E-2</v>
      </c>
    </row>
    <row r="1291" spans="1:7">
      <c r="A1291" s="50">
        <v>148.51</v>
      </c>
      <c r="B1291" s="50">
        <v>148.66999999999999</v>
      </c>
      <c r="C1291" s="50">
        <v>141.53</v>
      </c>
      <c r="D1291" s="50">
        <v>144.86000000000001</v>
      </c>
      <c r="E1291" s="50">
        <v>630748</v>
      </c>
      <c r="F1291" s="50" t="s">
        <v>1328</v>
      </c>
      <c r="G1291" s="25">
        <f t="shared" si="17"/>
        <v>2.5196741681623447E-2</v>
      </c>
    </row>
    <row r="1292" spans="1:7">
      <c r="A1292" s="50">
        <v>142.88999999999999</v>
      </c>
      <c r="B1292" s="50">
        <v>145.125</v>
      </c>
      <c r="C1292" s="50">
        <v>137</v>
      </c>
      <c r="D1292" s="50">
        <v>137.94999999999999</v>
      </c>
      <c r="E1292" s="50">
        <v>931901</v>
      </c>
      <c r="F1292" s="50" t="s">
        <v>1329</v>
      </c>
      <c r="G1292" s="25">
        <f t="shared" si="17"/>
        <v>3.5810076114534128E-2</v>
      </c>
    </row>
    <row r="1293" spans="1:7">
      <c r="A1293" s="50">
        <v>137.25</v>
      </c>
      <c r="B1293" s="50">
        <v>139.9563</v>
      </c>
      <c r="C1293" s="50">
        <v>136.1</v>
      </c>
      <c r="D1293" s="50">
        <v>139.5</v>
      </c>
      <c r="E1293" s="50">
        <v>386423</v>
      </c>
      <c r="F1293" s="50" t="s">
        <v>1330</v>
      </c>
      <c r="G1293" s="25">
        <f t="shared" si="17"/>
        <v>-1.6129032258064502E-2</v>
      </c>
    </row>
    <row r="1294" spans="1:7">
      <c r="A1294" s="50">
        <v>138.79</v>
      </c>
      <c r="B1294" s="50">
        <v>141.63</v>
      </c>
      <c r="C1294" s="50">
        <v>136.25</v>
      </c>
      <c r="D1294" s="50">
        <v>137.1</v>
      </c>
      <c r="E1294" s="50">
        <v>401062</v>
      </c>
      <c r="F1294" s="50" t="s">
        <v>1331</v>
      </c>
      <c r="G1294" s="25">
        <f t="shared" si="17"/>
        <v>1.2326768781911079E-2</v>
      </c>
    </row>
    <row r="1295" spans="1:7">
      <c r="A1295" s="50">
        <v>133.72</v>
      </c>
      <c r="B1295" s="50">
        <v>135.35</v>
      </c>
      <c r="C1295" s="50">
        <v>129.53</v>
      </c>
      <c r="D1295" s="50">
        <v>131.91</v>
      </c>
      <c r="E1295" s="50">
        <v>309979</v>
      </c>
      <c r="F1295" s="50" t="s">
        <v>1332</v>
      </c>
      <c r="G1295" s="25">
        <f t="shared" si="17"/>
        <v>1.3721476764460672E-2</v>
      </c>
    </row>
    <row r="1296" spans="1:7">
      <c r="A1296" s="50">
        <v>129.62</v>
      </c>
      <c r="B1296" s="50">
        <v>130.74</v>
      </c>
      <c r="C1296" s="50">
        <v>126.21</v>
      </c>
      <c r="D1296" s="50">
        <v>129.88</v>
      </c>
      <c r="E1296" s="50">
        <v>341917</v>
      </c>
      <c r="F1296" s="50" t="s">
        <v>1333</v>
      </c>
      <c r="G1296" s="25">
        <f t="shared" si="17"/>
        <v>-2.0018478595625888E-3</v>
      </c>
    </row>
    <row r="1297" spans="1:7">
      <c r="A1297" s="50">
        <v>130.77000000000001</v>
      </c>
      <c r="B1297" s="50">
        <v>133.52000000000001</v>
      </c>
      <c r="C1297" s="50">
        <v>125.88</v>
      </c>
      <c r="D1297" s="50">
        <v>129.38999999999999</v>
      </c>
      <c r="E1297" s="50">
        <v>404911</v>
      </c>
      <c r="F1297" s="50" t="s">
        <v>1334</v>
      </c>
      <c r="G1297" s="25">
        <f t="shared" si="17"/>
        <v>1.0665430095061712E-2</v>
      </c>
    </row>
    <row r="1298" spans="1:7">
      <c r="A1298" s="50">
        <v>128.97999999999999</v>
      </c>
      <c r="B1298" s="50">
        <v>132.38999999999999</v>
      </c>
      <c r="C1298" s="50">
        <v>122.104</v>
      </c>
      <c r="D1298" s="50">
        <v>127.34</v>
      </c>
      <c r="E1298" s="50">
        <v>563873</v>
      </c>
      <c r="F1298" s="50" t="s">
        <v>1335</v>
      </c>
      <c r="G1298" s="25">
        <f t="shared" si="17"/>
        <v>1.2878906863514894E-2</v>
      </c>
    </row>
    <row r="1299" spans="1:7">
      <c r="A1299" s="50">
        <v>130.9</v>
      </c>
      <c r="B1299" s="50">
        <v>135.79</v>
      </c>
      <c r="C1299" s="50">
        <v>130.44499999999999</v>
      </c>
      <c r="D1299" s="50">
        <v>135.35</v>
      </c>
      <c r="E1299" s="50">
        <v>330697</v>
      </c>
      <c r="F1299" s="50" t="s">
        <v>1336</v>
      </c>
      <c r="G1299" s="25">
        <f t="shared" si="17"/>
        <v>-3.2877724418175047E-2</v>
      </c>
    </row>
    <row r="1300" spans="1:7">
      <c r="A1300" s="50">
        <v>135.35</v>
      </c>
      <c r="B1300" s="50">
        <v>140.28</v>
      </c>
      <c r="C1300" s="50">
        <v>132.96</v>
      </c>
      <c r="D1300" s="50">
        <v>136.75</v>
      </c>
      <c r="E1300" s="50">
        <v>441225</v>
      </c>
      <c r="F1300" s="50" t="s">
        <v>1337</v>
      </c>
      <c r="G1300" s="25">
        <f t="shared" si="17"/>
        <v>-1.0237659963436951E-2</v>
      </c>
    </row>
    <row r="1301" spans="1:7">
      <c r="A1301" s="50">
        <v>135.02000000000001</v>
      </c>
      <c r="B1301" s="50">
        <v>135.55500000000001</v>
      </c>
      <c r="C1301" s="50">
        <v>130.71</v>
      </c>
      <c r="D1301" s="50">
        <v>132.16999999999999</v>
      </c>
      <c r="E1301" s="50">
        <v>293660</v>
      </c>
      <c r="F1301" s="50" t="s">
        <v>1338</v>
      </c>
      <c r="G1301" s="25">
        <f t="shared" si="17"/>
        <v>2.1563138382386438E-2</v>
      </c>
    </row>
    <row r="1302" spans="1:7">
      <c r="A1302" s="50">
        <v>132.38</v>
      </c>
      <c r="B1302" s="50">
        <v>134.25</v>
      </c>
      <c r="C1302" s="50">
        <v>129.63999999999999</v>
      </c>
      <c r="D1302" s="50">
        <v>133.99</v>
      </c>
      <c r="E1302" s="50">
        <v>290208</v>
      </c>
      <c r="F1302" s="50" t="s">
        <v>1339</v>
      </c>
      <c r="G1302" s="25">
        <f t="shared" si="17"/>
        <v>-1.2015822076274496E-2</v>
      </c>
    </row>
    <row r="1303" spans="1:7">
      <c r="A1303" s="50">
        <v>133.37</v>
      </c>
      <c r="B1303" s="50">
        <v>136.11000000000001</v>
      </c>
      <c r="C1303" s="50">
        <v>132.13999999999999</v>
      </c>
      <c r="D1303" s="50">
        <v>132.13999999999999</v>
      </c>
      <c r="E1303" s="50">
        <v>462498</v>
      </c>
      <c r="F1303" s="50" t="s">
        <v>1340</v>
      </c>
      <c r="G1303" s="25">
        <f t="shared" si="17"/>
        <v>9.3083093688512974E-3</v>
      </c>
    </row>
    <row r="1304" spans="1:7">
      <c r="A1304" s="50">
        <v>130.24</v>
      </c>
      <c r="B1304" s="50">
        <v>130.76</v>
      </c>
      <c r="C1304" s="50">
        <v>125.925</v>
      </c>
      <c r="D1304" s="50">
        <v>127.97</v>
      </c>
      <c r="E1304" s="50">
        <v>389493</v>
      </c>
      <c r="F1304" s="50" t="s">
        <v>1341</v>
      </c>
      <c r="G1304" s="25">
        <f t="shared" si="17"/>
        <v>1.7738532468547286E-2</v>
      </c>
    </row>
    <row r="1305" spans="1:7">
      <c r="A1305" s="50">
        <v>125.74</v>
      </c>
      <c r="B1305" s="50">
        <v>132.18</v>
      </c>
      <c r="C1305" s="50">
        <v>124.6</v>
      </c>
      <c r="D1305" s="50">
        <v>129.99</v>
      </c>
      <c r="E1305" s="50">
        <v>402844</v>
      </c>
      <c r="F1305" s="50" t="s">
        <v>1342</v>
      </c>
      <c r="G1305" s="25">
        <f t="shared" si="17"/>
        <v>-3.2694822678667745E-2</v>
      </c>
    </row>
    <row r="1306" spans="1:7">
      <c r="A1306" s="50">
        <v>129.38999999999999</v>
      </c>
      <c r="B1306" s="50">
        <v>130.82</v>
      </c>
      <c r="C1306" s="50">
        <v>127.85</v>
      </c>
      <c r="D1306" s="50">
        <v>127.85</v>
      </c>
      <c r="E1306" s="50">
        <v>378913</v>
      </c>
      <c r="F1306" s="50" t="s">
        <v>1343</v>
      </c>
      <c r="G1306" s="25">
        <f t="shared" si="17"/>
        <v>1.2045365662886054E-2</v>
      </c>
    </row>
    <row r="1307" spans="1:7">
      <c r="A1307" s="50">
        <v>127.18</v>
      </c>
      <c r="B1307" s="50">
        <v>129.96</v>
      </c>
      <c r="C1307" s="50">
        <v>126.86</v>
      </c>
      <c r="D1307" s="50">
        <v>127.5</v>
      </c>
      <c r="E1307" s="50">
        <v>318425</v>
      </c>
      <c r="F1307" s="50" t="s">
        <v>1344</v>
      </c>
      <c r="G1307" s="25">
        <f t="shared" si="17"/>
        <v>-2.5098039215685208E-3</v>
      </c>
    </row>
    <row r="1308" spans="1:7">
      <c r="A1308" s="50">
        <v>127.07</v>
      </c>
      <c r="B1308" s="50">
        <v>128.76</v>
      </c>
      <c r="C1308" s="50">
        <v>124.43</v>
      </c>
      <c r="D1308" s="50">
        <v>128.05000000000001</v>
      </c>
      <c r="E1308" s="50">
        <v>456115</v>
      </c>
      <c r="F1308" s="50" t="s">
        <v>1345</v>
      </c>
      <c r="G1308" s="25">
        <f t="shared" si="17"/>
        <v>-7.6532604451388098E-3</v>
      </c>
    </row>
    <row r="1309" spans="1:7">
      <c r="A1309" s="50">
        <v>127.84</v>
      </c>
      <c r="B1309" s="50">
        <v>130.84</v>
      </c>
      <c r="C1309" s="50">
        <v>126.23</v>
      </c>
      <c r="D1309" s="50">
        <v>128.51</v>
      </c>
      <c r="E1309" s="50">
        <v>325599</v>
      </c>
      <c r="F1309" s="50" t="s">
        <v>1346</v>
      </c>
      <c r="G1309" s="25">
        <f t="shared" si="17"/>
        <v>-5.2136020543147588E-3</v>
      </c>
    </row>
    <row r="1310" spans="1:7">
      <c r="A1310" s="50">
        <v>129.69</v>
      </c>
      <c r="B1310" s="50">
        <v>132.51</v>
      </c>
      <c r="C1310" s="50">
        <v>127.229</v>
      </c>
      <c r="D1310" s="50">
        <v>128.12</v>
      </c>
      <c r="E1310" s="50">
        <v>1742818</v>
      </c>
      <c r="F1310" s="50" t="s">
        <v>1347</v>
      </c>
      <c r="G1310" s="25">
        <f t="shared" si="17"/>
        <v>1.2254136746799871E-2</v>
      </c>
    </row>
    <row r="1311" spans="1:7">
      <c r="A1311" s="50">
        <v>127.46</v>
      </c>
      <c r="B1311" s="50">
        <v>129.49</v>
      </c>
      <c r="C1311" s="50">
        <v>126.59</v>
      </c>
      <c r="D1311" s="50">
        <v>127.74</v>
      </c>
      <c r="E1311" s="50">
        <v>969233</v>
      </c>
      <c r="F1311" s="50" t="s">
        <v>1348</v>
      </c>
      <c r="G1311" s="25">
        <f t="shared" si="17"/>
        <v>-2.1919524033192639E-3</v>
      </c>
    </row>
    <row r="1312" spans="1:7">
      <c r="A1312" s="50">
        <v>126.65</v>
      </c>
      <c r="B1312" s="50">
        <v>128.82</v>
      </c>
      <c r="C1312" s="50">
        <v>123.6234</v>
      </c>
      <c r="D1312" s="50">
        <v>128.80000000000001</v>
      </c>
      <c r="E1312" s="50">
        <v>729801</v>
      </c>
      <c r="F1312" s="50" t="s">
        <v>1349</v>
      </c>
      <c r="G1312" s="25">
        <f t="shared" si="17"/>
        <v>-1.6692546583850998E-2</v>
      </c>
    </row>
    <row r="1313" spans="1:7">
      <c r="A1313" s="50">
        <v>130.32</v>
      </c>
      <c r="B1313" s="50">
        <v>131</v>
      </c>
      <c r="C1313" s="50">
        <v>126.04</v>
      </c>
      <c r="D1313" s="50">
        <v>127.01</v>
      </c>
      <c r="E1313" s="50">
        <v>438687</v>
      </c>
      <c r="F1313" s="50" t="s">
        <v>1350</v>
      </c>
      <c r="G1313" s="25">
        <f t="shared" si="17"/>
        <v>2.606094008345794E-2</v>
      </c>
    </row>
    <row r="1314" spans="1:7">
      <c r="A1314" s="50">
        <v>127.36</v>
      </c>
      <c r="B1314" s="50">
        <v>134</v>
      </c>
      <c r="C1314" s="50">
        <v>124.47499999999999</v>
      </c>
      <c r="D1314" s="50">
        <v>133.55000000000001</v>
      </c>
      <c r="E1314" s="50">
        <v>713870</v>
      </c>
      <c r="F1314" s="50" t="s">
        <v>1351</v>
      </c>
      <c r="G1314" s="25">
        <f t="shared" si="17"/>
        <v>-4.6349681767128503E-2</v>
      </c>
    </row>
    <row r="1315" spans="1:7">
      <c r="A1315" s="50">
        <v>133.38</v>
      </c>
      <c r="B1315" s="50">
        <v>134.53</v>
      </c>
      <c r="C1315" s="50">
        <v>131.6</v>
      </c>
      <c r="D1315" s="50">
        <v>133.11000000000001</v>
      </c>
      <c r="E1315" s="50">
        <v>246059</v>
      </c>
      <c r="F1315" s="50" t="s">
        <v>1352</v>
      </c>
      <c r="G1315" s="25">
        <f t="shared" si="17"/>
        <v>2.0283975659227682E-3</v>
      </c>
    </row>
    <row r="1316" spans="1:7">
      <c r="A1316" s="50">
        <v>133.15</v>
      </c>
      <c r="B1316" s="50">
        <v>135.185</v>
      </c>
      <c r="C1316" s="50">
        <v>132.54</v>
      </c>
      <c r="D1316" s="50">
        <v>132.88999999999999</v>
      </c>
      <c r="E1316" s="50">
        <v>370015</v>
      </c>
      <c r="F1316" s="50" t="s">
        <v>1353</v>
      </c>
      <c r="G1316" s="25">
        <f t="shared" si="17"/>
        <v>1.9565053803900501E-3</v>
      </c>
    </row>
    <row r="1317" spans="1:7">
      <c r="A1317" s="50">
        <v>131.67500000000001</v>
      </c>
      <c r="B1317" s="50">
        <v>136.55000000000001</v>
      </c>
      <c r="C1317" s="50">
        <v>130.18</v>
      </c>
      <c r="D1317" s="50">
        <v>136</v>
      </c>
      <c r="E1317" s="50">
        <v>454483</v>
      </c>
      <c r="F1317" s="50" t="s">
        <v>1354</v>
      </c>
      <c r="G1317" s="25">
        <f t="shared" si="17"/>
        <v>-3.1801470588235237E-2</v>
      </c>
    </row>
    <row r="1318" spans="1:7">
      <c r="A1318" s="50">
        <v>135.13999999999999</v>
      </c>
      <c r="B1318" s="50">
        <v>139.75</v>
      </c>
      <c r="C1318" s="50">
        <v>132.77549999999999</v>
      </c>
      <c r="D1318" s="50">
        <v>139.75</v>
      </c>
      <c r="E1318" s="50">
        <v>368199</v>
      </c>
      <c r="F1318" s="50" t="s">
        <v>1355</v>
      </c>
      <c r="G1318" s="25">
        <f t="shared" si="17"/>
        <v>-3.2987477638640517E-2</v>
      </c>
    </row>
    <row r="1319" spans="1:7">
      <c r="A1319" s="50">
        <v>137.83000000000001</v>
      </c>
      <c r="B1319" s="50">
        <v>138.66</v>
      </c>
      <c r="C1319" s="50">
        <v>135.80000000000001</v>
      </c>
      <c r="D1319" s="50">
        <v>137.9</v>
      </c>
      <c r="E1319" s="50">
        <v>150646</v>
      </c>
      <c r="F1319" s="50" t="s">
        <v>1356</v>
      </c>
      <c r="G1319" s="25">
        <f t="shared" si="17"/>
        <v>-5.0761421319789335E-4</v>
      </c>
    </row>
    <row r="1320" spans="1:7">
      <c r="A1320" s="50">
        <v>137.41999999999999</v>
      </c>
      <c r="B1320" s="50">
        <v>141.82</v>
      </c>
      <c r="C1320" s="50">
        <v>136.91</v>
      </c>
      <c r="D1320" s="50">
        <v>140.65</v>
      </c>
      <c r="E1320" s="50">
        <v>523026</v>
      </c>
      <c r="F1320" s="50" t="s">
        <v>1357</v>
      </c>
      <c r="G1320" s="25">
        <f t="shared" si="17"/>
        <v>-2.2964806256665637E-2</v>
      </c>
    </row>
    <row r="1321" spans="1:7">
      <c r="A1321" s="50">
        <v>140.28</v>
      </c>
      <c r="B1321" s="50">
        <v>141.81</v>
      </c>
      <c r="C1321" s="50">
        <v>136.31</v>
      </c>
      <c r="D1321" s="50">
        <v>137.6</v>
      </c>
      <c r="E1321" s="50">
        <v>805812</v>
      </c>
      <c r="F1321" s="50" t="s">
        <v>1358</v>
      </c>
      <c r="G1321" s="25">
        <f t="shared" si="17"/>
        <v>1.9476744186046613E-2</v>
      </c>
    </row>
    <row r="1322" spans="1:7">
      <c r="A1322" s="50">
        <v>135.63999999999999</v>
      </c>
      <c r="B1322" s="50">
        <v>137.22999999999999</v>
      </c>
      <c r="C1322" s="50">
        <v>132.02000000000001</v>
      </c>
      <c r="D1322" s="50">
        <v>132.88</v>
      </c>
      <c r="E1322" s="50">
        <v>410938</v>
      </c>
      <c r="F1322" s="50" t="s">
        <v>1359</v>
      </c>
      <c r="G1322" s="25">
        <f t="shared" si="17"/>
        <v>2.0770620108368387E-2</v>
      </c>
    </row>
    <row r="1323" spans="1:7">
      <c r="A1323" s="50">
        <v>134.19999999999999</v>
      </c>
      <c r="B1323" s="50">
        <v>135.4</v>
      </c>
      <c r="C1323" s="50">
        <v>131.79</v>
      </c>
      <c r="D1323" s="50">
        <v>133.94999999999999</v>
      </c>
      <c r="E1323" s="50">
        <v>756902</v>
      </c>
      <c r="F1323" s="50" t="s">
        <v>1360</v>
      </c>
      <c r="G1323" s="25">
        <f t="shared" si="17"/>
        <v>1.8663680477790656E-3</v>
      </c>
    </row>
    <row r="1324" spans="1:7">
      <c r="A1324" s="50">
        <v>132.5</v>
      </c>
      <c r="B1324" s="50">
        <v>133.4</v>
      </c>
      <c r="C1324" s="50">
        <v>129.44</v>
      </c>
      <c r="D1324" s="50">
        <v>131.28</v>
      </c>
      <c r="E1324" s="50">
        <v>460370</v>
      </c>
      <c r="F1324" s="50" t="s">
        <v>1361</v>
      </c>
      <c r="G1324" s="25">
        <f t="shared" si="17"/>
        <v>9.2931139549055075E-3</v>
      </c>
    </row>
    <row r="1325" spans="1:7">
      <c r="A1325" s="50">
        <v>128.63</v>
      </c>
      <c r="B1325" s="50">
        <v>131.36000000000001</v>
      </c>
      <c r="C1325" s="50">
        <v>127.68</v>
      </c>
      <c r="D1325" s="50">
        <v>127.68</v>
      </c>
      <c r="E1325" s="50">
        <v>378970</v>
      </c>
      <c r="F1325" s="50" t="s">
        <v>1362</v>
      </c>
      <c r="G1325" s="25">
        <f t="shared" si="17"/>
        <v>7.440476190476053E-3</v>
      </c>
    </row>
    <row r="1326" spans="1:7">
      <c r="A1326" s="50">
        <v>127.2</v>
      </c>
      <c r="B1326" s="50">
        <v>127.23</v>
      </c>
      <c r="C1326" s="50">
        <v>124.01</v>
      </c>
      <c r="D1326" s="50">
        <v>124.88</v>
      </c>
      <c r="E1326" s="50">
        <v>462747</v>
      </c>
      <c r="F1326" s="50" t="s">
        <v>1363</v>
      </c>
      <c r="G1326" s="25">
        <f t="shared" si="17"/>
        <v>1.8577834721332565E-2</v>
      </c>
    </row>
    <row r="1327" spans="1:7">
      <c r="A1327" s="50">
        <v>123.8</v>
      </c>
      <c r="B1327" s="50">
        <v>128.54</v>
      </c>
      <c r="C1327" s="50">
        <v>123.42</v>
      </c>
      <c r="D1327" s="50">
        <v>127.51</v>
      </c>
      <c r="E1327" s="50">
        <v>513660</v>
      </c>
      <c r="F1327" s="50" t="s">
        <v>1364</v>
      </c>
      <c r="G1327" s="25">
        <f t="shared" si="17"/>
        <v>-2.909575719551416E-2</v>
      </c>
    </row>
    <row r="1328" spans="1:7">
      <c r="A1328" s="50">
        <v>126.5</v>
      </c>
      <c r="B1328" s="50">
        <v>129.04179999999999</v>
      </c>
      <c r="C1328" s="50">
        <v>125.41500000000001</v>
      </c>
      <c r="D1328" s="50">
        <v>127.11</v>
      </c>
      <c r="E1328" s="50">
        <v>521534</v>
      </c>
      <c r="F1328" s="50" t="s">
        <v>1365</v>
      </c>
      <c r="G1328" s="25">
        <f t="shared" si="17"/>
        <v>-4.7989929981905322E-3</v>
      </c>
    </row>
    <row r="1329" spans="1:7">
      <c r="A1329" s="50">
        <v>125.74</v>
      </c>
      <c r="B1329" s="50">
        <v>127.72</v>
      </c>
      <c r="C1329" s="50">
        <v>118.6</v>
      </c>
      <c r="D1329" s="50">
        <v>118.94</v>
      </c>
      <c r="E1329" s="50">
        <v>537787</v>
      </c>
      <c r="F1329" s="50" t="s">
        <v>1366</v>
      </c>
      <c r="G1329" s="25">
        <f t="shared" si="17"/>
        <v>5.7171683201614254E-2</v>
      </c>
    </row>
    <row r="1330" spans="1:7">
      <c r="A1330" s="50">
        <v>120.86</v>
      </c>
      <c r="B1330" s="50">
        <v>126</v>
      </c>
      <c r="C1330" s="50">
        <v>119.45</v>
      </c>
      <c r="D1330" s="50">
        <v>125.01</v>
      </c>
      <c r="E1330" s="50">
        <v>330760</v>
      </c>
      <c r="F1330" s="50" t="s">
        <v>1367</v>
      </c>
      <c r="G1330" s="25">
        <f t="shared" si="17"/>
        <v>-3.3197344212463009E-2</v>
      </c>
    </row>
    <row r="1331" spans="1:7">
      <c r="A1331" s="50">
        <v>125.01</v>
      </c>
      <c r="B1331" s="50">
        <v>126.80249999999999</v>
      </c>
      <c r="C1331" s="50">
        <v>123.79</v>
      </c>
      <c r="D1331" s="50">
        <v>125.23</v>
      </c>
      <c r="E1331" s="50">
        <v>461321</v>
      </c>
      <c r="F1331" s="50" t="s">
        <v>1368</v>
      </c>
      <c r="G1331" s="25">
        <f t="shared" si="17"/>
        <v>-1.7567675477121458E-3</v>
      </c>
    </row>
    <row r="1332" spans="1:7">
      <c r="A1332" s="50">
        <v>124.28</v>
      </c>
      <c r="B1332" s="50">
        <v>126.46</v>
      </c>
      <c r="C1332" s="50">
        <v>122.75</v>
      </c>
      <c r="D1332" s="50">
        <v>124.38</v>
      </c>
      <c r="E1332" s="50">
        <v>367068</v>
      </c>
      <c r="F1332" s="50" t="s">
        <v>1369</v>
      </c>
      <c r="G1332" s="25">
        <f t="shared" si="17"/>
        <v>-8.0398777938572863E-4</v>
      </c>
    </row>
    <row r="1333" spans="1:7">
      <c r="A1333" s="50">
        <v>123.56</v>
      </c>
      <c r="B1333" s="50">
        <v>123.8</v>
      </c>
      <c r="C1333" s="50">
        <v>120.33499999999999</v>
      </c>
      <c r="D1333" s="50">
        <v>121.71</v>
      </c>
      <c r="E1333" s="50">
        <v>284283</v>
      </c>
      <c r="F1333" s="50" t="s">
        <v>1370</v>
      </c>
      <c r="G1333" s="25">
        <f t="shared" si="17"/>
        <v>1.5200065730013979E-2</v>
      </c>
    </row>
    <row r="1334" spans="1:7">
      <c r="A1334" s="50">
        <v>120.76</v>
      </c>
      <c r="B1334" s="50">
        <v>122.91</v>
      </c>
      <c r="C1334" s="50">
        <v>118.29</v>
      </c>
      <c r="D1334" s="50">
        <v>118.39</v>
      </c>
      <c r="E1334" s="50">
        <v>209669</v>
      </c>
      <c r="F1334" s="50" t="s">
        <v>1371</v>
      </c>
      <c r="G1334" s="25">
        <f t="shared" si="17"/>
        <v>2.0018582650561667E-2</v>
      </c>
    </row>
    <row r="1335" spans="1:7">
      <c r="A1335" s="50">
        <v>118.73</v>
      </c>
      <c r="B1335" s="50">
        <v>120.45</v>
      </c>
      <c r="C1335" s="50">
        <v>116.6</v>
      </c>
      <c r="D1335" s="50">
        <v>119.08</v>
      </c>
      <c r="E1335" s="50">
        <v>269147</v>
      </c>
      <c r="F1335" s="50" t="s">
        <v>1372</v>
      </c>
      <c r="G1335" s="25">
        <f t="shared" si="17"/>
        <v>-2.9392005374537788E-3</v>
      </c>
    </row>
    <row r="1336" spans="1:7">
      <c r="A1336" s="50">
        <v>120.08</v>
      </c>
      <c r="B1336" s="50">
        <v>125.3151</v>
      </c>
      <c r="C1336" s="50">
        <v>117.02</v>
      </c>
      <c r="D1336" s="50">
        <v>125.3151</v>
      </c>
      <c r="E1336" s="50">
        <v>664621</v>
      </c>
      <c r="F1336" s="50" t="s">
        <v>1373</v>
      </c>
      <c r="G1336" s="25">
        <f t="shared" si="17"/>
        <v>-4.177549233891209E-2</v>
      </c>
    </row>
    <row r="1337" spans="1:7">
      <c r="A1337" s="50">
        <v>122.9</v>
      </c>
      <c r="B1337" s="50">
        <v>125.53</v>
      </c>
      <c r="C1337" s="50">
        <v>119.8</v>
      </c>
      <c r="D1337" s="50">
        <v>120.81</v>
      </c>
      <c r="E1337" s="50">
        <v>800318</v>
      </c>
      <c r="F1337" s="50" t="s">
        <v>1374</v>
      </c>
      <c r="G1337" s="25">
        <f t="shared" si="17"/>
        <v>1.7299892393013883E-2</v>
      </c>
    </row>
    <row r="1338" spans="1:7">
      <c r="A1338" s="50">
        <v>120.38</v>
      </c>
      <c r="B1338" s="50">
        <v>120.53</v>
      </c>
      <c r="C1338" s="50">
        <v>116.13</v>
      </c>
      <c r="D1338" s="50">
        <v>116.38</v>
      </c>
      <c r="E1338" s="50">
        <v>273383</v>
      </c>
      <c r="F1338" s="50" t="s">
        <v>1375</v>
      </c>
      <c r="G1338" s="25">
        <f t="shared" si="17"/>
        <v>3.4370166695308457E-2</v>
      </c>
    </row>
    <row r="1339" spans="1:7">
      <c r="A1339" s="50">
        <v>115.23</v>
      </c>
      <c r="B1339" s="50">
        <v>116.13</v>
      </c>
      <c r="C1339" s="50">
        <v>111.13</v>
      </c>
      <c r="D1339" s="50">
        <v>112.59</v>
      </c>
      <c r="E1339" s="50">
        <v>359098</v>
      </c>
      <c r="F1339" s="50" t="s">
        <v>1376</v>
      </c>
      <c r="G1339" s="25">
        <f t="shared" si="17"/>
        <v>2.3447908339994772E-2</v>
      </c>
    </row>
    <row r="1340" spans="1:7">
      <c r="A1340" s="50">
        <v>112.59</v>
      </c>
      <c r="B1340" s="50">
        <v>114.315</v>
      </c>
      <c r="C1340" s="50">
        <v>111.6601</v>
      </c>
      <c r="D1340" s="50">
        <v>113.29</v>
      </c>
      <c r="E1340" s="50">
        <v>312478</v>
      </c>
      <c r="F1340" s="50" t="s">
        <v>1377</v>
      </c>
      <c r="G1340" s="25">
        <f t="shared" si="17"/>
        <v>-6.1788330832377447E-3</v>
      </c>
    </row>
    <row r="1341" spans="1:7">
      <c r="A1341" s="50">
        <v>113.59</v>
      </c>
      <c r="B1341" s="50">
        <v>114.49</v>
      </c>
      <c r="C1341" s="50">
        <v>111.1193</v>
      </c>
      <c r="D1341" s="50">
        <v>113</v>
      </c>
      <c r="E1341" s="50">
        <v>294223</v>
      </c>
      <c r="F1341" s="50" t="s">
        <v>1378</v>
      </c>
      <c r="G1341" s="25">
        <f t="shared" si="17"/>
        <v>5.2212389380530411E-3</v>
      </c>
    </row>
    <row r="1342" spans="1:7">
      <c r="A1342" s="50">
        <v>112.62</v>
      </c>
      <c r="B1342" s="50">
        <v>114.45</v>
      </c>
      <c r="C1342" s="50">
        <v>108</v>
      </c>
      <c r="D1342" s="50">
        <v>108.68</v>
      </c>
      <c r="E1342" s="50">
        <v>461152</v>
      </c>
      <c r="F1342" s="50" t="s">
        <v>1379</v>
      </c>
      <c r="G1342" s="25">
        <f t="shared" si="17"/>
        <v>3.6253220463746683E-2</v>
      </c>
    </row>
    <row r="1343" spans="1:7">
      <c r="A1343" s="50">
        <v>110.64</v>
      </c>
      <c r="B1343" s="50">
        <v>112</v>
      </c>
      <c r="C1343" s="50">
        <v>107.26</v>
      </c>
      <c r="D1343" s="50">
        <v>107.85</v>
      </c>
      <c r="E1343" s="50">
        <v>409935</v>
      </c>
      <c r="F1343" s="50" t="s">
        <v>1380</v>
      </c>
      <c r="G1343" s="25">
        <f t="shared" si="17"/>
        <v>2.5869262865090503E-2</v>
      </c>
    </row>
    <row r="1344" spans="1:7">
      <c r="A1344" s="50">
        <v>107.3</v>
      </c>
      <c r="B1344" s="50">
        <v>108.88</v>
      </c>
      <c r="C1344" s="50">
        <v>105.16</v>
      </c>
      <c r="D1344" s="50">
        <v>108.29</v>
      </c>
      <c r="E1344" s="50">
        <v>358512</v>
      </c>
      <c r="F1344" s="50" t="s">
        <v>1381</v>
      </c>
      <c r="G1344" s="25">
        <f t="shared" si="17"/>
        <v>-9.1421183858159116E-3</v>
      </c>
    </row>
    <row r="1345" spans="1:7">
      <c r="A1345" s="50">
        <v>106.03</v>
      </c>
      <c r="B1345" s="50">
        <v>108.27</v>
      </c>
      <c r="C1345" s="50">
        <v>104.815</v>
      </c>
      <c r="D1345" s="50">
        <v>106.74</v>
      </c>
      <c r="E1345" s="50">
        <v>592409</v>
      </c>
      <c r="F1345" s="50" t="s">
        <v>1382</v>
      </c>
      <c r="G1345" s="25">
        <f t="shared" si="17"/>
        <v>-6.6516769720816882E-3</v>
      </c>
    </row>
    <row r="1346" spans="1:7">
      <c r="A1346" s="50">
        <v>106.3</v>
      </c>
      <c r="B1346" s="50">
        <v>108.48</v>
      </c>
      <c r="C1346" s="50">
        <v>103.89</v>
      </c>
      <c r="D1346" s="50">
        <v>105.57</v>
      </c>
      <c r="E1346" s="50">
        <v>394034</v>
      </c>
      <c r="F1346" s="50" t="s">
        <v>1383</v>
      </c>
      <c r="G1346" s="25">
        <f t="shared" si="17"/>
        <v>6.9148432319787734E-3</v>
      </c>
    </row>
    <row r="1347" spans="1:7">
      <c r="A1347" s="50">
        <v>107.04</v>
      </c>
      <c r="B1347" s="50">
        <v>109.84</v>
      </c>
      <c r="C1347" s="50">
        <v>106.54</v>
      </c>
      <c r="D1347" s="50">
        <v>107.57</v>
      </c>
      <c r="E1347" s="50">
        <v>332679</v>
      </c>
      <c r="F1347" s="50" t="s">
        <v>1384</v>
      </c>
      <c r="G1347" s="25">
        <f t="shared" si="17"/>
        <v>-4.9270242632702965E-3</v>
      </c>
    </row>
    <row r="1348" spans="1:7">
      <c r="A1348" s="50">
        <v>107.19</v>
      </c>
      <c r="B1348" s="50">
        <v>110.8</v>
      </c>
      <c r="C1348" s="50">
        <v>105.95</v>
      </c>
      <c r="D1348" s="50">
        <v>108</v>
      </c>
      <c r="E1348" s="50">
        <v>822640</v>
      </c>
      <c r="F1348" s="50" t="s">
        <v>1385</v>
      </c>
      <c r="G1348" s="25">
        <f t="shared" si="17"/>
        <v>-7.5000000000000622E-3</v>
      </c>
    </row>
    <row r="1349" spans="1:7">
      <c r="A1349" s="50">
        <v>107.34</v>
      </c>
      <c r="B1349" s="50">
        <v>108.33</v>
      </c>
      <c r="C1349" s="50">
        <v>105.43</v>
      </c>
      <c r="D1349" s="50">
        <v>106.6</v>
      </c>
      <c r="E1349" s="50">
        <v>383729</v>
      </c>
      <c r="F1349" s="50" t="s">
        <v>1386</v>
      </c>
      <c r="G1349" s="25">
        <f t="shared" si="17"/>
        <v>6.9418386491557627E-3</v>
      </c>
    </row>
    <row r="1350" spans="1:7">
      <c r="A1350" s="50">
        <v>106.58</v>
      </c>
      <c r="B1350" s="50">
        <v>107.92</v>
      </c>
      <c r="C1350" s="50">
        <v>101.2</v>
      </c>
      <c r="D1350" s="50">
        <v>105</v>
      </c>
      <c r="E1350" s="50">
        <v>586005</v>
      </c>
      <c r="F1350" s="50" t="s">
        <v>1387</v>
      </c>
      <c r="G1350" s="25">
        <f t="shared" si="17"/>
        <v>1.5047619047618976E-2</v>
      </c>
    </row>
    <row r="1351" spans="1:7">
      <c r="A1351" s="50">
        <v>104.98</v>
      </c>
      <c r="B1351" s="50">
        <v>110.75</v>
      </c>
      <c r="C1351" s="50">
        <v>104.84</v>
      </c>
      <c r="D1351" s="50">
        <v>109</v>
      </c>
      <c r="E1351" s="50">
        <v>525953</v>
      </c>
      <c r="F1351" s="50" t="s">
        <v>1388</v>
      </c>
      <c r="G1351" s="25">
        <f t="shared" si="17"/>
        <v>-3.6880733944954058E-2</v>
      </c>
    </row>
    <row r="1352" spans="1:7">
      <c r="A1352" s="50">
        <v>111.35</v>
      </c>
      <c r="B1352" s="50">
        <v>113.02500000000001</v>
      </c>
      <c r="C1352" s="50">
        <v>109.19</v>
      </c>
      <c r="D1352" s="50">
        <v>112.71</v>
      </c>
      <c r="E1352" s="50">
        <v>477286</v>
      </c>
      <c r="F1352" s="50" t="s">
        <v>1389</v>
      </c>
      <c r="G1352" s="25">
        <f t="shared" ref="G1352:G1415" si="18">A1352/D1352-1</f>
        <v>-1.2066365007541435E-2</v>
      </c>
    </row>
    <row r="1353" spans="1:7">
      <c r="A1353" s="50">
        <v>113.68</v>
      </c>
      <c r="B1353" s="50">
        <v>114.3</v>
      </c>
      <c r="C1353" s="50">
        <v>110.47</v>
      </c>
      <c r="D1353" s="50">
        <v>112.99</v>
      </c>
      <c r="E1353" s="50">
        <v>749740</v>
      </c>
      <c r="F1353" s="50" t="s">
        <v>1390</v>
      </c>
      <c r="G1353" s="25">
        <f t="shared" si="18"/>
        <v>6.1067351093018196E-3</v>
      </c>
    </row>
    <row r="1354" spans="1:7">
      <c r="A1354" s="50">
        <v>108.46</v>
      </c>
      <c r="B1354" s="50">
        <v>111.25</v>
      </c>
      <c r="C1354" s="50">
        <v>102.61</v>
      </c>
      <c r="D1354" s="50">
        <v>102.99</v>
      </c>
      <c r="E1354" s="50">
        <v>816459</v>
      </c>
      <c r="F1354" s="50" t="s">
        <v>1391</v>
      </c>
      <c r="G1354" s="25">
        <f t="shared" si="18"/>
        <v>5.311195261675894E-2</v>
      </c>
    </row>
    <row r="1355" spans="1:7">
      <c r="A1355" s="50">
        <v>101.08</v>
      </c>
      <c r="B1355" s="50">
        <v>101.8999</v>
      </c>
      <c r="C1355" s="50">
        <v>95.72</v>
      </c>
      <c r="D1355" s="50">
        <v>96.58</v>
      </c>
      <c r="E1355" s="50">
        <v>472271</v>
      </c>
      <c r="F1355" s="50" t="s">
        <v>1392</v>
      </c>
      <c r="G1355" s="25">
        <f t="shared" si="18"/>
        <v>4.6593497618554469E-2</v>
      </c>
    </row>
    <row r="1356" spans="1:7">
      <c r="A1356" s="50">
        <v>97.44</v>
      </c>
      <c r="B1356" s="50">
        <v>99.26</v>
      </c>
      <c r="C1356" s="50">
        <v>93.995000000000005</v>
      </c>
      <c r="D1356" s="50">
        <v>98.53</v>
      </c>
      <c r="E1356" s="50">
        <v>592790</v>
      </c>
      <c r="F1356" s="50" t="s">
        <v>1393</v>
      </c>
      <c r="G1356" s="25">
        <f t="shared" si="18"/>
        <v>-1.1062620521668509E-2</v>
      </c>
    </row>
    <row r="1357" spans="1:7">
      <c r="A1357" s="50">
        <v>97.68</v>
      </c>
      <c r="B1357" s="50">
        <v>99.92</v>
      </c>
      <c r="C1357" s="50">
        <v>93.75</v>
      </c>
      <c r="D1357" s="50">
        <v>97.25</v>
      </c>
      <c r="E1357" s="50">
        <v>1378032</v>
      </c>
      <c r="F1357" s="50" t="s">
        <v>1394</v>
      </c>
      <c r="G1357" s="25">
        <f t="shared" si="18"/>
        <v>4.4215938303342472E-3</v>
      </c>
    </row>
    <row r="1358" spans="1:7">
      <c r="A1358" s="50">
        <v>92.3</v>
      </c>
      <c r="B1358" s="50">
        <v>93.458699999999993</v>
      </c>
      <c r="C1358" s="50">
        <v>90.09</v>
      </c>
      <c r="D1358" s="50">
        <v>92.36</v>
      </c>
      <c r="E1358" s="50">
        <v>496106</v>
      </c>
      <c r="F1358" s="50" t="s">
        <v>1395</v>
      </c>
      <c r="G1358" s="25">
        <f t="shared" si="18"/>
        <v>-6.4963187527067312E-4</v>
      </c>
    </row>
    <row r="1359" spans="1:7">
      <c r="A1359" s="50">
        <v>92.17</v>
      </c>
      <c r="B1359" s="50">
        <v>93.76</v>
      </c>
      <c r="C1359" s="50">
        <v>89.98</v>
      </c>
      <c r="D1359" s="50">
        <v>93.49</v>
      </c>
      <c r="E1359" s="50">
        <v>327845</v>
      </c>
      <c r="F1359" s="50" t="s">
        <v>1396</v>
      </c>
      <c r="G1359" s="25">
        <f t="shared" si="18"/>
        <v>-1.4119157129104609E-2</v>
      </c>
    </row>
    <row r="1360" spans="1:7">
      <c r="A1360" s="50">
        <v>95.02</v>
      </c>
      <c r="B1360" s="50">
        <v>97.32</v>
      </c>
      <c r="C1360" s="50">
        <v>93.1</v>
      </c>
      <c r="D1360" s="50">
        <v>93.1</v>
      </c>
      <c r="E1360" s="50">
        <v>483486</v>
      </c>
      <c r="F1360" s="50" t="s">
        <v>1397</v>
      </c>
      <c r="G1360" s="25">
        <f t="shared" si="18"/>
        <v>2.0622986036519908E-2</v>
      </c>
    </row>
    <row r="1361" spans="1:7">
      <c r="A1361" s="50">
        <v>91.93</v>
      </c>
      <c r="B1361" s="50">
        <v>97.83</v>
      </c>
      <c r="C1361" s="50">
        <v>88.62</v>
      </c>
      <c r="D1361" s="50">
        <v>97.83</v>
      </c>
      <c r="E1361" s="50">
        <v>690079</v>
      </c>
      <c r="F1361" s="50" t="s">
        <v>1398</v>
      </c>
      <c r="G1361" s="25">
        <f t="shared" si="18"/>
        <v>-6.0308698763160473E-2</v>
      </c>
    </row>
    <row r="1362" spans="1:7">
      <c r="A1362" s="50">
        <v>99.03</v>
      </c>
      <c r="B1362" s="50">
        <v>99.21</v>
      </c>
      <c r="C1362" s="50">
        <v>95.68</v>
      </c>
      <c r="D1362" s="50">
        <v>97.82</v>
      </c>
      <c r="E1362" s="50">
        <v>454007</v>
      </c>
      <c r="F1362" s="50" t="s">
        <v>1399</v>
      </c>
      <c r="G1362" s="25">
        <f t="shared" si="18"/>
        <v>1.2369658556532492E-2</v>
      </c>
    </row>
    <row r="1363" spans="1:7">
      <c r="A1363" s="50">
        <v>97.02</v>
      </c>
      <c r="B1363" s="50">
        <v>98.58</v>
      </c>
      <c r="C1363" s="50">
        <v>95.4</v>
      </c>
      <c r="D1363" s="50">
        <v>97.71</v>
      </c>
      <c r="E1363" s="50">
        <v>310831</v>
      </c>
      <c r="F1363" s="50" t="s">
        <v>1400</v>
      </c>
      <c r="G1363" s="25">
        <f t="shared" si="18"/>
        <v>-7.061713233036504E-3</v>
      </c>
    </row>
    <row r="1364" spans="1:7">
      <c r="A1364" s="50">
        <v>97.72</v>
      </c>
      <c r="B1364" s="50">
        <v>101.9281</v>
      </c>
      <c r="C1364" s="50">
        <v>97.48</v>
      </c>
      <c r="D1364" s="50">
        <v>101.04</v>
      </c>
      <c r="E1364" s="50">
        <v>315352</v>
      </c>
      <c r="F1364" s="50" t="s">
        <v>1401</v>
      </c>
      <c r="G1364" s="25">
        <f t="shared" si="18"/>
        <v>-3.2858273950910566E-2</v>
      </c>
    </row>
    <row r="1365" spans="1:7">
      <c r="A1365" s="50">
        <v>100.7</v>
      </c>
      <c r="B1365" s="50">
        <v>104.25</v>
      </c>
      <c r="C1365" s="50">
        <v>99.93</v>
      </c>
      <c r="D1365" s="50">
        <v>102.75</v>
      </c>
      <c r="E1365" s="50">
        <v>281508</v>
      </c>
      <c r="F1365" s="50" t="s">
        <v>1402</v>
      </c>
      <c r="G1365" s="25">
        <f t="shared" si="18"/>
        <v>-1.9951338199513335E-2</v>
      </c>
    </row>
    <row r="1366" spans="1:7">
      <c r="A1366" s="50">
        <v>102.52</v>
      </c>
      <c r="B1366" s="50">
        <v>105.07</v>
      </c>
      <c r="C1366" s="50">
        <v>101.19</v>
      </c>
      <c r="D1366" s="50">
        <v>101.45</v>
      </c>
      <c r="E1366" s="50">
        <v>937624</v>
      </c>
      <c r="F1366" s="50" t="s">
        <v>1403</v>
      </c>
      <c r="G1366" s="25">
        <f t="shared" si="18"/>
        <v>1.0547067520946252E-2</v>
      </c>
    </row>
    <row r="1367" spans="1:7">
      <c r="A1367" s="50">
        <v>101</v>
      </c>
      <c r="B1367" s="50">
        <v>101.06</v>
      </c>
      <c r="C1367" s="50">
        <v>98.664900000000003</v>
      </c>
      <c r="D1367" s="50">
        <v>98.79</v>
      </c>
      <c r="E1367" s="50">
        <v>312965</v>
      </c>
      <c r="F1367" s="50" t="s">
        <v>1404</v>
      </c>
      <c r="G1367" s="25">
        <f t="shared" si="18"/>
        <v>2.2370685292033565E-2</v>
      </c>
    </row>
    <row r="1368" spans="1:7">
      <c r="A1368" s="50">
        <v>98.18</v>
      </c>
      <c r="B1368" s="50">
        <v>98.47</v>
      </c>
      <c r="C1368" s="50">
        <v>93.33</v>
      </c>
      <c r="D1368" s="50">
        <v>94.49</v>
      </c>
      <c r="E1368" s="50">
        <v>338595</v>
      </c>
      <c r="F1368" s="50" t="s">
        <v>1405</v>
      </c>
      <c r="G1368" s="25">
        <f t="shared" si="18"/>
        <v>3.9051751508096144E-2</v>
      </c>
    </row>
    <row r="1369" spans="1:7">
      <c r="A1369" s="50">
        <v>96.7</v>
      </c>
      <c r="B1369" s="50">
        <v>100.24</v>
      </c>
      <c r="C1369" s="50">
        <v>94.86</v>
      </c>
      <c r="D1369" s="50">
        <v>100</v>
      </c>
      <c r="E1369" s="50">
        <v>357657</v>
      </c>
      <c r="F1369" s="50" t="s">
        <v>1406</v>
      </c>
      <c r="G1369" s="25">
        <f t="shared" si="18"/>
        <v>-3.2999999999999918E-2</v>
      </c>
    </row>
    <row r="1370" spans="1:7">
      <c r="A1370" s="50">
        <v>99.9</v>
      </c>
      <c r="B1370" s="50">
        <v>100.8879</v>
      </c>
      <c r="C1370" s="50">
        <v>98.61</v>
      </c>
      <c r="D1370" s="50">
        <v>99.3</v>
      </c>
      <c r="E1370" s="50">
        <v>284678</v>
      </c>
      <c r="F1370" s="50" t="s">
        <v>1407</v>
      </c>
      <c r="G1370" s="25">
        <f t="shared" si="18"/>
        <v>6.0422960725077246E-3</v>
      </c>
    </row>
    <row r="1371" spans="1:7">
      <c r="A1371" s="50">
        <v>98.78</v>
      </c>
      <c r="B1371" s="50">
        <v>100.58</v>
      </c>
      <c r="C1371" s="50">
        <v>97.71</v>
      </c>
      <c r="D1371" s="50">
        <v>100</v>
      </c>
      <c r="E1371" s="50">
        <v>268915</v>
      </c>
      <c r="F1371" s="50" t="s">
        <v>1408</v>
      </c>
      <c r="G1371" s="25">
        <f t="shared" si="18"/>
        <v>-1.2199999999999989E-2</v>
      </c>
    </row>
    <row r="1372" spans="1:7">
      <c r="A1372" s="50">
        <v>98.43</v>
      </c>
      <c r="B1372" s="50">
        <v>98.56</v>
      </c>
      <c r="C1372" s="50">
        <v>96.34</v>
      </c>
      <c r="D1372" s="50">
        <v>96.52</v>
      </c>
      <c r="E1372" s="50">
        <v>312798</v>
      </c>
      <c r="F1372" s="50" t="s">
        <v>1409</v>
      </c>
      <c r="G1372" s="25">
        <f t="shared" si="18"/>
        <v>1.9788644840447622E-2</v>
      </c>
    </row>
    <row r="1373" spans="1:7">
      <c r="A1373" s="50">
        <v>96.26</v>
      </c>
      <c r="B1373" s="50">
        <v>98.4499</v>
      </c>
      <c r="C1373" s="50">
        <v>95.5</v>
      </c>
      <c r="D1373" s="50">
        <v>98.01</v>
      </c>
      <c r="E1373" s="50">
        <v>325584</v>
      </c>
      <c r="F1373" s="50" t="s">
        <v>1410</v>
      </c>
      <c r="G1373" s="25">
        <f t="shared" si="18"/>
        <v>-1.7855320885623915E-2</v>
      </c>
    </row>
    <row r="1374" spans="1:7">
      <c r="A1374" s="50">
        <v>96.82</v>
      </c>
      <c r="B1374" s="50">
        <v>98</v>
      </c>
      <c r="C1374" s="50">
        <v>93.624700000000004</v>
      </c>
      <c r="D1374" s="50">
        <v>93.85</v>
      </c>
      <c r="E1374" s="50">
        <v>542881</v>
      </c>
      <c r="F1374" s="50" t="s">
        <v>1411</v>
      </c>
      <c r="G1374" s="25">
        <f t="shared" si="18"/>
        <v>3.1646244006393154E-2</v>
      </c>
    </row>
    <row r="1375" spans="1:7">
      <c r="A1375" s="50">
        <v>92.7</v>
      </c>
      <c r="B1375" s="50">
        <v>95.36</v>
      </c>
      <c r="C1375" s="50">
        <v>88.45</v>
      </c>
      <c r="D1375" s="50">
        <v>89.43</v>
      </c>
      <c r="E1375" s="50">
        <v>525819</v>
      </c>
      <c r="F1375" s="50" t="s">
        <v>1412</v>
      </c>
      <c r="G1375" s="25">
        <f t="shared" si="18"/>
        <v>3.6564911103656339E-2</v>
      </c>
    </row>
    <row r="1376" spans="1:7">
      <c r="A1376" s="50">
        <v>88.26</v>
      </c>
      <c r="B1376" s="50">
        <v>88.99</v>
      </c>
      <c r="C1376" s="50">
        <v>87.34</v>
      </c>
      <c r="D1376" s="50">
        <v>88.49</v>
      </c>
      <c r="E1376" s="50">
        <v>346370</v>
      </c>
      <c r="F1376" s="50" t="s">
        <v>1413</v>
      </c>
      <c r="G1376" s="25">
        <f t="shared" si="18"/>
        <v>-2.5991637473159468E-3</v>
      </c>
    </row>
    <row r="1377" spans="1:7">
      <c r="A1377" s="50">
        <v>88.1</v>
      </c>
      <c r="B1377" s="50">
        <v>91.75</v>
      </c>
      <c r="C1377" s="50">
        <v>87.33</v>
      </c>
      <c r="D1377" s="50">
        <v>88.9</v>
      </c>
      <c r="E1377" s="50">
        <v>501181</v>
      </c>
      <c r="F1377" s="50" t="s">
        <v>1414</v>
      </c>
      <c r="G1377" s="25">
        <f t="shared" si="18"/>
        <v>-8.9988751406075984E-3</v>
      </c>
    </row>
    <row r="1378" spans="1:7">
      <c r="A1378" s="50">
        <v>90.94</v>
      </c>
      <c r="B1378" s="50">
        <v>91.474999999999994</v>
      </c>
      <c r="C1378" s="50">
        <v>90.311099999999996</v>
      </c>
      <c r="D1378" s="50">
        <v>90.72</v>
      </c>
      <c r="E1378" s="50">
        <v>315049</v>
      </c>
      <c r="F1378" s="50" t="s">
        <v>1415</v>
      </c>
      <c r="G1378" s="25">
        <f t="shared" si="18"/>
        <v>2.4250440917108484E-3</v>
      </c>
    </row>
    <row r="1379" spans="1:7">
      <c r="A1379" s="50">
        <v>89.63</v>
      </c>
      <c r="B1379" s="50">
        <v>91.55</v>
      </c>
      <c r="C1379" s="50">
        <v>89.315299999999993</v>
      </c>
      <c r="D1379" s="50">
        <v>90.67</v>
      </c>
      <c r="E1379" s="50">
        <v>579910</v>
      </c>
      <c r="F1379" s="50" t="s">
        <v>1416</v>
      </c>
      <c r="G1379" s="25">
        <f t="shared" si="18"/>
        <v>-1.1470166537995041E-2</v>
      </c>
    </row>
    <row r="1380" spans="1:7">
      <c r="A1380" s="50">
        <v>90.33</v>
      </c>
      <c r="B1380" s="50">
        <v>90.73</v>
      </c>
      <c r="C1380" s="50">
        <v>89.24</v>
      </c>
      <c r="D1380" s="50">
        <v>90.2</v>
      </c>
      <c r="E1380" s="50">
        <v>458770</v>
      </c>
      <c r="F1380" s="50" t="s">
        <v>1417</v>
      </c>
      <c r="G1380" s="25">
        <f t="shared" si="18"/>
        <v>1.4412416851441456E-3</v>
      </c>
    </row>
    <row r="1381" spans="1:7">
      <c r="A1381" s="50">
        <v>90.84</v>
      </c>
      <c r="B1381" s="50">
        <v>90.95</v>
      </c>
      <c r="C1381" s="50">
        <v>88.280100000000004</v>
      </c>
      <c r="D1381" s="50">
        <v>90.13</v>
      </c>
      <c r="E1381" s="50">
        <v>453487</v>
      </c>
      <c r="F1381" s="50" t="s">
        <v>1418</v>
      </c>
      <c r="G1381" s="25">
        <f t="shared" si="18"/>
        <v>7.8775102629535798E-3</v>
      </c>
    </row>
    <row r="1382" spans="1:7">
      <c r="A1382" s="50">
        <v>89.24</v>
      </c>
      <c r="B1382" s="50">
        <v>90.02</v>
      </c>
      <c r="C1382" s="50">
        <v>84.98</v>
      </c>
      <c r="D1382" s="50">
        <v>84.98</v>
      </c>
      <c r="E1382" s="50">
        <v>594664</v>
      </c>
      <c r="F1382" s="50" t="s">
        <v>1419</v>
      </c>
      <c r="G1382" s="25">
        <f t="shared" si="18"/>
        <v>5.0129442221699128E-2</v>
      </c>
    </row>
    <row r="1383" spans="1:7">
      <c r="A1383" s="50">
        <v>84.9</v>
      </c>
      <c r="B1383" s="50">
        <v>86.35</v>
      </c>
      <c r="C1383" s="50">
        <v>81.787000000000006</v>
      </c>
      <c r="D1383" s="50">
        <v>83.11</v>
      </c>
      <c r="E1383" s="50">
        <v>342053</v>
      </c>
      <c r="F1383" s="50" t="s">
        <v>1420</v>
      </c>
      <c r="G1383" s="25">
        <f t="shared" si="18"/>
        <v>2.153772109252805E-2</v>
      </c>
    </row>
    <row r="1384" spans="1:7">
      <c r="A1384" s="50">
        <v>84.56</v>
      </c>
      <c r="B1384" s="50">
        <v>88.01</v>
      </c>
      <c r="C1384" s="50">
        <v>84.100099999999998</v>
      </c>
      <c r="D1384" s="50">
        <v>87.05</v>
      </c>
      <c r="E1384" s="50">
        <v>355036</v>
      </c>
      <c r="F1384" s="50" t="s">
        <v>1421</v>
      </c>
      <c r="G1384" s="25">
        <f t="shared" si="18"/>
        <v>-2.8604250430786848E-2</v>
      </c>
    </row>
    <row r="1385" spans="1:7">
      <c r="A1385" s="50">
        <v>87.1</v>
      </c>
      <c r="B1385" s="50">
        <v>87.44</v>
      </c>
      <c r="C1385" s="50">
        <v>83.6</v>
      </c>
      <c r="D1385" s="50">
        <v>86</v>
      </c>
      <c r="E1385" s="50">
        <v>310157</v>
      </c>
      <c r="F1385" s="50" t="s">
        <v>1422</v>
      </c>
      <c r="G1385" s="25">
        <f t="shared" si="18"/>
        <v>1.2790697674418539E-2</v>
      </c>
    </row>
    <row r="1386" spans="1:7">
      <c r="A1386" s="50">
        <v>85.47</v>
      </c>
      <c r="B1386" s="50">
        <v>85.49</v>
      </c>
      <c r="C1386" s="50">
        <v>81.209999999999994</v>
      </c>
      <c r="D1386" s="50">
        <v>81.22</v>
      </c>
      <c r="E1386" s="50">
        <v>447364</v>
      </c>
      <c r="F1386" s="50" t="s">
        <v>1423</v>
      </c>
      <c r="G1386" s="25">
        <f t="shared" si="18"/>
        <v>5.2327013050972759E-2</v>
      </c>
    </row>
    <row r="1387" spans="1:7">
      <c r="A1387" s="50">
        <v>82.38</v>
      </c>
      <c r="B1387" s="50">
        <v>83.42</v>
      </c>
      <c r="C1387" s="50">
        <v>80.19</v>
      </c>
      <c r="D1387" s="50">
        <v>80.73</v>
      </c>
      <c r="E1387" s="50">
        <v>682397</v>
      </c>
      <c r="F1387" s="50" t="s">
        <v>1424</v>
      </c>
      <c r="G1387" s="25">
        <f t="shared" si="18"/>
        <v>2.0438498699368202E-2</v>
      </c>
    </row>
    <row r="1388" spans="1:7">
      <c r="A1388" s="50">
        <v>79.84</v>
      </c>
      <c r="B1388" s="50">
        <v>80.5</v>
      </c>
      <c r="C1388" s="50">
        <v>78.37</v>
      </c>
      <c r="D1388" s="50">
        <v>79.22</v>
      </c>
      <c r="E1388" s="50">
        <v>770464</v>
      </c>
      <c r="F1388" s="50" t="s">
        <v>1425</v>
      </c>
      <c r="G1388" s="25">
        <f t="shared" si="18"/>
        <v>7.8263064882606592E-3</v>
      </c>
    </row>
    <row r="1389" spans="1:7">
      <c r="A1389" s="50">
        <v>81</v>
      </c>
      <c r="B1389" s="50">
        <v>82.974999999999994</v>
      </c>
      <c r="C1389" s="50">
        <v>80.53</v>
      </c>
      <c r="D1389" s="50">
        <v>82.22</v>
      </c>
      <c r="E1389" s="50">
        <v>456123</v>
      </c>
      <c r="F1389" s="50" t="s">
        <v>1426</v>
      </c>
      <c r="G1389" s="25">
        <f t="shared" si="18"/>
        <v>-1.4838238871320852E-2</v>
      </c>
    </row>
    <row r="1390" spans="1:7">
      <c r="A1390" s="50">
        <v>81.78</v>
      </c>
      <c r="B1390" s="50">
        <v>82.86</v>
      </c>
      <c r="C1390" s="50">
        <v>80.803200000000004</v>
      </c>
      <c r="D1390" s="50">
        <v>81.680000000000007</v>
      </c>
      <c r="E1390" s="50">
        <v>275361</v>
      </c>
      <c r="F1390" s="50" t="s">
        <v>1427</v>
      </c>
      <c r="G1390" s="25">
        <f t="shared" si="18"/>
        <v>1.2242899118510842E-3</v>
      </c>
    </row>
    <row r="1391" spans="1:7">
      <c r="A1391" s="50">
        <v>81.010000000000005</v>
      </c>
      <c r="B1391" s="50">
        <v>81.484999999999999</v>
      </c>
      <c r="C1391" s="50">
        <v>80.22</v>
      </c>
      <c r="D1391" s="50">
        <v>81.13</v>
      </c>
      <c r="E1391" s="50">
        <v>362777</v>
      </c>
      <c r="F1391" s="50" t="s">
        <v>1428</v>
      </c>
      <c r="G1391" s="25">
        <f t="shared" si="18"/>
        <v>-1.4791076050781893E-3</v>
      </c>
    </row>
    <row r="1392" spans="1:7">
      <c r="A1392" s="50">
        <v>80.010000000000005</v>
      </c>
      <c r="B1392" s="50">
        <v>84.486000000000004</v>
      </c>
      <c r="C1392" s="50">
        <v>79.650000000000006</v>
      </c>
      <c r="D1392" s="50">
        <v>83.89</v>
      </c>
      <c r="E1392" s="50">
        <v>576798</v>
      </c>
      <c r="F1392" s="50" t="s">
        <v>1429</v>
      </c>
      <c r="G1392" s="25">
        <f t="shared" si="18"/>
        <v>-4.6251043032542571E-2</v>
      </c>
    </row>
    <row r="1393" spans="1:7">
      <c r="A1393" s="50">
        <v>82.97</v>
      </c>
      <c r="B1393" s="50">
        <v>85.120800000000003</v>
      </c>
      <c r="C1393" s="50">
        <v>81.67</v>
      </c>
      <c r="D1393" s="50">
        <v>83.95</v>
      </c>
      <c r="E1393" s="50">
        <v>547462</v>
      </c>
      <c r="F1393" s="50" t="s">
        <v>1430</v>
      </c>
      <c r="G1393" s="25">
        <f t="shared" si="18"/>
        <v>-1.1673615247171032E-2</v>
      </c>
    </row>
    <row r="1394" spans="1:7">
      <c r="A1394" s="50">
        <v>83.05</v>
      </c>
      <c r="B1394" s="50">
        <v>83.644999999999996</v>
      </c>
      <c r="C1394" s="50">
        <v>78.77</v>
      </c>
      <c r="D1394" s="50">
        <v>81.33</v>
      </c>
      <c r="E1394" s="50">
        <v>530992</v>
      </c>
      <c r="F1394" s="50" t="s">
        <v>1431</v>
      </c>
      <c r="G1394" s="25">
        <f t="shared" si="18"/>
        <v>2.114840772162796E-2</v>
      </c>
    </row>
    <row r="1395" spans="1:7">
      <c r="A1395" s="50">
        <v>79.52</v>
      </c>
      <c r="B1395" s="50">
        <v>81.209999999999994</v>
      </c>
      <c r="C1395" s="50">
        <v>78.180000000000007</v>
      </c>
      <c r="D1395" s="50">
        <v>78.75</v>
      </c>
      <c r="E1395" s="50">
        <v>546998</v>
      </c>
      <c r="F1395" s="50" t="s">
        <v>1432</v>
      </c>
      <c r="G1395" s="25">
        <f t="shared" si="18"/>
        <v>9.7777777777776631E-3</v>
      </c>
    </row>
    <row r="1396" spans="1:7">
      <c r="A1396" s="50">
        <v>81.459999999999994</v>
      </c>
      <c r="B1396" s="50">
        <v>86.11</v>
      </c>
      <c r="C1396" s="50">
        <v>77.23</v>
      </c>
      <c r="D1396" s="50">
        <v>84.94</v>
      </c>
      <c r="E1396" s="50">
        <v>903535</v>
      </c>
      <c r="F1396" s="50" t="s">
        <v>1433</v>
      </c>
      <c r="G1396" s="25">
        <f t="shared" si="18"/>
        <v>-4.0970096538733292E-2</v>
      </c>
    </row>
    <row r="1397" spans="1:7">
      <c r="A1397" s="50">
        <v>85.87</v>
      </c>
      <c r="B1397" s="50">
        <v>90.5</v>
      </c>
      <c r="C1397" s="50">
        <v>84.011700000000005</v>
      </c>
      <c r="D1397" s="50">
        <v>90.5</v>
      </c>
      <c r="E1397" s="50">
        <v>973498</v>
      </c>
      <c r="F1397" s="50" t="s">
        <v>1434</v>
      </c>
      <c r="G1397" s="25">
        <f t="shared" si="18"/>
        <v>-5.1160220994475036E-2</v>
      </c>
    </row>
    <row r="1398" spans="1:7">
      <c r="A1398" s="50">
        <v>92.77</v>
      </c>
      <c r="B1398" s="50">
        <v>93.59</v>
      </c>
      <c r="C1398" s="50">
        <v>88.14</v>
      </c>
      <c r="D1398" s="50">
        <v>92.6</v>
      </c>
      <c r="E1398" s="50">
        <v>746189</v>
      </c>
      <c r="F1398" s="50" t="s">
        <v>1435</v>
      </c>
      <c r="G1398" s="25">
        <f t="shared" si="18"/>
        <v>1.8358531317494986E-3</v>
      </c>
    </row>
    <row r="1399" spans="1:7">
      <c r="A1399" s="50">
        <v>90.82</v>
      </c>
      <c r="B1399" s="50">
        <v>90.87</v>
      </c>
      <c r="C1399" s="50">
        <v>87.5</v>
      </c>
      <c r="D1399" s="50">
        <v>88</v>
      </c>
      <c r="E1399" s="50">
        <v>744991</v>
      </c>
      <c r="F1399" s="50" t="s">
        <v>1436</v>
      </c>
      <c r="G1399" s="25">
        <f t="shared" si="18"/>
        <v>3.2045454545454488E-2</v>
      </c>
    </row>
    <row r="1400" spans="1:7">
      <c r="A1400" s="50">
        <v>87.37</v>
      </c>
      <c r="B1400" s="50">
        <v>88.51</v>
      </c>
      <c r="C1400" s="50">
        <v>85.484999999999999</v>
      </c>
      <c r="D1400" s="50">
        <v>86.64</v>
      </c>
      <c r="E1400" s="50">
        <v>774939</v>
      </c>
      <c r="F1400" s="50" t="s">
        <v>1437</v>
      </c>
      <c r="G1400" s="25">
        <f t="shared" si="18"/>
        <v>8.4256694367497165E-3</v>
      </c>
    </row>
    <row r="1401" spans="1:7">
      <c r="A1401" s="50">
        <v>85.36</v>
      </c>
      <c r="B1401" s="50">
        <v>87.77</v>
      </c>
      <c r="C1401" s="50">
        <v>84.37</v>
      </c>
      <c r="D1401" s="50">
        <v>86.88</v>
      </c>
      <c r="E1401" s="50">
        <v>1054059</v>
      </c>
      <c r="F1401" s="50" t="s">
        <v>1438</v>
      </c>
      <c r="G1401" s="25">
        <f t="shared" si="18"/>
        <v>-1.7495395948434522E-2</v>
      </c>
    </row>
    <row r="1402" spans="1:7">
      <c r="A1402" s="50">
        <v>84.83</v>
      </c>
      <c r="B1402" s="50">
        <v>87.45</v>
      </c>
      <c r="C1402" s="50">
        <v>76.08</v>
      </c>
      <c r="D1402" s="50">
        <v>78.88</v>
      </c>
      <c r="E1402" s="50">
        <v>2955736</v>
      </c>
      <c r="F1402" s="50" t="s">
        <v>1439</v>
      </c>
      <c r="G1402" s="25">
        <f t="shared" si="18"/>
        <v>7.5431034482758674E-2</v>
      </c>
    </row>
    <row r="1403" spans="1:7">
      <c r="A1403" s="50">
        <v>78.599999999999994</v>
      </c>
      <c r="B1403" s="50">
        <v>79.900000000000006</v>
      </c>
      <c r="C1403" s="50">
        <v>75.2</v>
      </c>
      <c r="D1403" s="50">
        <v>75.2</v>
      </c>
      <c r="E1403" s="50">
        <v>523883</v>
      </c>
      <c r="F1403" s="50" t="s">
        <v>1440</v>
      </c>
      <c r="G1403" s="25">
        <f t="shared" si="18"/>
        <v>4.521276595744661E-2</v>
      </c>
    </row>
    <row r="1404" spans="1:7">
      <c r="A1404" s="50">
        <v>74.75</v>
      </c>
      <c r="B1404" s="50">
        <v>75.540000000000006</v>
      </c>
      <c r="C1404" s="50">
        <v>73.45</v>
      </c>
      <c r="D1404" s="50">
        <v>74.39</v>
      </c>
      <c r="E1404" s="50">
        <v>275865</v>
      </c>
      <c r="F1404" s="50" t="s">
        <v>1441</v>
      </c>
      <c r="G1404" s="25">
        <f t="shared" si="18"/>
        <v>4.8393601290495081E-3</v>
      </c>
    </row>
    <row r="1405" spans="1:7">
      <c r="A1405" s="50">
        <v>74.89</v>
      </c>
      <c r="B1405" s="50">
        <v>76.715000000000003</v>
      </c>
      <c r="C1405" s="50">
        <v>74.05</v>
      </c>
      <c r="D1405" s="50">
        <v>76.19</v>
      </c>
      <c r="E1405" s="50">
        <v>274866</v>
      </c>
      <c r="F1405" s="50" t="s">
        <v>1442</v>
      </c>
      <c r="G1405" s="25">
        <f t="shared" si="18"/>
        <v>-1.7062606641291445E-2</v>
      </c>
    </row>
    <row r="1406" spans="1:7">
      <c r="A1406" s="50">
        <v>75.594999999999999</v>
      </c>
      <c r="B1406" s="50">
        <v>77.63</v>
      </c>
      <c r="C1406" s="50">
        <v>75.069999999999993</v>
      </c>
      <c r="D1406" s="50">
        <v>77.63</v>
      </c>
      <c r="E1406" s="50">
        <v>324797</v>
      </c>
      <c r="F1406" s="50" t="s">
        <v>1443</v>
      </c>
      <c r="G1406" s="25">
        <f t="shared" si="18"/>
        <v>-2.6214092490016716E-2</v>
      </c>
    </row>
    <row r="1407" spans="1:7">
      <c r="A1407" s="50">
        <v>77.72</v>
      </c>
      <c r="B1407" s="50">
        <v>78.48</v>
      </c>
      <c r="C1407" s="50">
        <v>76.031000000000006</v>
      </c>
      <c r="D1407" s="50">
        <v>76.599999999999994</v>
      </c>
      <c r="E1407" s="50">
        <v>420797</v>
      </c>
      <c r="F1407" s="50" t="s">
        <v>1444</v>
      </c>
      <c r="G1407" s="25">
        <f t="shared" si="18"/>
        <v>1.4621409921671047E-2</v>
      </c>
    </row>
    <row r="1408" spans="1:7">
      <c r="A1408" s="50">
        <v>76.739999999999995</v>
      </c>
      <c r="B1408" s="50">
        <v>77.25</v>
      </c>
      <c r="C1408" s="50">
        <v>74.700599999999994</v>
      </c>
      <c r="D1408" s="50">
        <v>76.900000000000006</v>
      </c>
      <c r="E1408" s="50">
        <v>336694</v>
      </c>
      <c r="F1408" s="50" t="s">
        <v>1445</v>
      </c>
      <c r="G1408" s="25">
        <f t="shared" si="18"/>
        <v>-2.0806241872562969E-3</v>
      </c>
    </row>
    <row r="1409" spans="1:7">
      <c r="A1409" s="50">
        <v>76.87</v>
      </c>
      <c r="B1409" s="50">
        <v>77.63</v>
      </c>
      <c r="C1409" s="50">
        <v>75.69</v>
      </c>
      <c r="D1409" s="50">
        <v>75.69</v>
      </c>
      <c r="E1409" s="50">
        <v>560939</v>
      </c>
      <c r="F1409" s="50" t="s">
        <v>1446</v>
      </c>
      <c r="G1409" s="25">
        <f t="shared" si="18"/>
        <v>1.5589906196327163E-2</v>
      </c>
    </row>
    <row r="1410" spans="1:7">
      <c r="A1410" s="50">
        <v>75.19</v>
      </c>
      <c r="B1410" s="50">
        <v>75.53</v>
      </c>
      <c r="C1410" s="50">
        <v>73.234999999999999</v>
      </c>
      <c r="D1410" s="50">
        <v>73.930000000000007</v>
      </c>
      <c r="E1410" s="50">
        <v>595571</v>
      </c>
      <c r="F1410" s="50" t="s">
        <v>1447</v>
      </c>
      <c r="G1410" s="25">
        <f t="shared" si="18"/>
        <v>1.7043148924658302E-2</v>
      </c>
    </row>
    <row r="1411" spans="1:7">
      <c r="A1411" s="50">
        <v>72.98</v>
      </c>
      <c r="B1411" s="50">
        <v>75.3</v>
      </c>
      <c r="C1411" s="50">
        <v>72.239999999999995</v>
      </c>
      <c r="D1411" s="50">
        <v>75.12</v>
      </c>
      <c r="E1411" s="50">
        <v>312357</v>
      </c>
      <c r="F1411" s="50" t="s">
        <v>1448</v>
      </c>
      <c r="G1411" s="25">
        <f t="shared" si="18"/>
        <v>-2.848775292864747E-2</v>
      </c>
    </row>
    <row r="1412" spans="1:7">
      <c r="A1412" s="50">
        <v>74.930000000000007</v>
      </c>
      <c r="B1412" s="50">
        <v>76.819999999999993</v>
      </c>
      <c r="C1412" s="50">
        <v>73.8</v>
      </c>
      <c r="D1412" s="50">
        <v>74.489999999999995</v>
      </c>
      <c r="E1412" s="50">
        <v>499779</v>
      </c>
      <c r="F1412" s="50" t="s">
        <v>1449</v>
      </c>
      <c r="G1412" s="25">
        <f t="shared" si="18"/>
        <v>5.9068331319642731E-3</v>
      </c>
    </row>
    <row r="1413" spans="1:7">
      <c r="A1413" s="50">
        <v>74.34</v>
      </c>
      <c r="B1413" s="50">
        <v>74.959999999999994</v>
      </c>
      <c r="C1413" s="50">
        <v>72.726699999999994</v>
      </c>
      <c r="D1413" s="50">
        <v>72.94</v>
      </c>
      <c r="E1413" s="50">
        <v>613408</v>
      </c>
      <c r="F1413" s="50" t="s">
        <v>1450</v>
      </c>
      <c r="G1413" s="25">
        <f t="shared" si="18"/>
        <v>1.9193857965451144E-2</v>
      </c>
    </row>
    <row r="1414" spans="1:7">
      <c r="A1414" s="50">
        <v>72.59</v>
      </c>
      <c r="B1414" s="50">
        <v>74.69</v>
      </c>
      <c r="C1414" s="50">
        <v>71.2</v>
      </c>
      <c r="D1414" s="50">
        <v>74.69</v>
      </c>
      <c r="E1414" s="50">
        <v>1126959</v>
      </c>
      <c r="F1414" s="50" t="s">
        <v>1451</v>
      </c>
      <c r="G1414" s="25">
        <f t="shared" si="18"/>
        <v>-2.8116213683223923E-2</v>
      </c>
    </row>
    <row r="1415" spans="1:7">
      <c r="A1415" s="50">
        <v>74.745000000000005</v>
      </c>
      <c r="B1415" s="50">
        <v>80.05</v>
      </c>
      <c r="C1415" s="50">
        <v>73.77</v>
      </c>
      <c r="D1415" s="50">
        <v>80.05</v>
      </c>
      <c r="E1415" s="50">
        <v>1309229</v>
      </c>
      <c r="F1415" s="50" t="s">
        <v>1452</v>
      </c>
      <c r="G1415" s="25">
        <f t="shared" si="18"/>
        <v>-6.6271080574640706E-2</v>
      </c>
    </row>
    <row r="1416" spans="1:7">
      <c r="A1416" s="50">
        <v>79.260000000000005</v>
      </c>
      <c r="B1416" s="50">
        <v>89.81</v>
      </c>
      <c r="C1416" s="50">
        <v>78.510199999999998</v>
      </c>
      <c r="D1416" s="50">
        <v>89</v>
      </c>
      <c r="E1416" s="50">
        <v>1565242</v>
      </c>
      <c r="F1416" s="50" t="s">
        <v>1453</v>
      </c>
      <c r="G1416" s="25">
        <f t="shared" ref="G1416:G1455" si="19">A1416/D1416-1</f>
        <v>-0.10943820224719092</v>
      </c>
    </row>
    <row r="1417" spans="1:7">
      <c r="A1417" s="50">
        <v>91.83</v>
      </c>
      <c r="B1417" s="50">
        <v>93.31</v>
      </c>
      <c r="C1417" s="50">
        <v>90.605000000000004</v>
      </c>
      <c r="D1417" s="50">
        <v>93.05</v>
      </c>
      <c r="E1417" s="50">
        <v>491204</v>
      </c>
      <c r="F1417" s="50" t="s">
        <v>1454</v>
      </c>
      <c r="G1417" s="25">
        <f t="shared" si="19"/>
        <v>-1.3111230521225092E-2</v>
      </c>
    </row>
    <row r="1418" spans="1:7">
      <c r="A1418" s="50">
        <v>92.8</v>
      </c>
      <c r="B1418" s="50">
        <v>94.060199999999995</v>
      </c>
      <c r="C1418" s="50">
        <v>90.91</v>
      </c>
      <c r="D1418" s="50">
        <v>91.53</v>
      </c>
      <c r="E1418" s="50">
        <v>368460</v>
      </c>
      <c r="F1418" s="50" t="s">
        <v>1455</v>
      </c>
      <c r="G1418" s="25">
        <f t="shared" si="19"/>
        <v>1.387523216431763E-2</v>
      </c>
    </row>
    <row r="1419" spans="1:7">
      <c r="A1419" s="50">
        <v>91.21</v>
      </c>
      <c r="B1419" s="50">
        <v>91.88</v>
      </c>
      <c r="C1419" s="50">
        <v>89.4</v>
      </c>
      <c r="D1419" s="50">
        <v>90.32</v>
      </c>
      <c r="E1419" s="50">
        <v>280018</v>
      </c>
      <c r="F1419" s="50" t="s">
        <v>1456</v>
      </c>
      <c r="G1419" s="25">
        <f t="shared" si="19"/>
        <v>9.8538529672276276E-3</v>
      </c>
    </row>
    <row r="1420" spans="1:7">
      <c r="A1420" s="50">
        <v>90.85</v>
      </c>
      <c r="B1420" s="50">
        <v>91.62</v>
      </c>
      <c r="C1420" s="50">
        <v>88.12</v>
      </c>
      <c r="D1420" s="50">
        <v>89.88</v>
      </c>
      <c r="E1420" s="50">
        <v>319308</v>
      </c>
      <c r="F1420" s="50" t="s">
        <v>1457</v>
      </c>
      <c r="G1420" s="25">
        <f t="shared" si="19"/>
        <v>1.0792167334223501E-2</v>
      </c>
    </row>
    <row r="1421" spans="1:7">
      <c r="A1421" s="50">
        <v>88.91</v>
      </c>
      <c r="B1421" s="50">
        <v>89.51</v>
      </c>
      <c r="C1421" s="50">
        <v>86.61</v>
      </c>
      <c r="D1421" s="50">
        <v>89.51</v>
      </c>
      <c r="E1421" s="50">
        <v>325915</v>
      </c>
      <c r="F1421" s="50" t="s">
        <v>1458</v>
      </c>
      <c r="G1421" s="25">
        <f t="shared" si="19"/>
        <v>-6.7031616579154019E-3</v>
      </c>
    </row>
    <row r="1422" spans="1:7">
      <c r="A1422" s="50">
        <v>88.57</v>
      </c>
      <c r="B1422" s="50">
        <v>89.03</v>
      </c>
      <c r="C1422" s="50">
        <v>86.25</v>
      </c>
      <c r="D1422" s="50">
        <v>86.86</v>
      </c>
      <c r="E1422" s="50">
        <v>173841</v>
      </c>
      <c r="F1422" s="50" t="s">
        <v>1459</v>
      </c>
      <c r="G1422" s="25">
        <f t="shared" si="19"/>
        <v>1.9686852406170852E-2</v>
      </c>
    </row>
    <row r="1423" spans="1:7">
      <c r="A1423" s="50">
        <v>87.33</v>
      </c>
      <c r="B1423" s="50">
        <v>88.05</v>
      </c>
      <c r="C1423" s="50">
        <v>85.51</v>
      </c>
      <c r="D1423" s="50">
        <v>86.22</v>
      </c>
      <c r="E1423" s="50">
        <v>199584</v>
      </c>
      <c r="F1423" s="50" t="s">
        <v>1460</v>
      </c>
      <c r="G1423" s="25">
        <f t="shared" si="19"/>
        <v>1.2874043145441938E-2</v>
      </c>
    </row>
    <row r="1424" spans="1:7">
      <c r="A1424" s="50">
        <v>85.12</v>
      </c>
      <c r="B1424" s="50">
        <v>87.045000000000002</v>
      </c>
      <c r="C1424" s="50">
        <v>84.944999999999993</v>
      </c>
      <c r="D1424" s="50">
        <v>86.25</v>
      </c>
      <c r="E1424" s="50">
        <v>233502</v>
      </c>
      <c r="F1424" s="50" t="s">
        <v>1461</v>
      </c>
      <c r="G1424" s="25">
        <f t="shared" si="19"/>
        <v>-1.3101449275362276E-2</v>
      </c>
    </row>
    <row r="1425" spans="1:7">
      <c r="A1425" s="50">
        <v>86.66</v>
      </c>
      <c r="B1425" s="50">
        <v>87.49</v>
      </c>
      <c r="C1425" s="50">
        <v>84.51</v>
      </c>
      <c r="D1425" s="50">
        <v>85.28</v>
      </c>
      <c r="E1425" s="50">
        <v>303479</v>
      </c>
      <c r="F1425" s="50" t="s">
        <v>1462</v>
      </c>
      <c r="G1425" s="25">
        <f t="shared" si="19"/>
        <v>1.6181988742964393E-2</v>
      </c>
    </row>
    <row r="1426" spans="1:7">
      <c r="A1426" s="50">
        <v>84.7</v>
      </c>
      <c r="B1426" s="50">
        <v>85.71</v>
      </c>
      <c r="C1426" s="50">
        <v>82.31</v>
      </c>
      <c r="D1426" s="50">
        <v>85.04</v>
      </c>
      <c r="E1426" s="50">
        <v>322946</v>
      </c>
      <c r="F1426" s="50" t="s">
        <v>1463</v>
      </c>
      <c r="G1426" s="25">
        <f t="shared" si="19"/>
        <v>-3.9981185324553525E-3</v>
      </c>
    </row>
    <row r="1427" spans="1:7">
      <c r="A1427" s="50">
        <v>86.4</v>
      </c>
      <c r="B1427" s="50">
        <v>89.74</v>
      </c>
      <c r="C1427" s="50">
        <v>85.74</v>
      </c>
      <c r="D1427" s="50">
        <v>86.92</v>
      </c>
      <c r="E1427" s="50">
        <v>406880</v>
      </c>
      <c r="F1427" s="50" t="s">
        <v>1464</v>
      </c>
      <c r="G1427" s="25">
        <f t="shared" si="19"/>
        <v>-5.9825126553152419E-3</v>
      </c>
    </row>
    <row r="1428" spans="1:7">
      <c r="A1428" s="50">
        <v>87.38</v>
      </c>
      <c r="B1428" s="50">
        <v>89.05</v>
      </c>
      <c r="C1428" s="50">
        <v>86.9</v>
      </c>
      <c r="D1428" s="50">
        <v>87.51</v>
      </c>
      <c r="E1428" s="50">
        <v>332298</v>
      </c>
      <c r="F1428" s="50" t="s">
        <v>1465</v>
      </c>
      <c r="G1428" s="25">
        <f t="shared" si="19"/>
        <v>-1.4855445091990216E-3</v>
      </c>
    </row>
    <row r="1429" spans="1:7">
      <c r="A1429" s="50">
        <v>87.13</v>
      </c>
      <c r="B1429" s="50">
        <v>90.25</v>
      </c>
      <c r="C1429" s="50">
        <v>86.56</v>
      </c>
      <c r="D1429" s="50">
        <v>89.08</v>
      </c>
      <c r="E1429" s="50">
        <v>300179</v>
      </c>
      <c r="F1429" s="50" t="s">
        <v>1466</v>
      </c>
      <c r="G1429" s="25">
        <f t="shared" si="19"/>
        <v>-2.1890435563538424E-2</v>
      </c>
    </row>
    <row r="1430" spans="1:7">
      <c r="A1430" s="50">
        <v>88.8</v>
      </c>
      <c r="B1430" s="50">
        <v>88.979900000000001</v>
      </c>
      <c r="C1430" s="50">
        <v>85.625</v>
      </c>
      <c r="D1430" s="50">
        <v>85.8</v>
      </c>
      <c r="E1430" s="50">
        <v>315100</v>
      </c>
      <c r="F1430" s="50" t="s">
        <v>1467</v>
      </c>
      <c r="G1430" s="25">
        <f t="shared" si="19"/>
        <v>3.4965034965035002E-2</v>
      </c>
    </row>
    <row r="1431" spans="1:7">
      <c r="A1431" s="50">
        <v>85.11</v>
      </c>
      <c r="B1431" s="50">
        <v>85.38</v>
      </c>
      <c r="C1431" s="50">
        <v>83.04</v>
      </c>
      <c r="D1431" s="50">
        <v>83.8</v>
      </c>
      <c r="E1431" s="50">
        <v>258169</v>
      </c>
      <c r="F1431" s="50" t="s">
        <v>1468</v>
      </c>
      <c r="G1431" s="25">
        <f t="shared" si="19"/>
        <v>1.5632458233890256E-2</v>
      </c>
    </row>
    <row r="1432" spans="1:7">
      <c r="A1432" s="50">
        <v>84.11</v>
      </c>
      <c r="B1432" s="50">
        <v>84.86</v>
      </c>
      <c r="C1432" s="50">
        <v>82.12</v>
      </c>
      <c r="D1432" s="50">
        <v>84.56</v>
      </c>
      <c r="E1432" s="50">
        <v>465781</v>
      </c>
      <c r="F1432" s="50" t="s">
        <v>1469</v>
      </c>
      <c r="G1432" s="25">
        <f t="shared" si="19"/>
        <v>-5.3216650898770812E-3</v>
      </c>
    </row>
    <row r="1433" spans="1:7">
      <c r="A1433" s="50">
        <v>85.31</v>
      </c>
      <c r="B1433" s="50">
        <v>86.7</v>
      </c>
      <c r="C1433" s="50">
        <v>83.04</v>
      </c>
      <c r="D1433" s="50">
        <v>84.85</v>
      </c>
      <c r="E1433" s="50">
        <v>330851</v>
      </c>
      <c r="F1433" s="50" t="s">
        <v>1470</v>
      </c>
      <c r="G1433" s="25">
        <f t="shared" si="19"/>
        <v>5.4213317619329349E-3</v>
      </c>
    </row>
    <row r="1434" spans="1:7">
      <c r="A1434" s="50">
        <v>84</v>
      </c>
      <c r="B1434" s="50">
        <v>84.71</v>
      </c>
      <c r="C1434" s="50">
        <v>80.02</v>
      </c>
      <c r="D1434" s="50">
        <v>82.85</v>
      </c>
      <c r="E1434" s="50">
        <v>501133</v>
      </c>
      <c r="F1434" s="50" t="s">
        <v>1471</v>
      </c>
      <c r="G1434" s="25">
        <f t="shared" si="19"/>
        <v>1.3880506940253445E-2</v>
      </c>
    </row>
    <row r="1435" spans="1:7">
      <c r="A1435" s="50">
        <v>83.31</v>
      </c>
      <c r="B1435" s="50">
        <v>88.48</v>
      </c>
      <c r="C1435" s="50">
        <v>83.27</v>
      </c>
      <c r="D1435" s="50">
        <v>88.45</v>
      </c>
      <c r="E1435" s="50">
        <v>528979</v>
      </c>
      <c r="F1435" s="50" t="s">
        <v>1472</v>
      </c>
      <c r="G1435" s="25">
        <f t="shared" si="19"/>
        <v>-5.8111927642735983E-2</v>
      </c>
    </row>
    <row r="1436" spans="1:7">
      <c r="A1436" s="50">
        <v>87.44</v>
      </c>
      <c r="B1436" s="50">
        <v>87.77</v>
      </c>
      <c r="C1436" s="50">
        <v>85.53</v>
      </c>
      <c r="D1436" s="50">
        <v>87.31</v>
      </c>
      <c r="E1436" s="50">
        <v>314747</v>
      </c>
      <c r="F1436" s="50" t="s">
        <v>1473</v>
      </c>
      <c r="G1436" s="25">
        <f t="shared" si="19"/>
        <v>1.4889474287023141E-3</v>
      </c>
    </row>
    <row r="1437" spans="1:7">
      <c r="A1437" s="50">
        <v>87.38</v>
      </c>
      <c r="B1437" s="50">
        <v>88.26</v>
      </c>
      <c r="C1437" s="50">
        <v>85.564999999999998</v>
      </c>
      <c r="D1437" s="50">
        <v>87.46</v>
      </c>
      <c r="E1437" s="50">
        <v>399578</v>
      </c>
      <c r="F1437" s="50" t="s">
        <v>1474</v>
      </c>
      <c r="G1437" s="25">
        <f t="shared" si="19"/>
        <v>-9.1470386462377817E-4</v>
      </c>
    </row>
    <row r="1438" spans="1:7">
      <c r="A1438" s="50">
        <v>86.41</v>
      </c>
      <c r="B1438" s="50">
        <v>86.76</v>
      </c>
      <c r="C1438" s="50">
        <v>85.39</v>
      </c>
      <c r="D1438" s="50">
        <v>85.42</v>
      </c>
      <c r="E1438" s="50">
        <v>330151</v>
      </c>
      <c r="F1438" s="50" t="s">
        <v>1475</v>
      </c>
      <c r="G1438" s="25">
        <f t="shared" si="19"/>
        <v>1.1589791617887979E-2</v>
      </c>
    </row>
    <row r="1439" spans="1:7">
      <c r="A1439" s="50">
        <v>85.19</v>
      </c>
      <c r="B1439" s="50">
        <v>88.68</v>
      </c>
      <c r="C1439" s="50">
        <v>85.18</v>
      </c>
      <c r="D1439" s="50">
        <v>87.31</v>
      </c>
      <c r="E1439" s="50">
        <v>581463</v>
      </c>
      <c r="F1439" s="50" t="s">
        <v>1476</v>
      </c>
      <c r="G1439" s="25">
        <f t="shared" si="19"/>
        <v>-2.4281296529607199E-2</v>
      </c>
    </row>
    <row r="1440" spans="1:7">
      <c r="A1440" s="50">
        <v>87.75</v>
      </c>
      <c r="B1440" s="50">
        <v>90.7</v>
      </c>
      <c r="C1440" s="50">
        <v>87.37</v>
      </c>
      <c r="D1440" s="50">
        <v>89.5</v>
      </c>
      <c r="E1440" s="50">
        <v>349472</v>
      </c>
      <c r="F1440" s="50" t="s">
        <v>1477</v>
      </c>
      <c r="G1440" s="25">
        <f t="shared" si="19"/>
        <v>-1.9553072625698276E-2</v>
      </c>
    </row>
    <row r="1441" spans="1:7">
      <c r="A1441" s="50">
        <v>88.07</v>
      </c>
      <c r="B1441" s="50">
        <v>88.91</v>
      </c>
      <c r="C1441" s="50">
        <v>86.59</v>
      </c>
      <c r="D1441" s="50">
        <v>87.79</v>
      </c>
      <c r="E1441" s="50">
        <v>382913</v>
      </c>
      <c r="F1441" s="50" t="s">
        <v>1478</v>
      </c>
      <c r="G1441" s="25">
        <f t="shared" si="19"/>
        <v>3.1894293199679069E-3</v>
      </c>
    </row>
    <row r="1442" spans="1:7">
      <c r="A1442" s="50">
        <v>87.16</v>
      </c>
      <c r="B1442" s="50">
        <v>87.899900000000002</v>
      </c>
      <c r="C1442" s="50">
        <v>82.91</v>
      </c>
      <c r="D1442" s="50">
        <v>83.74</v>
      </c>
      <c r="E1442" s="50">
        <v>575722</v>
      </c>
      <c r="F1442" s="50" t="s">
        <v>1479</v>
      </c>
      <c r="G1442" s="25">
        <f t="shared" si="19"/>
        <v>4.0840697396704151E-2</v>
      </c>
    </row>
    <row r="1443" spans="1:7">
      <c r="A1443" s="50">
        <v>82.91</v>
      </c>
      <c r="B1443" s="50">
        <v>83.3</v>
      </c>
      <c r="C1443" s="50">
        <v>82.02</v>
      </c>
      <c r="D1443" s="50">
        <v>83.02</v>
      </c>
      <c r="E1443" s="50">
        <v>436335</v>
      </c>
      <c r="F1443" s="50" t="s">
        <v>1480</v>
      </c>
      <c r="G1443" s="25">
        <f t="shared" si="19"/>
        <v>-1.3249819320645395E-3</v>
      </c>
    </row>
    <row r="1444" spans="1:7">
      <c r="A1444" s="50">
        <v>82.78</v>
      </c>
      <c r="B1444" s="50">
        <v>83.46</v>
      </c>
      <c r="C1444" s="50">
        <v>79.72</v>
      </c>
      <c r="D1444" s="50">
        <v>82.02</v>
      </c>
      <c r="E1444" s="50">
        <v>505692</v>
      </c>
      <c r="F1444" s="50" t="s">
        <v>1481</v>
      </c>
      <c r="G1444" s="25">
        <f t="shared" si="19"/>
        <v>9.2660326749574029E-3</v>
      </c>
    </row>
    <row r="1445" spans="1:7">
      <c r="A1445" s="50">
        <v>81.73</v>
      </c>
      <c r="B1445" s="50">
        <v>84.99</v>
      </c>
      <c r="C1445" s="50">
        <v>81.38</v>
      </c>
      <c r="D1445" s="50">
        <v>84.25</v>
      </c>
      <c r="E1445" s="50">
        <v>1797776</v>
      </c>
      <c r="F1445" s="50" t="s">
        <v>1482</v>
      </c>
      <c r="G1445" s="25">
        <f t="shared" si="19"/>
        <v>-2.9910979228486623E-2</v>
      </c>
    </row>
    <row r="1446" spans="1:7">
      <c r="A1446" s="50">
        <v>84.22</v>
      </c>
      <c r="B1446" s="50">
        <v>84.22</v>
      </c>
      <c r="C1446" s="50">
        <v>79.98</v>
      </c>
      <c r="D1446" s="50">
        <v>80.95</v>
      </c>
      <c r="E1446" s="50">
        <v>525607</v>
      </c>
      <c r="F1446" s="50" t="s">
        <v>1483</v>
      </c>
      <c r="G1446" s="25">
        <f t="shared" si="19"/>
        <v>4.0395305744286514E-2</v>
      </c>
    </row>
    <row r="1447" spans="1:7">
      <c r="A1447" s="50">
        <v>80.92</v>
      </c>
      <c r="B1447" s="50">
        <v>83.05</v>
      </c>
      <c r="C1447" s="50">
        <v>79.38</v>
      </c>
      <c r="D1447" s="50">
        <v>81.73</v>
      </c>
      <c r="E1447" s="50">
        <v>457109</v>
      </c>
      <c r="F1447" s="50" t="s">
        <v>1484</v>
      </c>
      <c r="G1447" s="25">
        <f t="shared" si="19"/>
        <v>-9.9106815122965708E-3</v>
      </c>
    </row>
    <row r="1448" spans="1:7">
      <c r="A1448" s="50">
        <v>82.13</v>
      </c>
      <c r="B1448" s="50">
        <v>83.5</v>
      </c>
      <c r="C1448" s="50">
        <v>81.69</v>
      </c>
      <c r="D1448" s="50">
        <v>82.46</v>
      </c>
      <c r="E1448" s="50">
        <v>522371</v>
      </c>
      <c r="F1448" s="50" t="s">
        <v>1485</v>
      </c>
      <c r="G1448" s="25">
        <f t="shared" si="19"/>
        <v>-4.0019403347076876E-3</v>
      </c>
    </row>
    <row r="1449" spans="1:7">
      <c r="A1449" s="50">
        <v>82.11</v>
      </c>
      <c r="B1449" s="50">
        <v>82.15</v>
      </c>
      <c r="C1449" s="50">
        <v>80.2</v>
      </c>
      <c r="D1449" s="50">
        <v>80.41</v>
      </c>
      <c r="E1449" s="50">
        <v>384838</v>
      </c>
      <c r="F1449" s="50" t="s">
        <v>1486</v>
      </c>
      <c r="G1449" s="25">
        <f t="shared" si="19"/>
        <v>2.114164904862581E-2</v>
      </c>
    </row>
    <row r="1450" spans="1:7">
      <c r="A1450" s="50">
        <v>79.650000000000006</v>
      </c>
      <c r="B1450" s="50">
        <v>81.25</v>
      </c>
      <c r="C1450" s="50">
        <v>78.843699999999998</v>
      </c>
      <c r="D1450" s="50">
        <v>80.97</v>
      </c>
      <c r="E1450" s="50">
        <v>653132</v>
      </c>
      <c r="F1450" s="50" t="s">
        <v>1487</v>
      </c>
      <c r="G1450" s="25">
        <f t="shared" si="19"/>
        <v>-1.6302334197850987E-2</v>
      </c>
    </row>
    <row r="1451" spans="1:7">
      <c r="A1451" s="50">
        <v>80.08</v>
      </c>
      <c r="B1451" s="50">
        <v>81.72</v>
      </c>
      <c r="C1451" s="50">
        <v>78.739999999999995</v>
      </c>
      <c r="D1451" s="50">
        <v>78.87</v>
      </c>
      <c r="E1451" s="50">
        <v>610698</v>
      </c>
      <c r="F1451" s="50" t="s">
        <v>1488</v>
      </c>
      <c r="G1451" s="25">
        <f t="shared" si="19"/>
        <v>1.5341701534170138E-2</v>
      </c>
    </row>
    <row r="1452" spans="1:7">
      <c r="A1452" s="50">
        <v>78.56</v>
      </c>
      <c r="B1452" s="50">
        <v>79.63</v>
      </c>
      <c r="C1452" s="50">
        <v>77.819999999999993</v>
      </c>
      <c r="D1452" s="50">
        <v>78.069999999999993</v>
      </c>
      <c r="E1452" s="50">
        <v>384049</v>
      </c>
      <c r="F1452" s="50" t="s">
        <v>1489</v>
      </c>
      <c r="G1452" s="25">
        <f t="shared" si="19"/>
        <v>6.276418598693656E-3</v>
      </c>
    </row>
    <row r="1453" spans="1:7">
      <c r="A1453" s="50">
        <v>77.38</v>
      </c>
      <c r="B1453" s="50">
        <v>78.2</v>
      </c>
      <c r="C1453" s="50">
        <v>75.587999999999994</v>
      </c>
      <c r="D1453" s="50">
        <v>77.72</v>
      </c>
      <c r="E1453" s="50">
        <v>391477</v>
      </c>
      <c r="F1453" s="50" t="s">
        <v>1490</v>
      </c>
      <c r="G1453" s="25">
        <f t="shared" si="19"/>
        <v>-4.3746783324756233E-3</v>
      </c>
    </row>
    <row r="1454" spans="1:7">
      <c r="A1454" s="50">
        <v>75.94</v>
      </c>
      <c r="B1454" s="50">
        <v>76.75</v>
      </c>
      <c r="C1454" s="50">
        <v>71.27</v>
      </c>
      <c r="D1454" s="50">
        <v>71.569999999999993</v>
      </c>
      <c r="E1454" s="50">
        <v>496925</v>
      </c>
      <c r="F1454" s="50" t="s">
        <v>1491</v>
      </c>
      <c r="G1454" s="25">
        <f t="shared" si="19"/>
        <v>6.1059102976107393E-2</v>
      </c>
    </row>
    <row r="1455" spans="1:7">
      <c r="A1455" s="50">
        <v>72.83</v>
      </c>
      <c r="B1455" s="50">
        <v>76.94</v>
      </c>
      <c r="C1455" s="50">
        <v>71.593199999999996</v>
      </c>
      <c r="D1455" s="50">
        <v>75.7</v>
      </c>
      <c r="E1455" s="50">
        <v>602691</v>
      </c>
      <c r="F1455" s="50" t="s">
        <v>1492</v>
      </c>
      <c r="G1455" s="25">
        <f t="shared" si="19"/>
        <v>-3.7912813738441242E-2</v>
      </c>
    </row>
    <row r="1456" spans="1:7">
      <c r="G1456" s="25"/>
    </row>
    <row r="1457" spans="7:7">
      <c r="G1457" s="25"/>
    </row>
    <row r="1458" spans="7:7">
      <c r="G1458" s="25"/>
    </row>
    <row r="1459" spans="7:7">
      <c r="G1459" s="25"/>
    </row>
    <row r="1460" spans="7:7">
      <c r="G1460" s="25"/>
    </row>
    <row r="1461" spans="7:7">
      <c r="G1461" s="25"/>
    </row>
    <row r="1462" spans="7:7">
      <c r="G1462" s="25"/>
    </row>
    <row r="1463" spans="7:7">
      <c r="G1463" s="25"/>
    </row>
    <row r="1464" spans="7:7">
      <c r="G1464" s="25"/>
    </row>
    <row r="1465" spans="7:7">
      <c r="G1465" s="25"/>
    </row>
    <row r="1466" spans="7:7">
      <c r="G1466" s="25"/>
    </row>
    <row r="1467" spans="7:7">
      <c r="G1467" s="25"/>
    </row>
    <row r="1468" spans="7:7">
      <c r="G1468" s="25"/>
    </row>
    <row r="1469" spans="7:7">
      <c r="G1469" s="25"/>
    </row>
    <row r="1470" spans="7:7">
      <c r="G1470" s="25"/>
    </row>
    <row r="1471" spans="7:7">
      <c r="G1471" s="25"/>
    </row>
    <row r="1472" spans="7:7">
      <c r="G1472" s="25"/>
    </row>
    <row r="1473" spans="7:7">
      <c r="G1473" s="25"/>
    </row>
    <row r="1474" spans="7:7">
      <c r="G1474" s="25"/>
    </row>
    <row r="1475" spans="7:7">
      <c r="G1475" s="25"/>
    </row>
    <row r="1476" spans="7:7">
      <c r="G1476" s="25"/>
    </row>
    <row r="1477" spans="7:7">
      <c r="G1477" s="25"/>
    </row>
    <row r="1478" spans="7:7">
      <c r="G1478" s="25"/>
    </row>
    <row r="1479" spans="7:7">
      <c r="G1479" s="25"/>
    </row>
    <row r="1480" spans="7:7">
      <c r="G1480" s="25"/>
    </row>
    <row r="1481" spans="7:7">
      <c r="G1481" s="25"/>
    </row>
    <row r="1482" spans="7:7">
      <c r="G1482" s="25"/>
    </row>
    <row r="1483" spans="7:7">
      <c r="G1483" s="25"/>
    </row>
    <row r="1484" spans="7:7">
      <c r="G1484" s="25"/>
    </row>
    <row r="1485" spans="7:7">
      <c r="G1485" s="25"/>
    </row>
    <row r="1486" spans="7:7">
      <c r="G1486" s="25"/>
    </row>
    <row r="1487" spans="7:7">
      <c r="G1487" s="25"/>
    </row>
    <row r="1488" spans="7:7">
      <c r="G1488" s="25"/>
    </row>
    <row r="1489" spans="7:7">
      <c r="G1489" s="25"/>
    </row>
    <row r="1490" spans="7:7">
      <c r="G1490" s="25"/>
    </row>
    <row r="1491" spans="7:7">
      <c r="G1491" s="25"/>
    </row>
    <row r="1492" spans="7:7">
      <c r="G1492" s="25"/>
    </row>
    <row r="1493" spans="7:7">
      <c r="G1493" s="25"/>
    </row>
    <row r="1494" spans="7:7">
      <c r="G1494" s="25"/>
    </row>
    <row r="1495" spans="7:7">
      <c r="G1495" s="25"/>
    </row>
    <row r="1496" spans="7:7">
      <c r="G1496" s="25"/>
    </row>
    <row r="1497" spans="7:7">
      <c r="G1497" s="25"/>
    </row>
    <row r="1498" spans="7:7">
      <c r="G1498" s="25"/>
    </row>
    <row r="1499" spans="7:7">
      <c r="G1499" s="25"/>
    </row>
    <row r="1500" spans="7:7">
      <c r="G1500" s="25"/>
    </row>
    <row r="1501" spans="7:7">
      <c r="G1501" s="25"/>
    </row>
    <row r="1502" spans="7:7">
      <c r="G1502" s="25"/>
    </row>
    <row r="1503" spans="7:7">
      <c r="G1503" s="25"/>
    </row>
    <row r="1504" spans="7:7">
      <c r="G1504" s="25"/>
    </row>
    <row r="1505" spans="7:7">
      <c r="G1505" s="25"/>
    </row>
    <row r="1506" spans="7:7">
      <c r="G1506" s="25"/>
    </row>
    <row r="1507" spans="7:7">
      <c r="G1507" s="25"/>
    </row>
    <row r="1508" spans="7:7">
      <c r="G1508" s="25"/>
    </row>
    <row r="1509" spans="7:7">
      <c r="G1509" s="25"/>
    </row>
    <row r="1510" spans="7:7">
      <c r="G1510" s="25"/>
    </row>
    <row r="1511" spans="7:7">
      <c r="G1511" s="25"/>
    </row>
    <row r="1512" spans="7:7">
      <c r="G1512" s="25"/>
    </row>
    <row r="1513" spans="7:7">
      <c r="G1513" s="25"/>
    </row>
    <row r="1514" spans="7:7">
      <c r="G1514" s="25"/>
    </row>
    <row r="1515" spans="7:7">
      <c r="G1515" s="25"/>
    </row>
    <row r="1516" spans="7:7">
      <c r="G1516" s="25"/>
    </row>
    <row r="1517" spans="7:7">
      <c r="G1517" s="25"/>
    </row>
    <row r="1518" spans="7:7">
      <c r="G1518" s="25"/>
    </row>
    <row r="1519" spans="7:7">
      <c r="G1519" s="25"/>
    </row>
    <row r="1520" spans="7:7">
      <c r="G1520" s="25"/>
    </row>
    <row r="1521" spans="7:7">
      <c r="G1521" s="25"/>
    </row>
    <row r="1522" spans="7:7">
      <c r="G1522" s="25"/>
    </row>
    <row r="1523" spans="7:7">
      <c r="G1523" s="25"/>
    </row>
    <row r="1524" spans="7:7">
      <c r="G1524" s="25"/>
    </row>
    <row r="1525" spans="7:7">
      <c r="G1525" s="25"/>
    </row>
    <row r="1526" spans="7:7">
      <c r="G1526" s="25"/>
    </row>
    <row r="1527" spans="7:7">
      <c r="G1527" s="25"/>
    </row>
    <row r="1528" spans="7:7">
      <c r="G1528" s="25"/>
    </row>
    <row r="1529" spans="7:7">
      <c r="G1529" s="25"/>
    </row>
    <row r="1530" spans="7:7">
      <c r="G1530" s="25"/>
    </row>
    <row r="1531" spans="7:7">
      <c r="G1531" s="25"/>
    </row>
    <row r="1532" spans="7:7">
      <c r="G1532" s="25"/>
    </row>
    <row r="1533" spans="7:7">
      <c r="G1533" s="25"/>
    </row>
    <row r="1534" spans="7:7">
      <c r="G1534" s="25"/>
    </row>
    <row r="1535" spans="7:7">
      <c r="G1535" s="25"/>
    </row>
    <row r="1536" spans="7:7">
      <c r="G1536" s="25"/>
    </row>
    <row r="1537" spans="7:7">
      <c r="G1537" s="25"/>
    </row>
    <row r="1538" spans="7:7">
      <c r="G1538" s="25"/>
    </row>
    <row r="1539" spans="7:7">
      <c r="G1539" s="25"/>
    </row>
    <row r="1540" spans="7:7">
      <c r="G1540" s="25"/>
    </row>
    <row r="1541" spans="7:7">
      <c r="G1541" s="25"/>
    </row>
    <row r="1542" spans="7:7">
      <c r="G1542" s="25"/>
    </row>
    <row r="1543" spans="7:7">
      <c r="G1543" s="25"/>
    </row>
    <row r="1544" spans="7:7">
      <c r="G1544" s="25"/>
    </row>
    <row r="1545" spans="7:7">
      <c r="G1545" s="25"/>
    </row>
    <row r="1546" spans="7:7">
      <c r="G1546" s="25"/>
    </row>
    <row r="1547" spans="7:7">
      <c r="G1547" s="25"/>
    </row>
    <row r="1548" spans="7:7">
      <c r="G1548" s="25"/>
    </row>
    <row r="1549" spans="7:7">
      <c r="G1549" s="25"/>
    </row>
    <row r="1550" spans="7:7">
      <c r="G1550" s="25"/>
    </row>
    <row r="1551" spans="7:7">
      <c r="G1551" s="25"/>
    </row>
    <row r="1552" spans="7:7">
      <c r="G1552" s="25"/>
    </row>
    <row r="1553" spans="7:7">
      <c r="G1553" s="25"/>
    </row>
    <row r="1554" spans="7:7">
      <c r="G1554" s="25"/>
    </row>
    <row r="1555" spans="7:7">
      <c r="G1555" s="25"/>
    </row>
    <row r="1556" spans="7:7">
      <c r="G1556" s="25"/>
    </row>
    <row r="1557" spans="7:7">
      <c r="G1557" s="25"/>
    </row>
    <row r="1558" spans="7:7">
      <c r="G1558" s="25"/>
    </row>
    <row r="1559" spans="7:7">
      <c r="G1559" s="25"/>
    </row>
    <row r="1560" spans="7:7">
      <c r="G1560" s="25"/>
    </row>
    <row r="1561" spans="7:7">
      <c r="G1561" s="25"/>
    </row>
    <row r="1562" spans="7:7">
      <c r="G1562" s="25"/>
    </row>
    <row r="1563" spans="7:7">
      <c r="G1563" s="25"/>
    </row>
    <row r="1564" spans="7:7">
      <c r="G1564" s="25"/>
    </row>
    <row r="1565" spans="7:7">
      <c r="G1565" s="25"/>
    </row>
    <row r="1566" spans="7:7">
      <c r="G1566" s="25"/>
    </row>
    <row r="1567" spans="7:7">
      <c r="G1567" s="25"/>
    </row>
    <row r="1568" spans="7:7">
      <c r="G1568" s="25"/>
    </row>
    <row r="1569" spans="7:7">
      <c r="G1569" s="25"/>
    </row>
    <row r="1570" spans="7:7">
      <c r="G1570" s="25"/>
    </row>
    <row r="1571" spans="7:7">
      <c r="G1571" s="25"/>
    </row>
    <row r="1572" spans="7:7">
      <c r="G1572" s="25"/>
    </row>
    <row r="1573" spans="7:7">
      <c r="G1573" s="25"/>
    </row>
    <row r="1574" spans="7:7">
      <c r="G1574" s="25"/>
    </row>
    <row r="1575" spans="7:7">
      <c r="G1575" s="25"/>
    </row>
    <row r="1576" spans="7:7">
      <c r="G1576" s="25"/>
    </row>
    <row r="1577" spans="7:7">
      <c r="G1577" s="25"/>
    </row>
    <row r="1578" spans="7:7">
      <c r="G1578" s="25"/>
    </row>
    <row r="1579" spans="7:7">
      <c r="G1579" s="25"/>
    </row>
    <row r="1580" spans="7:7">
      <c r="G1580" s="25"/>
    </row>
    <row r="1581" spans="7:7">
      <c r="G1581" s="25"/>
    </row>
    <row r="1582" spans="7:7">
      <c r="G1582" s="25"/>
    </row>
    <row r="1583" spans="7:7">
      <c r="G1583" s="25"/>
    </row>
    <row r="1584" spans="7:7">
      <c r="G1584" s="25"/>
    </row>
    <row r="1585" spans="7:7">
      <c r="G1585" s="25"/>
    </row>
    <row r="1586" spans="7:7">
      <c r="G1586" s="25"/>
    </row>
    <row r="1587" spans="7:7">
      <c r="G1587" s="25"/>
    </row>
    <row r="1588" spans="7:7">
      <c r="G1588" s="25"/>
    </row>
    <row r="1589" spans="7:7">
      <c r="G1589" s="25"/>
    </row>
    <row r="1590" spans="7:7">
      <c r="G1590" s="25"/>
    </row>
    <row r="1591" spans="7:7">
      <c r="G1591" s="25"/>
    </row>
    <row r="1592" spans="7:7">
      <c r="G1592" s="25"/>
    </row>
    <row r="1593" spans="7:7">
      <c r="G1593" s="25"/>
    </row>
    <row r="1594" spans="7:7">
      <c r="G1594" s="25"/>
    </row>
    <row r="1595" spans="7:7">
      <c r="G1595" s="25"/>
    </row>
    <row r="1596" spans="7:7">
      <c r="G1596" s="25"/>
    </row>
    <row r="1597" spans="7:7">
      <c r="G1597" s="25"/>
    </row>
    <row r="1598" spans="7:7">
      <c r="G1598" s="25"/>
    </row>
    <row r="1599" spans="7:7">
      <c r="G1599" s="25"/>
    </row>
    <row r="1600" spans="7:7">
      <c r="G1600" s="25"/>
    </row>
    <row r="1601" spans="7:7">
      <c r="G1601" s="25"/>
    </row>
    <row r="1602" spans="7:7">
      <c r="G1602" s="25"/>
    </row>
    <row r="1603" spans="7:7">
      <c r="G1603" s="25"/>
    </row>
    <row r="1604" spans="7:7">
      <c r="G1604" s="25"/>
    </row>
    <row r="1605" spans="7:7">
      <c r="G1605" s="25"/>
    </row>
    <row r="1606" spans="7:7">
      <c r="G1606" s="25"/>
    </row>
    <row r="1607" spans="7:7">
      <c r="G1607" s="25"/>
    </row>
    <row r="1608" spans="7:7">
      <c r="G1608" s="25"/>
    </row>
    <row r="1609" spans="7:7">
      <c r="G1609" s="25"/>
    </row>
    <row r="1610" spans="7:7">
      <c r="G1610" s="25"/>
    </row>
    <row r="1611" spans="7:7">
      <c r="G1611" s="25"/>
    </row>
    <row r="1612" spans="7:7">
      <c r="G1612" s="25"/>
    </row>
    <row r="1613" spans="7:7">
      <c r="G1613" s="25"/>
    </row>
    <row r="1614" spans="7:7">
      <c r="G1614" s="25"/>
    </row>
    <row r="1615" spans="7:7">
      <c r="G1615" s="25"/>
    </row>
    <row r="1616" spans="7:7">
      <c r="G1616" s="25"/>
    </row>
    <row r="1617" spans="7:7">
      <c r="G1617" s="25"/>
    </row>
    <row r="1618" spans="7:7">
      <c r="G1618" s="2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63948-7FD9-4D33-AAA7-BDE5D55568DA}">
  <dimension ref="A1"/>
  <sheetViews>
    <sheetView workbookViewId="0">
      <selection sqref="A1:XFD1048576"/>
    </sheetView>
  </sheetViews>
  <sheetFormatPr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36E60-677E-467E-9C59-7853ADE8E695}">
  <dimension ref="A1"/>
  <sheetViews>
    <sheetView workbookViewId="0">
      <selection sqref="A1:XFD1048576"/>
    </sheetView>
  </sheetViews>
  <sheetFormatPr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CC31F-8910-447E-89B3-28B6120F3B0A}">
  <dimension ref="B2:Z8"/>
  <sheetViews>
    <sheetView workbookViewId="0">
      <selection activeCell="D15" sqref="D15"/>
    </sheetView>
  </sheetViews>
  <sheetFormatPr defaultRowHeight="14.25"/>
  <cols>
    <col min="1" max="1" width="3.140625" style="1" customWidth="1"/>
    <col min="2" max="16384" width="9.140625" style="1"/>
  </cols>
  <sheetData>
    <row r="2" spans="2:26" ht="15">
      <c r="B2" s="3" t="s">
        <v>20</v>
      </c>
      <c r="C2" s="4"/>
      <c r="D2" s="4"/>
      <c r="E2" s="4"/>
      <c r="F2" s="4"/>
      <c r="G2" s="3" t="s">
        <v>20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2:26" ht="15">
      <c r="B3" s="7" t="s">
        <v>21</v>
      </c>
      <c r="C3" s="8"/>
      <c r="D3" s="8"/>
      <c r="E3" s="8"/>
      <c r="F3" s="9"/>
      <c r="G3" s="10" t="s">
        <v>22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1"/>
    </row>
    <row r="4" spans="2:26" ht="15">
      <c r="B4" s="12" t="s">
        <v>21</v>
      </c>
      <c r="C4" s="13"/>
      <c r="D4" s="13"/>
      <c r="E4" s="13"/>
      <c r="F4" s="14"/>
      <c r="G4" s="15" t="s">
        <v>23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6"/>
    </row>
    <row r="5" spans="2:26" ht="15">
      <c r="B5" s="12" t="s">
        <v>21</v>
      </c>
      <c r="C5" s="13"/>
      <c r="D5" s="13"/>
      <c r="E5" s="13"/>
      <c r="F5" s="14"/>
      <c r="G5" s="17" t="s">
        <v>22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8"/>
    </row>
    <row r="6" spans="2:26" ht="15">
      <c r="B6" s="12" t="s">
        <v>21</v>
      </c>
      <c r="C6" s="13"/>
      <c r="D6" s="13"/>
      <c r="E6" s="13"/>
      <c r="F6" s="14"/>
      <c r="G6" s="15" t="s">
        <v>23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6"/>
    </row>
    <row r="7" spans="2:26" ht="15">
      <c r="B7" s="12" t="s">
        <v>21</v>
      </c>
      <c r="C7" s="13"/>
      <c r="D7" s="13"/>
      <c r="E7" s="13"/>
      <c r="F7" s="14"/>
      <c r="G7" s="17" t="s">
        <v>22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8"/>
    </row>
    <row r="8" spans="2:26" ht="15">
      <c r="B8" s="19" t="s">
        <v>21</v>
      </c>
      <c r="C8" s="20"/>
      <c r="D8" s="20"/>
      <c r="E8" s="20"/>
      <c r="F8" s="21"/>
      <c r="G8" s="22" t="s">
        <v>23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Model</vt:lpstr>
      <vt:lpstr>Notes | Quant Analysis</vt:lpstr>
      <vt:lpstr>Product Lines</vt:lpstr>
      <vt:lpstr>Management</vt:lpstr>
      <vt:lpstr>Table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Jacob H</cp:lastModifiedBy>
  <dcterms:created xsi:type="dcterms:W3CDTF">2015-06-05T18:17:20Z</dcterms:created>
  <dcterms:modified xsi:type="dcterms:W3CDTF">2025-12-25T10:53:57Z</dcterms:modified>
</cp:coreProperties>
</file>