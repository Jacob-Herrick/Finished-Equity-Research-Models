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mmunication Services\"/>
    </mc:Choice>
  </mc:AlternateContent>
  <xr:revisionPtr revIDLastSave="0" documentId="13_ncr:1_{3643B932-961D-4237-812A-BE5E483CFD06}" xr6:coauthVersionLast="47" xr6:coauthVersionMax="47" xr10:uidLastSave="{00000000-0000-0000-0000-000000000000}"/>
  <bookViews>
    <workbookView xWindow="3660" yWindow="2565" windowWidth="21600" windowHeight="13185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7" i="2" l="1"/>
  <c r="AH63" i="2"/>
  <c r="AC61" i="2"/>
  <c r="AB61" i="2"/>
  <c r="Y42" i="2"/>
  <c r="W52" i="2"/>
  <c r="W51" i="2"/>
  <c r="X52" i="2"/>
  <c r="X51" i="2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H51" i="2"/>
  <c r="G51" i="2"/>
  <c r="F51" i="2"/>
  <c r="E51" i="2"/>
  <c r="D51" i="2"/>
  <c r="C52" i="2"/>
  <c r="C51" i="2"/>
  <c r="C7" i="1"/>
  <c r="C6" i="1"/>
  <c r="M87" i="2"/>
  <c r="M86" i="2"/>
  <c r="M78" i="2"/>
  <c r="M77" i="2"/>
  <c r="M73" i="2"/>
  <c r="M75" i="2" s="1"/>
  <c r="M66" i="2"/>
  <c r="M33" i="2"/>
  <c r="M28" i="2"/>
  <c r="M20" i="2"/>
  <c r="M19" i="2"/>
  <c r="M17" i="2"/>
  <c r="M24" i="2" s="1"/>
  <c r="M9" i="2"/>
  <c r="M8" i="2"/>
  <c r="M6" i="2"/>
  <c r="M13" i="2" s="1"/>
  <c r="W74" i="2"/>
  <c r="W72" i="2"/>
  <c r="W71" i="2"/>
  <c r="W70" i="2"/>
  <c r="W69" i="2"/>
  <c r="W68" i="2"/>
  <c r="W65" i="2"/>
  <c r="W64" i="2"/>
  <c r="W63" i="2"/>
  <c r="W62" i="2"/>
  <c r="W61" i="2"/>
  <c r="W60" i="2"/>
  <c r="W59" i="2"/>
  <c r="W58" i="2"/>
  <c r="W57" i="2"/>
  <c r="I78" i="2"/>
  <c r="H78" i="2"/>
  <c r="G78" i="2"/>
  <c r="F78" i="2"/>
  <c r="I77" i="2"/>
  <c r="H77" i="2"/>
  <c r="G77" i="2"/>
  <c r="F77" i="2"/>
  <c r="I73" i="2"/>
  <c r="I75" i="2" s="1"/>
  <c r="H73" i="2"/>
  <c r="H75" i="2" s="1"/>
  <c r="G73" i="2"/>
  <c r="G75" i="2" s="1"/>
  <c r="F73" i="2"/>
  <c r="F75" i="2" s="1"/>
  <c r="W75" i="2" s="1"/>
  <c r="I66" i="2"/>
  <c r="H66" i="2"/>
  <c r="G66" i="2"/>
  <c r="F66" i="2"/>
  <c r="K33" i="2"/>
  <c r="J33" i="2"/>
  <c r="I33" i="2"/>
  <c r="H33" i="2"/>
  <c r="G33" i="2"/>
  <c r="W30" i="2"/>
  <c r="X30" i="2"/>
  <c r="X33" i="2" s="1"/>
  <c r="W27" i="2"/>
  <c r="W26" i="2"/>
  <c r="X26" i="2"/>
  <c r="X27" i="2"/>
  <c r="X46" i="2"/>
  <c r="X87" i="2" s="1"/>
  <c r="W46" i="2"/>
  <c r="W87" i="2" s="1"/>
  <c r="X85" i="2"/>
  <c r="W85" i="2"/>
  <c r="X84" i="2"/>
  <c r="W84" i="2"/>
  <c r="K78" i="2"/>
  <c r="J78" i="2"/>
  <c r="K77" i="2"/>
  <c r="J77" i="2"/>
  <c r="M88" i="2" l="1"/>
  <c r="M35" i="2"/>
  <c r="M79" i="2" s="1"/>
  <c r="M12" i="2"/>
  <c r="M37" i="2"/>
  <c r="M23" i="2"/>
  <c r="W73" i="2"/>
  <c r="W78" i="2"/>
  <c r="W77" i="2"/>
  <c r="W66" i="2"/>
  <c r="M50" i="2" l="1"/>
  <c r="M49" i="2"/>
  <c r="M41" i="2"/>
  <c r="L78" i="2"/>
  <c r="L77" i="2"/>
  <c r="K73" i="2"/>
  <c r="K75" i="2" s="1"/>
  <c r="J73" i="2"/>
  <c r="X73" i="2" s="1"/>
  <c r="X74" i="2"/>
  <c r="X72" i="2"/>
  <c r="X71" i="2"/>
  <c r="X70" i="2"/>
  <c r="X69" i="2"/>
  <c r="X68" i="2"/>
  <c r="X65" i="2"/>
  <c r="X63" i="2"/>
  <c r="X62" i="2"/>
  <c r="X61" i="2"/>
  <c r="X60" i="2"/>
  <c r="X59" i="2"/>
  <c r="X58" i="2"/>
  <c r="X57" i="2"/>
  <c r="K66" i="2"/>
  <c r="J66" i="2"/>
  <c r="X66" i="2" s="1"/>
  <c r="L73" i="2"/>
  <c r="L75" i="2" s="1"/>
  <c r="L66" i="2"/>
  <c r="K86" i="2"/>
  <c r="J86" i="2"/>
  <c r="I86" i="2"/>
  <c r="H86" i="2"/>
  <c r="G86" i="2"/>
  <c r="X86" i="2" s="1"/>
  <c r="F86" i="2"/>
  <c r="E86" i="2"/>
  <c r="E88" i="2" s="1"/>
  <c r="D86" i="2"/>
  <c r="C86" i="2"/>
  <c r="L86" i="2"/>
  <c r="K87" i="2"/>
  <c r="J87" i="2"/>
  <c r="I87" i="2"/>
  <c r="H87" i="2"/>
  <c r="G87" i="2"/>
  <c r="F87" i="2"/>
  <c r="E87" i="2"/>
  <c r="D87" i="2"/>
  <c r="C87" i="2"/>
  <c r="L87" i="2"/>
  <c r="F88" i="2" l="1"/>
  <c r="M43" i="2"/>
  <c r="M53" i="2"/>
  <c r="H88" i="2"/>
  <c r="X78" i="2"/>
  <c r="X77" i="2"/>
  <c r="I88" i="2"/>
  <c r="C88" i="2"/>
  <c r="W86" i="2"/>
  <c r="K88" i="2"/>
  <c r="G88" i="2"/>
  <c r="L88" i="2"/>
  <c r="J88" i="2"/>
  <c r="D88" i="2"/>
  <c r="J75" i="2"/>
  <c r="X75" i="2" s="1"/>
  <c r="M45" i="2" l="1"/>
  <c r="M54" i="2"/>
  <c r="L33" i="2"/>
  <c r="F44" i="2"/>
  <c r="W44" i="2" s="1"/>
  <c r="F42" i="2"/>
  <c r="W42" i="2" s="1"/>
  <c r="F40" i="2"/>
  <c r="W40" i="2" s="1"/>
  <c r="F39" i="2"/>
  <c r="W39" i="2" s="1"/>
  <c r="F38" i="2"/>
  <c r="W38" i="2" s="1"/>
  <c r="F36" i="2"/>
  <c r="J44" i="2"/>
  <c r="X44" i="2" s="1"/>
  <c r="J42" i="2"/>
  <c r="X42" i="2" s="1"/>
  <c r="J40" i="2"/>
  <c r="X40" i="2" s="1"/>
  <c r="J39" i="2"/>
  <c r="X39" i="2" s="1"/>
  <c r="J38" i="2"/>
  <c r="X38" i="2" s="1"/>
  <c r="J36" i="2"/>
  <c r="K28" i="2"/>
  <c r="J28" i="2"/>
  <c r="I28" i="2"/>
  <c r="H28" i="2"/>
  <c r="G28" i="2"/>
  <c r="F28" i="2"/>
  <c r="W28" i="2" s="1"/>
  <c r="E28" i="2"/>
  <c r="D28" i="2"/>
  <c r="C28" i="2"/>
  <c r="L28" i="2"/>
  <c r="L32" i="2" s="1"/>
  <c r="G32" i="2" l="1"/>
  <c r="I32" i="2"/>
  <c r="M32" i="2"/>
  <c r="M83" i="2"/>
  <c r="M81" i="2"/>
  <c r="M55" i="2"/>
  <c r="M80" i="2"/>
  <c r="M47" i="2"/>
  <c r="K32" i="2"/>
  <c r="X28" i="2"/>
  <c r="X32" i="2" s="1"/>
  <c r="J32" i="2"/>
  <c r="H32" i="2"/>
  <c r="J16" i="2"/>
  <c r="J15" i="2"/>
  <c r="F16" i="2"/>
  <c r="F15" i="2"/>
  <c r="F5" i="2"/>
  <c r="F4" i="2"/>
  <c r="J5" i="2"/>
  <c r="X5" i="2" s="1"/>
  <c r="J4" i="2"/>
  <c r="X4" i="2" s="1"/>
  <c r="K9" i="2"/>
  <c r="I9" i="2"/>
  <c r="H9" i="2"/>
  <c r="G9" i="2"/>
  <c r="K8" i="2"/>
  <c r="I8" i="2"/>
  <c r="H8" i="2"/>
  <c r="G8" i="2"/>
  <c r="L9" i="2"/>
  <c r="L8" i="2"/>
  <c r="K20" i="2"/>
  <c r="I20" i="2"/>
  <c r="H20" i="2"/>
  <c r="G20" i="2"/>
  <c r="K19" i="2"/>
  <c r="I19" i="2"/>
  <c r="H19" i="2"/>
  <c r="G19" i="2"/>
  <c r="L20" i="2"/>
  <c r="L19" i="2"/>
  <c r="E17" i="2"/>
  <c r="E24" i="2" s="1"/>
  <c r="D17" i="2"/>
  <c r="D24" i="2" s="1"/>
  <c r="C17" i="2"/>
  <c r="L17" i="2"/>
  <c r="K17" i="2"/>
  <c r="K24" i="2" s="1"/>
  <c r="I17" i="2"/>
  <c r="M21" i="2" s="1"/>
  <c r="H17" i="2"/>
  <c r="G17" i="2"/>
  <c r="G23" i="2" s="1"/>
  <c r="L6" i="2"/>
  <c r="L35" i="2" s="1"/>
  <c r="L79" i="2" s="1"/>
  <c r="G6" i="2"/>
  <c r="G13" i="2" s="1"/>
  <c r="C6" i="2"/>
  <c r="C13" i="2" s="1"/>
  <c r="I6" i="2"/>
  <c r="H6" i="2"/>
  <c r="H13" i="2" s="1"/>
  <c r="E6" i="2"/>
  <c r="E12" i="2" s="1"/>
  <c r="D6" i="2"/>
  <c r="D13" i="2" s="1"/>
  <c r="K6" i="2"/>
  <c r="K13" i="2" s="1"/>
  <c r="I13" i="2" l="1"/>
  <c r="M10" i="2"/>
  <c r="L37" i="2"/>
  <c r="L49" i="2" s="1"/>
  <c r="L50" i="2"/>
  <c r="F17" i="2"/>
  <c r="W17" i="2" s="1"/>
  <c r="H21" i="2"/>
  <c r="H23" i="2"/>
  <c r="G24" i="2"/>
  <c r="G21" i="2"/>
  <c r="I21" i="2"/>
  <c r="L21" i="2"/>
  <c r="I23" i="2"/>
  <c r="H24" i="2"/>
  <c r="H10" i="2"/>
  <c r="J19" i="2"/>
  <c r="K10" i="2"/>
  <c r="I24" i="2"/>
  <c r="C23" i="2"/>
  <c r="K23" i="2"/>
  <c r="K21" i="2"/>
  <c r="D23" i="2"/>
  <c r="C24" i="2"/>
  <c r="I10" i="2"/>
  <c r="E23" i="2"/>
  <c r="J20" i="2"/>
  <c r="G10" i="2"/>
  <c r="L23" i="2"/>
  <c r="L24" i="2"/>
  <c r="J17" i="2"/>
  <c r="J23" i="2" s="1"/>
  <c r="J9" i="2"/>
  <c r="J8" i="2"/>
  <c r="F6" i="2"/>
  <c r="F13" i="2" s="1"/>
  <c r="J6" i="2"/>
  <c r="X6" i="2" s="1"/>
  <c r="X12" i="2" s="1"/>
  <c r="K12" i="2"/>
  <c r="G12" i="2"/>
  <c r="L12" i="2"/>
  <c r="L13" i="2"/>
  <c r="C12" i="2"/>
  <c r="L10" i="2"/>
  <c r="D12" i="2"/>
  <c r="E13" i="2"/>
  <c r="H12" i="2"/>
  <c r="I12" i="2"/>
  <c r="T310" i="3"/>
  <c r="T308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584" i="3"/>
  <c r="X13" i="2" l="1"/>
  <c r="T311" i="3"/>
  <c r="T307" i="3"/>
  <c r="S245" i="3"/>
  <c r="S246" i="3"/>
  <c r="S247" i="3"/>
  <c r="S248" i="3" s="1"/>
  <c r="S249" i="3"/>
  <c r="S244" i="3"/>
  <c r="S243" i="3"/>
  <c r="L41" i="2"/>
  <c r="L43" i="2" s="1"/>
  <c r="F24" i="2"/>
  <c r="F23" i="2"/>
  <c r="X17" i="2"/>
  <c r="X21" i="2" s="1"/>
  <c r="J21" i="2"/>
  <c r="J24" i="2"/>
  <c r="F12" i="2"/>
  <c r="J13" i="2"/>
  <c r="J10" i="2"/>
  <c r="J12" i="2"/>
  <c r="X36" i="2"/>
  <c r="W36" i="2"/>
  <c r="AH69" i="2"/>
  <c r="AH67" i="2"/>
  <c r="AH62" i="2"/>
  <c r="J35" i="2"/>
  <c r="J79" i="2" s="1"/>
  <c r="I35" i="2"/>
  <c r="I79" i="2" s="1"/>
  <c r="H35" i="2"/>
  <c r="H79" i="2" s="1"/>
  <c r="G35" i="2"/>
  <c r="G79" i="2" s="1"/>
  <c r="F35" i="2"/>
  <c r="F79" i="2" s="1"/>
  <c r="E35" i="2"/>
  <c r="D35" i="2"/>
  <c r="C35" i="2"/>
  <c r="K35" i="2"/>
  <c r="K79" i="2" s="1"/>
  <c r="X64" i="2"/>
  <c r="X16" i="2"/>
  <c r="X24" i="2" s="1"/>
  <c r="W16" i="2"/>
  <c r="W24" i="2" s="1"/>
  <c r="X15" i="2"/>
  <c r="W15" i="2"/>
  <c r="W23" i="2" s="1"/>
  <c r="W6" i="2"/>
  <c r="X10" i="2" s="1"/>
  <c r="Y5" i="2"/>
  <c r="Z5" i="2" s="1"/>
  <c r="AA5" i="2" s="1"/>
  <c r="AB5" i="2" s="1"/>
  <c r="AC5" i="2" s="1"/>
  <c r="AD5" i="2" s="1"/>
  <c r="AE5" i="2" s="1"/>
  <c r="AF5" i="2" s="1"/>
  <c r="AG5" i="2" s="1"/>
  <c r="AH5" i="2" s="1"/>
  <c r="W5" i="2"/>
  <c r="W4" i="2"/>
  <c r="Y4" i="2"/>
  <c r="Z4" i="2" s="1"/>
  <c r="AA4" i="2" s="1"/>
  <c r="AB4" i="2" s="1"/>
  <c r="AC4" i="2" s="1"/>
  <c r="AD4" i="2" s="1"/>
  <c r="AE4" i="2" s="1"/>
  <c r="AF4" i="2" s="1"/>
  <c r="AG4" i="2" s="1"/>
  <c r="AH4" i="2" s="1"/>
  <c r="X3" i="2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5" i="1"/>
  <c r="C8" i="1" s="1"/>
  <c r="W12" i="2" l="1"/>
  <c r="U309" i="3"/>
  <c r="U308" i="3"/>
  <c r="U310" i="3"/>
  <c r="X9" i="2"/>
  <c r="W13" i="2"/>
  <c r="X23" i="2"/>
  <c r="T312" i="3"/>
  <c r="U311" i="3"/>
  <c r="T306" i="3"/>
  <c r="U307" i="3"/>
  <c r="L53" i="2"/>
  <c r="E37" i="2"/>
  <c r="E49" i="2" s="1"/>
  <c r="E50" i="2"/>
  <c r="F37" i="2"/>
  <c r="F41" i="2" s="1"/>
  <c r="F50" i="2"/>
  <c r="K37" i="2"/>
  <c r="K49" i="2" s="1"/>
  <c r="K50" i="2"/>
  <c r="C37" i="2"/>
  <c r="C50" i="2"/>
  <c r="G37" i="2"/>
  <c r="G50" i="2"/>
  <c r="H37" i="2"/>
  <c r="H50" i="2"/>
  <c r="J37" i="2"/>
  <c r="J41" i="2" s="1"/>
  <c r="J50" i="2"/>
  <c r="L45" i="2"/>
  <c r="L54" i="2"/>
  <c r="D37" i="2"/>
  <c r="D41" i="2" s="1"/>
  <c r="D50" i="2"/>
  <c r="I50" i="2"/>
  <c r="G49" i="2"/>
  <c r="X20" i="2"/>
  <c r="X19" i="2"/>
  <c r="X35" i="2"/>
  <c r="W35" i="2"/>
  <c r="I37" i="2"/>
  <c r="AH64" i="2"/>
  <c r="AH6" i="2"/>
  <c r="AH35" i="2" s="1"/>
  <c r="X8" i="2"/>
  <c r="X265" i="3"/>
  <c r="AH40" i="2" l="1"/>
  <c r="AH39" i="2"/>
  <c r="AH38" i="2"/>
  <c r="AH36" i="2"/>
  <c r="AH37" i="2" s="1"/>
  <c r="W79" i="2"/>
  <c r="W50" i="2"/>
  <c r="L83" i="2"/>
  <c r="L81" i="2"/>
  <c r="L80" i="2"/>
  <c r="X79" i="2"/>
  <c r="X50" i="2"/>
  <c r="C41" i="2"/>
  <c r="C53" i="2" s="1"/>
  <c r="W37" i="2"/>
  <c r="W49" i="2" s="1"/>
  <c r="G41" i="2"/>
  <c r="G43" i="2" s="1"/>
  <c r="X37" i="2"/>
  <c r="X49" i="2" s="1"/>
  <c r="T305" i="3"/>
  <c r="U306" i="3"/>
  <c r="T313" i="3"/>
  <c r="U312" i="3"/>
  <c r="J49" i="2"/>
  <c r="E41" i="2"/>
  <c r="E43" i="2" s="1"/>
  <c r="C49" i="2"/>
  <c r="D49" i="2"/>
  <c r="K41" i="2"/>
  <c r="K43" i="2" s="1"/>
  <c r="F49" i="2"/>
  <c r="H41" i="2"/>
  <c r="H49" i="2"/>
  <c r="L47" i="2"/>
  <c r="L55" i="2"/>
  <c r="C43" i="2"/>
  <c r="D43" i="2"/>
  <c r="D53" i="2"/>
  <c r="I41" i="2"/>
  <c r="I49" i="2"/>
  <c r="F43" i="2"/>
  <c r="F53" i="2"/>
  <c r="J43" i="2"/>
  <c r="J53" i="2"/>
  <c r="K53" i="2"/>
  <c r="AD6" i="2"/>
  <c r="AD35" i="2" s="1"/>
  <c r="AE6" i="2"/>
  <c r="AE35" i="2" s="1"/>
  <c r="AG6" i="2"/>
  <c r="AG35" i="2" s="1"/>
  <c r="Y6" i="2"/>
  <c r="AA6" i="2"/>
  <c r="AA35" i="2" s="1"/>
  <c r="AF6" i="2"/>
  <c r="AF35" i="2" s="1"/>
  <c r="AB6" i="2"/>
  <c r="AB35" i="2" s="1"/>
  <c r="Z6" i="2"/>
  <c r="Z35" i="2" s="1"/>
  <c r="AC6" i="2"/>
  <c r="AC35" i="2" s="1"/>
  <c r="X255" i="3"/>
  <c r="X254" i="3"/>
  <c r="X257" i="3"/>
  <c r="X264" i="3"/>
  <c r="X256" i="3"/>
  <c r="X267" i="3"/>
  <c r="X263" i="3"/>
  <c r="X259" i="3"/>
  <c r="X262" i="3"/>
  <c r="X266" i="3"/>
  <c r="X261" i="3"/>
  <c r="X258" i="3"/>
  <c r="X260" i="3"/>
  <c r="AF39" i="2" l="1"/>
  <c r="AF40" i="2"/>
  <c r="AC40" i="2"/>
  <c r="AC39" i="2"/>
  <c r="AD40" i="2"/>
  <c r="AD39" i="2"/>
  <c r="Z40" i="2"/>
  <c r="Z39" i="2"/>
  <c r="AB39" i="2"/>
  <c r="AB40" i="2"/>
  <c r="AA40" i="2"/>
  <c r="AA39" i="2"/>
  <c r="AG40" i="2"/>
  <c r="AG39" i="2"/>
  <c r="AE40" i="2"/>
  <c r="AE39" i="2"/>
  <c r="AH41" i="2"/>
  <c r="AC36" i="2"/>
  <c r="AC37" i="2" s="1"/>
  <c r="AC38" i="2"/>
  <c r="AD38" i="2"/>
  <c r="AD36" i="2"/>
  <c r="AD37" i="2" s="1"/>
  <c r="AB38" i="2"/>
  <c r="AB36" i="2"/>
  <c r="AB37" i="2" s="1"/>
  <c r="G53" i="2"/>
  <c r="Z36" i="2"/>
  <c r="Z37" i="2" s="1"/>
  <c r="Z38" i="2"/>
  <c r="AF36" i="2"/>
  <c r="AF37" i="2" s="1"/>
  <c r="AF38" i="2"/>
  <c r="AA38" i="2"/>
  <c r="AA36" i="2"/>
  <c r="AA37" i="2" s="1"/>
  <c r="AG38" i="2"/>
  <c r="AG36" i="2"/>
  <c r="AG37" i="2" s="1"/>
  <c r="AE36" i="2"/>
  <c r="AE37" i="2" s="1"/>
  <c r="AE38" i="2"/>
  <c r="Y10" i="2"/>
  <c r="Y35" i="2"/>
  <c r="AE61" i="2"/>
  <c r="X41" i="2"/>
  <c r="X53" i="2" s="1"/>
  <c r="W43" i="2"/>
  <c r="W54" i="2" s="1"/>
  <c r="W41" i="2"/>
  <c r="W53" i="2" s="1"/>
  <c r="T314" i="3"/>
  <c r="U313" i="3"/>
  <c r="T304" i="3"/>
  <c r="U305" i="3"/>
  <c r="E53" i="2"/>
  <c r="H43" i="2"/>
  <c r="H53" i="2"/>
  <c r="C45" i="2"/>
  <c r="C54" i="2"/>
  <c r="D45" i="2"/>
  <c r="D83" i="2" s="1"/>
  <c r="D54" i="2"/>
  <c r="E45" i="2"/>
  <c r="E83" i="2" s="1"/>
  <c r="E54" i="2"/>
  <c r="I43" i="2"/>
  <c r="I53" i="2"/>
  <c r="F45" i="2"/>
  <c r="F54" i="2"/>
  <c r="J45" i="2"/>
  <c r="J54" i="2"/>
  <c r="G45" i="2"/>
  <c r="G54" i="2"/>
  <c r="K45" i="2"/>
  <c r="K54" i="2"/>
  <c r="AF10" i="2"/>
  <c r="AE10" i="2"/>
  <c r="AA10" i="2"/>
  <c r="AG10" i="2"/>
  <c r="AC10" i="2"/>
  <c r="AD10" i="2"/>
  <c r="Z10" i="2"/>
  <c r="AB10" i="2"/>
  <c r="AH10" i="2"/>
  <c r="Y40" i="2" l="1"/>
  <c r="Y39" i="2"/>
  <c r="AG41" i="2"/>
  <c r="AF41" i="2"/>
  <c r="AE41" i="2"/>
  <c r="AD41" i="2"/>
  <c r="AC41" i="2"/>
  <c r="AB41" i="2"/>
  <c r="AA41" i="2"/>
  <c r="Z41" i="2"/>
  <c r="Y38" i="2"/>
  <c r="Y53" i="2"/>
  <c r="Y36" i="2"/>
  <c r="Y37" i="2" s="1"/>
  <c r="J83" i="2"/>
  <c r="J81" i="2"/>
  <c r="J80" i="2"/>
  <c r="F83" i="2"/>
  <c r="F81" i="2"/>
  <c r="F80" i="2"/>
  <c r="G81" i="2"/>
  <c r="G80" i="2"/>
  <c r="K83" i="2"/>
  <c r="K81" i="2"/>
  <c r="K80" i="2"/>
  <c r="X43" i="2"/>
  <c r="X54" i="2" s="1"/>
  <c r="G83" i="2"/>
  <c r="X45" i="2"/>
  <c r="W45" i="2"/>
  <c r="C83" i="2"/>
  <c r="T303" i="3"/>
  <c r="U304" i="3"/>
  <c r="T315" i="3"/>
  <c r="U314" i="3"/>
  <c r="H45" i="2"/>
  <c r="H54" i="2"/>
  <c r="C47" i="2"/>
  <c r="C55" i="2"/>
  <c r="D47" i="2"/>
  <c r="D55" i="2"/>
  <c r="E47" i="2"/>
  <c r="E55" i="2"/>
  <c r="I45" i="2"/>
  <c r="I54" i="2"/>
  <c r="F47" i="2"/>
  <c r="F55" i="2"/>
  <c r="J47" i="2"/>
  <c r="J55" i="2"/>
  <c r="G47" i="2"/>
  <c r="G55" i="2"/>
  <c r="K47" i="2"/>
  <c r="K55" i="2"/>
  <c r="Y41" i="2" l="1"/>
  <c r="Y43" i="2" s="1"/>
  <c r="Y44" i="2" s="1"/>
  <c r="Y45" i="2" s="1"/>
  <c r="Z61" i="2"/>
  <c r="Z62" i="2" s="1"/>
  <c r="X55" i="2"/>
  <c r="X81" i="2"/>
  <c r="X83" i="2"/>
  <c r="X80" i="2"/>
  <c r="H83" i="2"/>
  <c r="H81" i="2"/>
  <c r="H80" i="2"/>
  <c r="W55" i="2"/>
  <c r="W83" i="2"/>
  <c r="W81" i="2"/>
  <c r="W80" i="2"/>
  <c r="I83" i="2"/>
  <c r="I81" i="2"/>
  <c r="I80" i="2"/>
  <c r="W47" i="2"/>
  <c r="T316" i="3"/>
  <c r="U315" i="3"/>
  <c r="T302" i="3"/>
  <c r="U303" i="3"/>
  <c r="H47" i="2"/>
  <c r="H55" i="2"/>
  <c r="I47" i="2"/>
  <c r="I55" i="2"/>
  <c r="Z42" i="2" l="1"/>
  <c r="Y55" i="2"/>
  <c r="X47" i="2"/>
  <c r="T301" i="3"/>
  <c r="U302" i="3"/>
  <c r="T317" i="3"/>
  <c r="U316" i="3"/>
  <c r="Z43" i="2" l="1"/>
  <c r="Z44" i="2" s="1"/>
  <c r="Z45" i="2" s="1"/>
  <c r="Z53" i="2"/>
  <c r="T318" i="3"/>
  <c r="U317" i="3"/>
  <c r="T300" i="3"/>
  <c r="U301" i="3"/>
  <c r="Z57" i="2" l="1"/>
  <c r="AA42" i="2" s="1"/>
  <c r="Z55" i="2"/>
  <c r="T299" i="3"/>
  <c r="U300" i="3"/>
  <c r="T319" i="3"/>
  <c r="U318" i="3"/>
  <c r="AA43" i="2" l="1"/>
  <c r="AA44" i="2" s="1"/>
  <c r="AA45" i="2" s="1"/>
  <c r="AA53" i="2"/>
  <c r="T320" i="3"/>
  <c r="U319" i="3"/>
  <c r="T298" i="3"/>
  <c r="U299" i="3"/>
  <c r="AA57" i="2" l="1"/>
  <c r="AB42" i="2" s="1"/>
  <c r="AA55" i="2"/>
  <c r="T297" i="3"/>
  <c r="U298" i="3"/>
  <c r="T321" i="3"/>
  <c r="U320" i="3"/>
  <c r="AB43" i="2" l="1"/>
  <c r="AB44" i="2" s="1"/>
  <c r="AB45" i="2" s="1"/>
  <c r="AB53" i="2"/>
  <c r="T322" i="3"/>
  <c r="U321" i="3"/>
  <c r="T296" i="3"/>
  <c r="U297" i="3"/>
  <c r="AB57" i="2" l="1"/>
  <c r="AC42" i="2" s="1"/>
  <c r="AB55" i="2"/>
  <c r="T323" i="3"/>
  <c r="U322" i="3"/>
  <c r="T295" i="3"/>
  <c r="U296" i="3"/>
  <c r="AC43" i="2" l="1"/>
  <c r="AC44" i="2" s="1"/>
  <c r="AC45" i="2" s="1"/>
  <c r="AC53" i="2"/>
  <c r="T294" i="3"/>
  <c r="U295" i="3"/>
  <c r="T324" i="3"/>
  <c r="U323" i="3"/>
  <c r="AC57" i="2" l="1"/>
  <c r="AD42" i="2" s="1"/>
  <c r="AC55" i="2"/>
  <c r="T325" i="3"/>
  <c r="U324" i="3"/>
  <c r="T293" i="3"/>
  <c r="U294" i="3"/>
  <c r="AD43" i="2" l="1"/>
  <c r="AD44" i="2" s="1"/>
  <c r="AD45" i="2" s="1"/>
  <c r="AD53" i="2"/>
  <c r="T292" i="3"/>
  <c r="U293" i="3"/>
  <c r="T326" i="3"/>
  <c r="U325" i="3"/>
  <c r="AD57" i="2" l="1"/>
  <c r="AE42" i="2" s="1"/>
  <c r="AD55" i="2"/>
  <c r="T327" i="3"/>
  <c r="U326" i="3"/>
  <c r="T291" i="3"/>
  <c r="U292" i="3"/>
  <c r="AE43" i="2" l="1"/>
  <c r="AE44" i="2" s="1"/>
  <c r="AE45" i="2" s="1"/>
  <c r="AE53" i="2"/>
  <c r="T328" i="3"/>
  <c r="U327" i="3"/>
  <c r="T290" i="3"/>
  <c r="U291" i="3"/>
  <c r="AE57" i="2" l="1"/>
  <c r="AE55" i="2"/>
  <c r="T289" i="3"/>
  <c r="U290" i="3"/>
  <c r="T329" i="3"/>
  <c r="U328" i="3"/>
  <c r="AF42" i="2" l="1"/>
  <c r="T330" i="3"/>
  <c r="U329" i="3"/>
  <c r="T288" i="3"/>
  <c r="U289" i="3"/>
  <c r="AF43" i="2" l="1"/>
  <c r="AF44" i="2" s="1"/>
  <c r="AF45" i="2" s="1"/>
  <c r="AF53" i="2"/>
  <c r="T287" i="3"/>
  <c r="U288" i="3"/>
  <c r="T331" i="3"/>
  <c r="U330" i="3"/>
  <c r="AF55" i="2" l="1"/>
  <c r="AF57" i="2"/>
  <c r="T332" i="3"/>
  <c r="U331" i="3"/>
  <c r="T286" i="3"/>
  <c r="U287" i="3"/>
  <c r="AG42" i="2" l="1"/>
  <c r="T285" i="3"/>
  <c r="U286" i="3"/>
  <c r="T333" i="3"/>
  <c r="U332" i="3"/>
  <c r="AG43" i="2" l="1"/>
  <c r="AG44" i="2" s="1"/>
  <c r="AG45" i="2" s="1"/>
  <c r="AG53" i="2"/>
  <c r="T334" i="3"/>
  <c r="U333" i="3"/>
  <c r="T284" i="3"/>
  <c r="U285" i="3"/>
  <c r="AG55" i="2" l="1"/>
  <c r="AG57" i="2"/>
  <c r="T283" i="3"/>
  <c r="U284" i="3"/>
  <c r="T335" i="3"/>
  <c r="U334" i="3"/>
  <c r="AH42" i="2" l="1"/>
  <c r="T336" i="3"/>
  <c r="U335" i="3"/>
  <c r="T282" i="3"/>
  <c r="U283" i="3"/>
  <c r="AH53" i="2" l="1"/>
  <c r="AH43" i="2"/>
  <c r="AH44" i="2" s="1"/>
  <c r="AH45" i="2" s="1"/>
  <c r="T281" i="3"/>
  <c r="U282" i="3"/>
  <c r="T337" i="3"/>
  <c r="U336" i="3"/>
  <c r="AI45" i="2" l="1"/>
  <c r="AJ45" i="2" s="1"/>
  <c r="AK45" i="2" s="1"/>
  <c r="AL45" i="2" s="1"/>
  <c r="AM45" i="2" s="1"/>
  <c r="AN45" i="2" s="1"/>
  <c r="AO45" i="2" s="1"/>
  <c r="AP45" i="2" s="1"/>
  <c r="AQ45" i="2" s="1"/>
  <c r="AR45" i="2" s="1"/>
  <c r="AS45" i="2" s="1"/>
  <c r="AT45" i="2" s="1"/>
  <c r="AU45" i="2" s="1"/>
  <c r="AV45" i="2" s="1"/>
  <c r="AW45" i="2" s="1"/>
  <c r="AX45" i="2" s="1"/>
  <c r="AY45" i="2" s="1"/>
  <c r="AZ45" i="2" s="1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BK45" i="2" s="1"/>
  <c r="BL45" i="2" s="1"/>
  <c r="BM45" i="2" s="1"/>
  <c r="BN45" i="2" s="1"/>
  <c r="BO45" i="2" s="1"/>
  <c r="BP45" i="2" s="1"/>
  <c r="BQ45" i="2" s="1"/>
  <c r="BR45" i="2" s="1"/>
  <c r="BS45" i="2" s="1"/>
  <c r="BT45" i="2" s="1"/>
  <c r="BU45" i="2" s="1"/>
  <c r="BV45" i="2" s="1"/>
  <c r="AH55" i="2"/>
  <c r="AH57" i="2"/>
  <c r="T338" i="3"/>
  <c r="U337" i="3"/>
  <c r="T280" i="3"/>
  <c r="U281" i="3"/>
  <c r="BW45" i="2" l="1"/>
  <c r="BX45" i="2" s="1"/>
  <c r="BY45" i="2" s="1"/>
  <c r="BZ45" i="2" s="1"/>
  <c r="CA45" i="2" s="1"/>
  <c r="CB45" i="2" s="1"/>
  <c r="CC45" i="2" s="1"/>
  <c r="CD45" i="2" s="1"/>
  <c r="CE45" i="2" s="1"/>
  <c r="CF45" i="2" s="1"/>
  <c r="AH66" i="2"/>
  <c r="AH68" i="2" s="1"/>
  <c r="AH70" i="2" s="1"/>
  <c r="T279" i="3"/>
  <c r="U280" i="3"/>
  <c r="T339" i="3"/>
  <c r="U338" i="3"/>
  <c r="AI70" i="2" l="1"/>
  <c r="AG71" i="2" a="1"/>
  <c r="AG71" i="2" s="1"/>
  <c r="T340" i="3"/>
  <c r="U339" i="3"/>
  <c r="T278" i="3"/>
  <c r="U279" i="3"/>
  <c r="T277" i="3" l="1"/>
  <c r="U278" i="3"/>
  <c r="T341" i="3"/>
  <c r="U340" i="3"/>
  <c r="T342" i="3" l="1"/>
  <c r="U341" i="3"/>
  <c r="T276" i="3"/>
  <c r="U277" i="3"/>
  <c r="T275" i="3" l="1"/>
  <c r="U276" i="3"/>
  <c r="T343" i="3"/>
  <c r="U342" i="3"/>
  <c r="T344" i="3" l="1"/>
  <c r="U343" i="3"/>
  <c r="T274" i="3"/>
  <c r="U275" i="3"/>
  <c r="T273" i="3" l="1"/>
  <c r="U274" i="3"/>
  <c r="T345" i="3"/>
  <c r="U344" i="3"/>
  <c r="T346" i="3" l="1"/>
  <c r="U345" i="3"/>
  <c r="T272" i="3"/>
  <c r="U273" i="3"/>
  <c r="T271" i="3" l="1"/>
  <c r="U272" i="3"/>
  <c r="T347" i="3"/>
  <c r="U346" i="3"/>
  <c r="T348" i="3" l="1"/>
  <c r="U347" i="3"/>
  <c r="T270" i="3"/>
  <c r="U271" i="3"/>
  <c r="T269" i="3" l="1"/>
  <c r="U270" i="3"/>
  <c r="T349" i="3"/>
  <c r="U348" i="3"/>
  <c r="T350" i="3" l="1"/>
  <c r="U349" i="3"/>
  <c r="T268" i="3"/>
  <c r="U269" i="3"/>
  <c r="T267" i="3" l="1"/>
  <c r="U268" i="3"/>
  <c r="T351" i="3"/>
  <c r="U350" i="3"/>
  <c r="T352" i="3" l="1"/>
  <c r="U351" i="3"/>
  <c r="T266" i="3"/>
  <c r="U267" i="3"/>
  <c r="T265" i="3" l="1"/>
  <c r="U266" i="3"/>
  <c r="T353" i="3"/>
  <c r="U352" i="3"/>
  <c r="T354" i="3" l="1"/>
  <c r="U353" i="3"/>
  <c r="T264" i="3"/>
  <c r="U265" i="3"/>
  <c r="T263" i="3" l="1"/>
  <c r="U264" i="3"/>
  <c r="T355" i="3"/>
  <c r="U354" i="3"/>
  <c r="T356" i="3" l="1"/>
  <c r="U355" i="3"/>
  <c r="T262" i="3"/>
  <c r="U263" i="3"/>
  <c r="T261" i="3" l="1"/>
  <c r="U262" i="3"/>
  <c r="T357" i="3"/>
  <c r="U356" i="3"/>
  <c r="T358" i="3" l="1"/>
  <c r="U357" i="3"/>
  <c r="T260" i="3"/>
  <c r="U261" i="3"/>
  <c r="T259" i="3" l="1"/>
  <c r="U260" i="3"/>
  <c r="T359" i="3"/>
  <c r="U358" i="3"/>
  <c r="T360" i="3" l="1"/>
  <c r="U359" i="3"/>
  <c r="T258" i="3"/>
  <c r="U259" i="3"/>
  <c r="T257" i="3" l="1"/>
  <c r="U258" i="3"/>
  <c r="T361" i="3"/>
  <c r="U360" i="3"/>
  <c r="T362" i="3" l="1"/>
  <c r="U361" i="3"/>
  <c r="T256" i="3"/>
  <c r="U257" i="3"/>
  <c r="T255" i="3" l="1"/>
  <c r="U256" i="3"/>
  <c r="T363" i="3"/>
  <c r="U362" i="3"/>
  <c r="U255" i="3" l="1"/>
  <c r="T254" i="3"/>
  <c r="U254" i="3" s="1"/>
  <c r="U363" i="3"/>
  <c r="T364" i="3"/>
  <c r="U36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<sst xmlns="http://schemas.openxmlformats.org/spreadsheetml/2006/main" count="1050" uniqueCount="608">
  <si>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</si>
  <si>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</si>
  <si>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</si>
  <si>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</si>
  <si>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</si>
  <si>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</si>
  <si>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</si>
  <si>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</si>
  <si>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</si>
  <si>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</si>
  <si>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</si>
  <si>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</si>
  <si>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</si>
  <si>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</si>
  <si>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</si>
  <si>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</si>
  <si>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</si>
  <si>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</si>
  <si>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</si>
  <si>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</si>
  <si>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</si>
  <si>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</si>
  <si>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</si>
  <si>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</si>
  <si>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</si>
  <si>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</si>
  <si>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</si>
  <si>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</si>
  <si>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</si>
  <si>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</si>
  <si>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</si>
  <si>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</si>
  <si>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</si>
  <si>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</si>
  <si>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</si>
  <si>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</si>
  <si>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</si>
  <si>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</si>
  <si>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</si>
  <si>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</si>
  <si>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</si>
  <si>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</si>
  <si>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</si>
  <si>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</si>
  <si>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</si>
  <si>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</si>
  <si>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</si>
  <si>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</si>
  <si>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</si>
  <si>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</si>
  <si>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</si>
  <si>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</si>
  <si>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</si>
  <si>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</si>
  <si>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</si>
  <si>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</si>
  <si>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</si>
  <si>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</si>
  <si>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</si>
  <si>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</si>
  <si>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</si>
  <si>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</si>
  <si>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</si>
  <si>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U.S. Revenues</t>
  </si>
  <si>
    <t>U.S. % of Revenues</t>
  </si>
  <si>
    <t>U.S. Revenue Growth Y/y</t>
  </si>
  <si>
    <t>COGS</t>
  </si>
  <si>
    <t>GP</t>
  </si>
  <si>
    <t>Gross Profit Margin</t>
  </si>
  <si>
    <t>R&amp;D as % of Revenue</t>
  </si>
  <si>
    <t>Operating Profit Margin</t>
  </si>
  <si>
    <t>Effective Tax Rate</t>
  </si>
  <si>
    <t>Net Profit Margin</t>
  </si>
  <si>
    <t xml:space="preserve">Cash &amp; CEs </t>
  </si>
  <si>
    <t>Marketable Securities</t>
  </si>
  <si>
    <t>Current Ratio</t>
  </si>
  <si>
    <t>Cash Ratio</t>
  </si>
  <si>
    <t>Ttl Asset Turnover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</si>
  <si>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</si>
  <si>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</si>
  <si>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</si>
  <si>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</si>
  <si>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</si>
  <si>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</si>
  <si>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</si>
  <si>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</si>
  <si>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</si>
  <si>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</si>
  <si>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</si>
  <si>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</si>
  <si>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</si>
  <si>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</si>
  <si>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</si>
  <si>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</si>
  <si>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</si>
  <si>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</si>
  <si>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</si>
  <si>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</si>
  <si>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</si>
  <si>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</si>
  <si>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</si>
  <si>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</si>
  <si>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</si>
  <si>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</si>
  <si>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</si>
  <si>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</si>
  <si>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</si>
  <si>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</si>
  <si>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</si>
  <si>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</si>
  <si>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</si>
  <si>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</si>
  <si>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</si>
  <si>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</si>
  <si>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</si>
  <si>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</si>
  <si>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</si>
  <si>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</si>
  <si>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</si>
  <si>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</si>
  <si>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</si>
  <si>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</si>
  <si>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</si>
  <si>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</si>
  <si>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</si>
  <si>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</si>
  <si>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</si>
  <si>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</si>
  <si>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</si>
  <si>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</si>
  <si>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VOO Historical Returns</t>
  </si>
  <si>
    <t>RDDT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</si>
  <si>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</si>
  <si>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</si>
  <si>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</si>
  <si>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</si>
  <si>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</si>
  <si>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</si>
  <si>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</si>
  <si>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</si>
  <si>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</si>
  <si>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</si>
  <si>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</si>
  <si>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</si>
  <si>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</si>
  <si>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</si>
  <si>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</si>
  <si>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</si>
  <si>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</si>
  <si>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</si>
  <si>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</si>
  <si>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</si>
  <si>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</si>
  <si>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</si>
  <si>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</si>
  <si>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</si>
  <si>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</si>
  <si>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</si>
  <si>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</si>
  <si>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</si>
  <si>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</si>
  <si>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</si>
  <si>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</si>
  <si>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</si>
  <si>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</si>
  <si>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</si>
  <si>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</si>
  <si>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</si>
  <si>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</si>
  <si>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</si>
  <si>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</si>
  <si>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</si>
  <si>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</si>
  <si>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</si>
  <si>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</si>
  <si>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</si>
  <si>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</si>
  <si>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</si>
  <si>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</si>
  <si>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</si>
  <si>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</si>
  <si>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</si>
  <si>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</si>
  <si>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</si>
  <si>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</si>
  <si>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</si>
  <si>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</si>
  <si>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</si>
  <si>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</si>
  <si>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</si>
  <si>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</si>
  <si>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</si>
  <si>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</si>
  <si>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</si>
  <si>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</si>
  <si>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</si>
  <si>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</si>
  <si>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</si>
  <si>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</si>
  <si>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</si>
  <si>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</si>
  <si>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</si>
  <si>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</si>
  <si>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</si>
  <si>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</si>
  <si>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</si>
  <si>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</si>
  <si>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</si>
  <si>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</si>
  <si>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</si>
  <si>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</si>
  <si>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</si>
  <si>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</si>
  <si>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</si>
  <si>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</si>
  <si>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</si>
  <si>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</si>
  <si>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</si>
  <si>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</si>
  <si>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</si>
  <si>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</si>
  <si>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</si>
  <si>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</si>
  <si>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</si>
  <si>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</si>
  <si>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</si>
  <si>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</si>
  <si>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</si>
  <si>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</si>
  <si>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</si>
  <si>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</si>
  <si>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</si>
  <si>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</si>
  <si>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</si>
  <si>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</si>
  <si>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</si>
  <si>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</si>
  <si>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</si>
  <si>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</si>
  <si>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</si>
  <si>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</si>
  <si>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</si>
  <si>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</si>
  <si>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</si>
  <si>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</si>
  <si>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</si>
  <si>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</si>
  <si>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</si>
  <si>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</si>
  <si>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</si>
  <si>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</si>
  <si>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</si>
  <si>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</si>
  <si>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</si>
  <si>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</si>
  <si>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</si>
  <si>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</si>
  <si>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</si>
  <si>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</si>
  <si>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</si>
  <si>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</si>
  <si>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</si>
  <si>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</si>
  <si>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</si>
  <si>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</si>
  <si>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</si>
  <si>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</si>
  <si>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</si>
  <si>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</si>
  <si>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</si>
  <si>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</si>
  <si>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</si>
  <si>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</si>
  <si>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</si>
  <si>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</si>
  <si>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</si>
  <si>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</si>
  <si>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</si>
  <si>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</si>
  <si>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</si>
  <si>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</si>
  <si>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</si>
  <si>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</si>
  <si>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</si>
  <si>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</si>
  <si>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</si>
  <si>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</si>
  <si>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</si>
  <si>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</si>
  <si>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</si>
  <si>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</si>
  <si>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</si>
  <si>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</si>
  <si>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</si>
  <si>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</si>
  <si>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</si>
  <si>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</si>
  <si>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</si>
  <si>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</si>
  <si>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</si>
  <si>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</si>
  <si>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</si>
  <si>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</si>
  <si>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</si>
  <si>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</si>
  <si>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</si>
  <si>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</si>
  <si>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</si>
  <si>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</si>
  <si>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</si>
  <si>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</si>
  <si>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</si>
  <si>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</si>
  <si>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</si>
  <si>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</si>
  <si>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</si>
  <si>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</si>
  <si>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</si>
  <si>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</si>
  <si>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</si>
  <si>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</si>
  <si>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</si>
  <si>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</si>
  <si>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</si>
  <si>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</si>
  <si>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</si>
  <si>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</si>
  <si>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</si>
  <si>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</si>
  <si>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</si>
  <si>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</si>
  <si>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</si>
  <si>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</si>
  <si>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</si>
  <si>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</si>
  <si>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</si>
  <si>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</si>
  <si>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</si>
  <si>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</si>
  <si>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</si>
  <si>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</si>
  <si>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</si>
  <si>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</si>
  <si>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</si>
  <si>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</si>
  <si>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</si>
  <si>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</si>
  <si>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</si>
  <si>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</si>
  <si>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</si>
  <si>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</si>
  <si>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</si>
  <si>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</si>
  <si>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</si>
  <si>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</si>
  <si>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</si>
  <si>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</si>
  <si>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</si>
  <si>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</si>
  <si>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</si>
  <si>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</si>
  <si>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</si>
  <si>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</si>
  <si>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</si>
  <si>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</si>
  <si>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</si>
  <si>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</si>
  <si>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</si>
  <si>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</si>
  <si>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</si>
  <si>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</si>
  <si>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</si>
  <si>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</si>
  <si>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</si>
  <si>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</si>
  <si>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</si>
  <si>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</si>
  <si>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</si>
  <si>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</si>
  <si>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</si>
  <si>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</si>
  <si>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</si>
  <si>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</si>
  <si>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</si>
  <si>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</si>
  <si>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</si>
  <si>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</si>
  <si>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</si>
  <si>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</si>
  <si>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</si>
  <si>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</si>
  <si>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</si>
  <si>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</si>
  <si>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</si>
  <si>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</si>
  <si>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</si>
  <si>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</si>
  <si>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</si>
  <si>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</si>
  <si>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</si>
  <si>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</si>
  <si>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</si>
  <si>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</si>
  <si>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</si>
  <si>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</si>
  <si>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</si>
  <si>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</si>
  <si>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</si>
  <si>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</si>
  <si>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</si>
  <si>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</si>
  <si>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</si>
  <si>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</si>
  <si>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</si>
  <si>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</si>
  <si>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</si>
  <si>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</si>
  <si>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</si>
  <si>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</si>
  <si>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</si>
  <si>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</si>
  <si>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</si>
  <si>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</si>
  <si>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</si>
  <si>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</si>
  <si>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</si>
  <si>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</si>
  <si>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</si>
  <si>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</si>
  <si>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</si>
  <si>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</si>
  <si>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</si>
  <si>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</si>
  <si>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</si>
  <si>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</si>
  <si>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</si>
  <si>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</si>
  <si>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</si>
  <si>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</si>
  <si>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</si>
  <si>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</si>
  <si>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</si>
  <si>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</si>
  <si>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</si>
  <si>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</si>
  <si>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</si>
  <si>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</si>
  <si>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</si>
  <si>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</si>
  <si>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</si>
  <si>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</si>
  <si>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</si>
  <si>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</si>
  <si>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</si>
  <si>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</si>
  <si>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</si>
  <si>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</si>
  <si>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</si>
  <si>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</si>
  <si>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</si>
  <si>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</si>
  <si>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</si>
  <si>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</si>
  <si>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</si>
  <si>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</si>
  <si>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</si>
  <si>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</si>
  <si>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</si>
  <si>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</si>
  <si>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</si>
  <si>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</si>
  <si>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</si>
  <si>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</si>
  <si>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</si>
  <si>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</si>
  <si>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</si>
  <si>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</si>
  <si>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</si>
  <si>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</si>
  <si>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</si>
  <si>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</si>
  <si>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</si>
  <si>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</si>
  <si>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</si>
  <si>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</si>
  <si>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</si>
  <si>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</si>
  <si>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</si>
  <si>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</si>
  <si>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</si>
  <si>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</si>
  <si>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</si>
  <si>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</si>
  <si>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</si>
  <si>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</si>
  <si>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</si>
  <si>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</si>
  <si>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</si>
  <si>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</si>
  <si>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</si>
  <si>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</si>
  <si>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</si>
  <si>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</si>
  <si>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</si>
  <si>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</si>
  <si>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</si>
  <si>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</si>
  <si>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</si>
  <si>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</si>
  <si>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</si>
  <si>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</si>
  <si>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</si>
  <si>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</si>
  <si>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</si>
  <si>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</si>
  <si>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</si>
  <si>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</si>
  <si>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</si>
  <si>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</si>
  <si>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</si>
  <si>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</si>
  <si>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</si>
  <si>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</si>
  <si>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r>
      <rPr>
        <i/>
        <sz val="11"/>
        <color theme="1"/>
        <rFont val="Calibre"/>
      </rPr>
      <t xml:space="preserve">391 </t>
    </r>
    <r>
      <rPr>
        <sz val="11"/>
        <color theme="1"/>
        <rFont val="Calibre"/>
      </rPr>
      <t xml:space="preserve">Trading Days (From: 3/21/24 - </t>
    </r>
    <r>
      <rPr>
        <i/>
        <sz val="11"/>
        <color theme="1"/>
        <rFont val="Calibre"/>
      </rPr>
      <t>10/12/25</t>
    </r>
    <r>
      <rPr>
        <sz val="11"/>
        <color theme="1"/>
        <rFont val="Calibre"/>
      </rPr>
      <t>)</t>
    </r>
  </si>
  <si>
    <t>RDDT Historical Returns</t>
  </si>
  <si>
    <t>Reddit, Inc. is a digital community platform that operates one of the largest and most engaged social media networks globally</t>
  </si>
  <si>
    <t>As of mid-2025, Reddit has over 110 million daily active unique users (DAUs) and more than 416 million weekly active users worldwide, with a user base that has grown substantially over the years</t>
  </si>
  <si>
    <t>Reddit currently ranks as the seventh most visited website globally</t>
  </si>
  <si>
    <t>Reddit, Inc. (RDDT)</t>
  </si>
  <si>
    <t>Founder(s): Steve Huffman, Alexis Ohanian, Aaron Swartz</t>
  </si>
  <si>
    <t>Founded: 2005</t>
  </si>
  <si>
    <t>Headquarters: San Francisco, CA</t>
  </si>
  <si>
    <t>Current CEO: Steven Huffman</t>
  </si>
  <si>
    <t>Employees: 2,233</t>
  </si>
  <si>
    <t>Industry: Internet Content &amp; Information</t>
  </si>
  <si>
    <t>Sector: Communication Services</t>
  </si>
  <si>
    <t>IPO: March 21, 2024 -- $6.4B valuation</t>
  </si>
  <si>
    <t>Fiscal Year: [January - December]</t>
  </si>
  <si>
    <t>Address: South Tower, 5th Floor San Francisco, CA 94107 U.S.</t>
  </si>
  <si>
    <t>(415) 494 - 8016</t>
  </si>
  <si>
    <t>https://redditinc.com/</t>
  </si>
  <si>
    <t>https://www.sec.gov/edgar/browse/?CIK=1713445&amp;owner=exclude</t>
  </si>
  <si>
    <t xml:space="preserve">"The heart of the internet" … Lol … Redditors </t>
  </si>
  <si>
    <t>https://investor.redditinc.com/overview/default.aspx</t>
  </si>
  <si>
    <t>https://seekingalpha.com/symbol/RDDT/earnings/transcripts</t>
  </si>
  <si>
    <t>https://stockanalysis.com/stocks/rddt/company/</t>
  </si>
  <si>
    <t>https://www.macrotrends.net/stocks/charts/RDDT/reddit/income-statement?freq=Q</t>
  </si>
  <si>
    <t>https://www.gurufocus.com/term/wacc/RDDT</t>
  </si>
  <si>
    <t>The platform is organized around a vast decentralized network of "subreddits," which are individual communities centered on diverse interests, topics, and hobbies, fostering authentic user engagement and interaction</t>
  </si>
  <si>
    <t>The "subreddits" are individually jannied by groups of "moderators" who work for free … lower SG&amp;A spend</t>
  </si>
  <si>
    <t>Reddit monetizes primarily through advertising, with ad revenue making up about 85% of revenues … Curious … investigate GOOG deal as well</t>
  </si>
  <si>
    <t>The advertising business leverages Reddit's unique user engagement and community-driven content as a high-intent platform for marketers … There has certainly been ad revenue pivoted into RDDT as a real ad serving platform</t>
  </si>
  <si>
    <t xml:space="preserve">In addition to advertising, Reddit has diversified revenue through AI licensing fees, which make up the other 15% of revenues </t>
  </si>
  <si>
    <t xml:space="preserve">Google Licenses Reddit user content as 1st source data to train models </t>
  </si>
  <si>
    <t>It is worth noting a significant portion of Reddit’s web traffic (and thus revenue) is influenced by Google search referrals serving users reddit links … The top placement SEO positions have historically have been a notable source of traffic for The Company</t>
  </si>
  <si>
    <t>There have been rumors and or reports of GOOG allegedly ranking RDDT lower in search results in order to drive more Search/Gemini Traffic … plausible but need to personally investigate</t>
  </si>
  <si>
    <t>The platform's design encourages meaningful conversations, knowledge sharing, and an authentic connection among users, driving time spent and engagement per user higher than many social platforms</t>
  </si>
  <si>
    <t>Managers report that the depth of engagement supports better-targeted advertising campaigns based on collected user data, and even the potential for scalable monetization like YouTube's Adsense creator monetization system</t>
  </si>
  <si>
    <t>The Company is one of the few available pure play "social media" forums available to the market … allows users to engage in conversations by sharing experiences, submitting links, uploading images and videos, and replying to one another</t>
  </si>
  <si>
    <t>The Company was founded in 2005 and is headquartered in San Francisco, California</t>
  </si>
  <si>
    <t xml:space="preserve">Advertising </t>
  </si>
  <si>
    <t>Other</t>
  </si>
  <si>
    <t>Advertising Growth Y/y</t>
  </si>
  <si>
    <t>Other Growth Y/y</t>
  </si>
  <si>
    <t>Advertising % of Ttl Revenues</t>
  </si>
  <si>
    <t>Other % of Ttl Revenues</t>
  </si>
  <si>
    <t xml:space="preserve">Rest of World </t>
  </si>
  <si>
    <t>Rest of World Revenue Growth Y/y</t>
  </si>
  <si>
    <t>[West of World % of Revenues</t>
  </si>
  <si>
    <t>R&amp;D</t>
  </si>
  <si>
    <t>Sales &amp; Marketing</t>
  </si>
  <si>
    <t>General &amp; Administrative</t>
  </si>
  <si>
    <t>OI</t>
  </si>
  <si>
    <t>Other Income</t>
  </si>
  <si>
    <t>Pretax Income</t>
  </si>
  <si>
    <t>Taxes</t>
  </si>
  <si>
    <t>NI</t>
  </si>
  <si>
    <t>EPS</t>
  </si>
  <si>
    <t>Logged-in DAU</t>
  </si>
  <si>
    <t>Logged-out DAU</t>
  </si>
  <si>
    <t xml:space="preserve">Ttl DAU </t>
  </si>
  <si>
    <t xml:space="preserve">Revenue Breakdown by Segment </t>
  </si>
  <si>
    <t>Ttl DAU Growth Y/y</t>
  </si>
  <si>
    <t>Ttl WAU Growth Y/y</t>
  </si>
  <si>
    <t xml:space="preserve">Ttl WAU </t>
  </si>
  <si>
    <t>Quarterly Average DAUs (logged-in v. logged-out)</t>
  </si>
  <si>
    <t>Institutional Ownership Snapshot (10/12/2025)</t>
  </si>
  <si>
    <t>More</t>
  </si>
  <si>
    <t>A/R</t>
  </si>
  <si>
    <t>Prepaid Expenses</t>
  </si>
  <si>
    <t>PP&amp;E</t>
  </si>
  <si>
    <t>LT Operating Lease</t>
  </si>
  <si>
    <t>Intangibles</t>
  </si>
  <si>
    <t>Goodwill</t>
  </si>
  <si>
    <t>Other LT Assets</t>
  </si>
  <si>
    <t>Ttl Assets</t>
  </si>
  <si>
    <t>A/P</t>
  </si>
  <si>
    <t>ST Operating Lease Liabilities</t>
  </si>
  <si>
    <t>Accrued ST Liabilities</t>
  </si>
  <si>
    <t>LT Operating Lease Liabilities</t>
  </si>
  <si>
    <t>Other LT Liabilities</t>
  </si>
  <si>
    <t>Ttl Liabilities</t>
  </si>
  <si>
    <t>SE</t>
  </si>
  <si>
    <t>Ttl L + SE</t>
  </si>
  <si>
    <t>Daily Active Users: 110M+</t>
  </si>
  <si>
    <t>Registered Exchange: NYSE</t>
  </si>
  <si>
    <t>Q3'25</t>
  </si>
  <si>
    <t>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</si>
</sst>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0" fontId="16" fillId="0" borderId="0" xfId="3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164" fontId="2" fillId="0" borderId="0" xfId="2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8" fillId="5" borderId="0" xfId="0" applyNumberFormat="1" applyFont="1" applyFill="1" applyAlignment="1">
      <alignment horizontal="center" vertical="center"/>
    </xf>
    <xf numFmtId="0" fontId="17" fillId="0" borderId="0" xfId="0" applyFont="1"/>
    <xf numFmtId="165" fontId="2" fillId="0" borderId="0" xfId="0" applyNumberFormat="1" applyFont="1"/>
    <xf numFmtId="165" fontId="3" fillId="0" borderId="0" xfId="0" applyNumberFormat="1" applyFont="1"/>
    <xf numFmtId="9" fontId="2" fillId="0" borderId="0" xfId="1" applyFont="1"/>
    <xf numFmtId="166" fontId="2" fillId="0" borderId="0" xfId="1" applyNumberFormat="1" applyFont="1"/>
    <xf numFmtId="166" fontId="3" fillId="0" borderId="0" xfId="1" applyNumberFormat="1" applyFont="1"/>
    <xf numFmtId="1" fontId="2" fillId="0" borderId="0" xfId="0" applyNumberFormat="1" applyFont="1"/>
    <xf numFmtId="1" fontId="3" fillId="0" borderId="0" xfId="0" applyNumberFormat="1" applyFont="1"/>
    <xf numFmtId="1" fontId="13" fillId="0" borderId="0" xfId="0" applyNumberFormat="1" applyFont="1"/>
    <xf numFmtId="1" fontId="12" fillId="0" borderId="0" xfId="0" applyNumberFormat="1" applyFont="1"/>
    <xf numFmtId="165" fontId="2" fillId="0" borderId="0" xfId="1" applyNumberFormat="1" applyFont="1"/>
    <xf numFmtId="165" fontId="3" fillId="0" borderId="0" xfId="1" applyNumberFormat="1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2" fillId="0" borderId="0" xfId="0" applyFont="1" applyAlignment="1">
      <alignment horizontal="right" vertical="top"/>
    </xf>
    <xf numFmtId="166" fontId="13" fillId="0" borderId="0" xfId="0" applyNumberFormat="1" applyFont="1"/>
    <xf numFmtId="166" fontId="12" fillId="0" borderId="0" xfId="0" applyNumberFormat="1" applyFont="1"/>
    <xf numFmtId="166" fontId="13" fillId="0" borderId="0" xfId="1" applyNumberFormat="1" applyFont="1"/>
    <xf numFmtId="165" fontId="12" fillId="0" borderId="0" xfId="0" applyNumberFormat="1" applyFont="1"/>
    <xf numFmtId="165" fontId="13" fillId="0" borderId="0" xfId="0" applyNumberFormat="1" applyFont="1"/>
    <xf numFmtId="0" fontId="13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26108"/>
      <color rgb="FFF76914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(RDDT) Revenue by Segment (in $ millions)</a:t>
            </a:r>
          </a:p>
        </c:rich>
      </c:tx>
      <c:layout>
        <c:manualLayout>
          <c:xMode val="edge"/>
          <c:yMode val="edge"/>
          <c:x val="0.35462887011350358"/>
          <c:y val="1.1810813460012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Model!$B$4</c:f>
              <c:strCache>
                <c:ptCount val="1"/>
                <c:pt idx="0">
                  <c:v>Advertising </c:v>
                </c:pt>
              </c:strCache>
            </c:strRef>
          </c:tx>
          <c:spPr>
            <a:solidFill>
              <a:srgbClr val="F26108"/>
            </a:solidFill>
            <a:ln>
              <a:noFill/>
            </a:ln>
            <a:effectLst/>
          </c:spPr>
          <c:invertIfNegative val="0"/>
          <c:cat>
            <c:strRef>
              <c:f>Model!$C$1:$M$1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Model!$C$4:$M$4</c:f>
              <c:numCache>
                <c:formatCode>0.0</c:formatCode>
                <c:ptCount val="11"/>
                <c:pt idx="0">
                  <c:v>160.08000000000001</c:v>
                </c:pt>
                <c:pt idx="1">
                  <c:v>179.48</c:v>
                </c:pt>
                <c:pt idx="2">
                  <c:v>202.37200000000001</c:v>
                </c:pt>
                <c:pt idx="3">
                  <c:v>246.85000000000002</c:v>
                </c:pt>
                <c:pt idx="4">
                  <c:v>222.68</c:v>
                </c:pt>
                <c:pt idx="5">
                  <c:v>253.125</c:v>
                </c:pt>
                <c:pt idx="6">
                  <c:v>315.10399999999998</c:v>
                </c:pt>
                <c:pt idx="7">
                  <c:v>394.54699999999991</c:v>
                </c:pt>
                <c:pt idx="8">
                  <c:v>358.63</c:v>
                </c:pt>
                <c:pt idx="9">
                  <c:v>464.78</c:v>
                </c:pt>
                <c:pt idx="10">
                  <c:v>549.34199999999998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1"/>
          <c:tx>
            <c:strRef>
              <c:f>Model!$B$5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A5A5A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Model!$C$1:$M$1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Model!$C$5:$M$5</c:f>
              <c:numCache>
                <c:formatCode>0.0</c:formatCode>
                <c:ptCount val="11"/>
                <c:pt idx="0">
                  <c:v>3.66</c:v>
                </c:pt>
                <c:pt idx="1">
                  <c:v>3.5489999999999999</c:v>
                </c:pt>
                <c:pt idx="2">
                  <c:v>5.1360000000000001</c:v>
                </c:pt>
                <c:pt idx="3">
                  <c:v>1.902000000000001</c:v>
                </c:pt>
                <c:pt idx="4">
                  <c:v>20.28</c:v>
                </c:pt>
                <c:pt idx="5">
                  <c:v>28.059000000000001</c:v>
                </c:pt>
                <c:pt idx="6">
                  <c:v>33.247</c:v>
                </c:pt>
                <c:pt idx="7">
                  <c:v>33.162999999999997</c:v>
                </c:pt>
                <c:pt idx="8">
                  <c:v>33.729999999999997</c:v>
                </c:pt>
                <c:pt idx="9">
                  <c:v>34.840000000000003</c:v>
                </c:pt>
                <c:pt idx="10">
                  <c:v>35.56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90478688735183"/>
          <c:y val="5.2058346839546202E-2"/>
          <c:w val="0.71065082600769947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(RDDT) Quarterly Ttl Revenues, Net Income, Free Cash Flows (in $ millions)</a:t>
            </a:r>
            <a:endParaRPr lang="en-US"/>
          </a:p>
        </c:rich>
      </c:tx>
      <c:layout>
        <c:manualLayout>
          <c:xMode val="edge"/>
          <c:yMode val="edge"/>
          <c:x val="0.23110067854914065"/>
          <c:y val="1.56583632818367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6346603830463067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Model!$C$45:$M$45</c:f>
              <c:numCache>
                <c:formatCode>0.0</c:formatCode>
                <c:ptCount val="11"/>
                <c:pt idx="0">
                  <c:v>-60.865999999999971</c:v>
                </c:pt>
                <c:pt idx="1">
                  <c:v>-41.097000000000008</c:v>
                </c:pt>
                <c:pt idx="2">
                  <c:v>-7.383000000000008</c:v>
                </c:pt>
                <c:pt idx="3">
                  <c:v>17.523000000000017</c:v>
                </c:pt>
                <c:pt idx="4">
                  <c:v>-575.06900000000007</c:v>
                </c:pt>
                <c:pt idx="5">
                  <c:v>-10.098999999999959</c:v>
                </c:pt>
                <c:pt idx="6">
                  <c:v>29.84700000000003</c:v>
                </c:pt>
                <c:pt idx="7">
                  <c:v>71.044999999999902</c:v>
                </c:pt>
                <c:pt idx="8">
                  <c:v>26.155999999999985</c:v>
                </c:pt>
                <c:pt idx="9">
                  <c:v>89.289999999999935</c:v>
                </c:pt>
                <c:pt idx="10">
                  <c:v>162.65400000000002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Model!$C$86:$M$86</c:f>
              <c:numCache>
                <c:formatCode>General</c:formatCode>
                <c:ptCount val="11"/>
                <c:pt idx="0">
                  <c:v>3.6999999999999997</c:v>
                </c:pt>
                <c:pt idx="1">
                  <c:v>-54.9</c:v>
                </c:pt>
                <c:pt idx="2">
                  <c:v>-11.6</c:v>
                </c:pt>
                <c:pt idx="3">
                  <c:v>-22</c:v>
                </c:pt>
                <c:pt idx="4">
                  <c:v>29.200000000000003</c:v>
                </c:pt>
                <c:pt idx="5">
                  <c:v>27.2</c:v>
                </c:pt>
                <c:pt idx="6">
                  <c:v>70.199999999999989</c:v>
                </c:pt>
                <c:pt idx="7">
                  <c:v>89.2</c:v>
                </c:pt>
                <c:pt idx="8">
                  <c:v>126.6</c:v>
                </c:pt>
                <c:pt idx="9">
                  <c:v>110.8</c:v>
                </c:pt>
                <c:pt idx="10" formatCode="0.0">
                  <c:v>183.101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702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Model!$C$1:$M$1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Model!$C$35:$M$35</c:f>
              <c:numCache>
                <c:formatCode>0.0</c:formatCode>
                <c:ptCount val="11"/>
                <c:pt idx="0">
                  <c:v>163.74</c:v>
                </c:pt>
                <c:pt idx="1">
                  <c:v>183.029</c:v>
                </c:pt>
                <c:pt idx="2">
                  <c:v>207.50800000000001</c:v>
                </c:pt>
                <c:pt idx="3">
                  <c:v>248.75200000000001</c:v>
                </c:pt>
                <c:pt idx="4">
                  <c:v>242.96</c:v>
                </c:pt>
                <c:pt idx="5">
                  <c:v>281.18400000000003</c:v>
                </c:pt>
                <c:pt idx="6">
                  <c:v>348.351</c:v>
                </c:pt>
                <c:pt idx="7">
                  <c:v>427.70999999999992</c:v>
                </c:pt>
                <c:pt idx="8">
                  <c:v>392.36</c:v>
                </c:pt>
                <c:pt idx="9">
                  <c:v>499.62</c:v>
                </c:pt>
                <c:pt idx="10">
                  <c:v>584.90200000000004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  <c:max val="600"/>
          <c:min val="-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277995733853525"/>
          <c:y val="6.8226694468138616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(RDDT)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Analysis'!$Q$252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24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Analysis'!$Q$254:$Q$362</c:f>
              <c:numCache>
                <c:formatCode>0.00%</c:formatCode>
                <c:ptCount val="109"/>
                <c:pt idx="0">
                  <c:v>-0.13500000000000006</c:v>
                </c:pt>
                <c:pt idx="1">
                  <c:v>-0.13250000000000006</c:v>
                </c:pt>
                <c:pt idx="2">
                  <c:v>-0.13000000000000006</c:v>
                </c:pt>
                <c:pt idx="3">
                  <c:v>-0.12750000000000006</c:v>
                </c:pt>
                <c:pt idx="4">
                  <c:v>-0.12500000000000006</c:v>
                </c:pt>
                <c:pt idx="5">
                  <c:v>-0.12250000000000007</c:v>
                </c:pt>
                <c:pt idx="6">
                  <c:v>-0.12000000000000006</c:v>
                </c:pt>
                <c:pt idx="7">
                  <c:v>-0.11750000000000006</c:v>
                </c:pt>
                <c:pt idx="8">
                  <c:v>-0.11500000000000006</c:v>
                </c:pt>
                <c:pt idx="9">
                  <c:v>-0.11250000000000006</c:v>
                </c:pt>
                <c:pt idx="10">
                  <c:v>-0.11000000000000006</c:v>
                </c:pt>
                <c:pt idx="11">
                  <c:v>-0.10750000000000005</c:v>
                </c:pt>
                <c:pt idx="12">
                  <c:v>-0.10500000000000005</c:v>
                </c:pt>
                <c:pt idx="13">
                  <c:v>-0.10250000000000005</c:v>
                </c:pt>
                <c:pt idx="14">
                  <c:v>-0.10000000000000005</c:v>
                </c:pt>
                <c:pt idx="15">
                  <c:v>-9.7500000000000045E-2</c:v>
                </c:pt>
                <c:pt idx="16">
                  <c:v>-9.5000000000000043E-2</c:v>
                </c:pt>
                <c:pt idx="17">
                  <c:v>-9.2500000000000041E-2</c:v>
                </c:pt>
                <c:pt idx="18">
                  <c:v>-9.0000000000000038E-2</c:v>
                </c:pt>
                <c:pt idx="19">
                  <c:v>-8.7500000000000036E-2</c:v>
                </c:pt>
                <c:pt idx="20">
                  <c:v>-8.5000000000000034E-2</c:v>
                </c:pt>
                <c:pt idx="21">
                  <c:v>-8.2500000000000032E-2</c:v>
                </c:pt>
                <c:pt idx="22">
                  <c:v>-8.0000000000000029E-2</c:v>
                </c:pt>
                <c:pt idx="23">
                  <c:v>-7.7500000000000027E-2</c:v>
                </c:pt>
                <c:pt idx="24">
                  <c:v>-7.5000000000000025E-2</c:v>
                </c:pt>
                <c:pt idx="25">
                  <c:v>-7.2500000000000023E-2</c:v>
                </c:pt>
                <c:pt idx="26">
                  <c:v>-7.0000000000000021E-2</c:v>
                </c:pt>
                <c:pt idx="27">
                  <c:v>-6.7500000000000018E-2</c:v>
                </c:pt>
                <c:pt idx="28">
                  <c:v>-6.5000000000000016E-2</c:v>
                </c:pt>
                <c:pt idx="29">
                  <c:v>-6.2500000000000014E-2</c:v>
                </c:pt>
                <c:pt idx="30">
                  <c:v>-6.0000000000000019E-2</c:v>
                </c:pt>
                <c:pt idx="31">
                  <c:v>-5.7500000000000016E-2</c:v>
                </c:pt>
                <c:pt idx="32">
                  <c:v>-5.5000000000000014E-2</c:v>
                </c:pt>
                <c:pt idx="33">
                  <c:v>-5.2500000000000012E-2</c:v>
                </c:pt>
                <c:pt idx="34">
                  <c:v>-5.000000000000001E-2</c:v>
                </c:pt>
                <c:pt idx="35">
                  <c:v>-4.7500000000000007E-2</c:v>
                </c:pt>
                <c:pt idx="36">
                  <c:v>-4.5000000000000005E-2</c:v>
                </c:pt>
                <c:pt idx="37">
                  <c:v>-4.2500000000000003E-2</c:v>
                </c:pt>
                <c:pt idx="38">
                  <c:v>-0.04</c:v>
                </c:pt>
                <c:pt idx="39">
                  <c:v>-3.7499999999999999E-2</c:v>
                </c:pt>
                <c:pt idx="40">
                  <c:v>-3.4999999999999996E-2</c:v>
                </c:pt>
                <c:pt idx="41">
                  <c:v>-3.2499999999999994E-2</c:v>
                </c:pt>
                <c:pt idx="42">
                  <c:v>-2.9999999999999995E-2</c:v>
                </c:pt>
                <c:pt idx="43">
                  <c:v>-2.7499999999999997E-2</c:v>
                </c:pt>
                <c:pt idx="44">
                  <c:v>-2.4999999999999998E-2</c:v>
                </c:pt>
                <c:pt idx="45">
                  <c:v>-2.2499999999999999E-2</c:v>
                </c:pt>
                <c:pt idx="46">
                  <c:v>-0.02</c:v>
                </c:pt>
                <c:pt idx="47">
                  <c:v>-1.7500000000000002E-2</c:v>
                </c:pt>
                <c:pt idx="48">
                  <c:v>-1.5000000000000001E-2</c:v>
                </c:pt>
                <c:pt idx="49">
                  <c:v>-1.2500000000000001E-2</c:v>
                </c:pt>
                <c:pt idx="50">
                  <c:v>-0.01</c:v>
                </c:pt>
                <c:pt idx="51">
                  <c:v>-7.4999999999999997E-3</c:v>
                </c:pt>
                <c:pt idx="52">
                  <c:v>-5.0000000000000001E-3</c:v>
                </c:pt>
                <c:pt idx="53">
                  <c:v>-2.5000000000000001E-3</c:v>
                </c:pt>
                <c:pt idx="54">
                  <c:v>0</c:v>
                </c:pt>
                <c:pt idx="55">
                  <c:v>2.5000000000000001E-3</c:v>
                </c:pt>
                <c:pt idx="56">
                  <c:v>5.0000000000000001E-3</c:v>
                </c:pt>
                <c:pt idx="57">
                  <c:v>7.4999999999999997E-3</c:v>
                </c:pt>
                <c:pt idx="58">
                  <c:v>0.01</c:v>
                </c:pt>
                <c:pt idx="59">
                  <c:v>1.2500000000000001E-2</c:v>
                </c:pt>
                <c:pt idx="60">
                  <c:v>1.5000000000000001E-2</c:v>
                </c:pt>
                <c:pt idx="61">
                  <c:v>1.7500000000000002E-2</c:v>
                </c:pt>
                <c:pt idx="62">
                  <c:v>0.02</c:v>
                </c:pt>
                <c:pt idx="63">
                  <c:v>2.2499999999999999E-2</c:v>
                </c:pt>
                <c:pt idx="64">
                  <c:v>2.4999999999999998E-2</c:v>
                </c:pt>
                <c:pt idx="65">
                  <c:v>2.7499999999999997E-2</c:v>
                </c:pt>
                <c:pt idx="66">
                  <c:v>2.9999999999999995E-2</c:v>
                </c:pt>
                <c:pt idx="67">
                  <c:v>3.2499999999999994E-2</c:v>
                </c:pt>
                <c:pt idx="68">
                  <c:v>3.4999999999999996E-2</c:v>
                </c:pt>
                <c:pt idx="69">
                  <c:v>3.7499999999999999E-2</c:v>
                </c:pt>
                <c:pt idx="70">
                  <c:v>0.04</c:v>
                </c:pt>
                <c:pt idx="71">
                  <c:v>4.2500000000000003E-2</c:v>
                </c:pt>
                <c:pt idx="72">
                  <c:v>4.5000000000000005E-2</c:v>
                </c:pt>
                <c:pt idx="73">
                  <c:v>4.7500000000000007E-2</c:v>
                </c:pt>
                <c:pt idx="74">
                  <c:v>5.000000000000001E-2</c:v>
                </c:pt>
                <c:pt idx="75">
                  <c:v>5.2500000000000012E-2</c:v>
                </c:pt>
                <c:pt idx="76">
                  <c:v>5.5000000000000014E-2</c:v>
                </c:pt>
                <c:pt idx="77">
                  <c:v>5.7500000000000016E-2</c:v>
                </c:pt>
                <c:pt idx="78">
                  <c:v>6.0000000000000019E-2</c:v>
                </c:pt>
                <c:pt idx="79">
                  <c:v>6.2500000000000014E-2</c:v>
                </c:pt>
                <c:pt idx="80">
                  <c:v>6.5000000000000016E-2</c:v>
                </c:pt>
                <c:pt idx="81">
                  <c:v>6.7500000000000018E-2</c:v>
                </c:pt>
                <c:pt idx="82">
                  <c:v>7.0000000000000021E-2</c:v>
                </c:pt>
                <c:pt idx="83">
                  <c:v>7.2500000000000023E-2</c:v>
                </c:pt>
                <c:pt idx="84">
                  <c:v>7.5000000000000025E-2</c:v>
                </c:pt>
                <c:pt idx="85">
                  <c:v>7.7500000000000027E-2</c:v>
                </c:pt>
                <c:pt idx="86">
                  <c:v>8.0000000000000029E-2</c:v>
                </c:pt>
                <c:pt idx="87">
                  <c:v>8.2500000000000032E-2</c:v>
                </c:pt>
                <c:pt idx="88">
                  <c:v>8.5000000000000034E-2</c:v>
                </c:pt>
                <c:pt idx="89">
                  <c:v>8.7500000000000036E-2</c:v>
                </c:pt>
                <c:pt idx="90">
                  <c:v>9.0000000000000038E-2</c:v>
                </c:pt>
                <c:pt idx="91">
                  <c:v>9.2500000000000041E-2</c:v>
                </c:pt>
                <c:pt idx="92">
                  <c:v>9.5000000000000043E-2</c:v>
                </c:pt>
                <c:pt idx="93">
                  <c:v>9.7500000000000045E-2</c:v>
                </c:pt>
                <c:pt idx="94">
                  <c:v>0.10000000000000005</c:v>
                </c:pt>
                <c:pt idx="95">
                  <c:v>0.10250000000000005</c:v>
                </c:pt>
                <c:pt idx="96">
                  <c:v>0.10500000000000005</c:v>
                </c:pt>
                <c:pt idx="97">
                  <c:v>0.10750000000000005</c:v>
                </c:pt>
                <c:pt idx="98">
                  <c:v>0.11000000000000006</c:v>
                </c:pt>
                <c:pt idx="99">
                  <c:v>0.11250000000000006</c:v>
                </c:pt>
                <c:pt idx="100">
                  <c:v>0.11500000000000006</c:v>
                </c:pt>
                <c:pt idx="101">
                  <c:v>0.11750000000000006</c:v>
                </c:pt>
                <c:pt idx="102">
                  <c:v>0.12000000000000006</c:v>
                </c:pt>
                <c:pt idx="103">
                  <c:v>0.12250000000000007</c:v>
                </c:pt>
                <c:pt idx="104">
                  <c:v>0.12500000000000006</c:v>
                </c:pt>
                <c:pt idx="105">
                  <c:v>0.12750000000000006</c:v>
                </c:pt>
                <c:pt idx="106">
                  <c:v>0.13000000000000006</c:v>
                </c:pt>
                <c:pt idx="107">
                  <c:v>0.13250000000000006</c:v>
                </c:pt>
                <c:pt idx="108">
                  <c:v>0.13500000000000006</c:v>
                </c:pt>
              </c:numCache>
            </c:numRef>
          </c:xVal>
          <c:yVal>
            <c:numRef>
              <c:f>'Notes | Quant Analysis'!$R$254:$R$362</c:f>
              <c:numCache>
                <c:formatCode>General</c:formatCode>
                <c:ptCount val="10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6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8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2</c:v>
                </c:pt>
                <c:pt idx="42">
                  <c:v>10</c:v>
                </c:pt>
                <c:pt idx="43">
                  <c:v>7</c:v>
                </c:pt>
                <c:pt idx="44">
                  <c:v>6</c:v>
                </c:pt>
                <c:pt idx="45">
                  <c:v>9</c:v>
                </c:pt>
                <c:pt idx="46">
                  <c:v>5</c:v>
                </c:pt>
                <c:pt idx="47">
                  <c:v>10</c:v>
                </c:pt>
                <c:pt idx="48">
                  <c:v>15</c:v>
                </c:pt>
                <c:pt idx="49">
                  <c:v>10</c:v>
                </c:pt>
                <c:pt idx="50">
                  <c:v>17</c:v>
                </c:pt>
                <c:pt idx="51">
                  <c:v>8</c:v>
                </c:pt>
                <c:pt idx="52">
                  <c:v>7</c:v>
                </c:pt>
                <c:pt idx="53">
                  <c:v>10</c:v>
                </c:pt>
                <c:pt idx="54">
                  <c:v>12</c:v>
                </c:pt>
                <c:pt idx="55">
                  <c:v>13</c:v>
                </c:pt>
                <c:pt idx="56">
                  <c:v>12</c:v>
                </c:pt>
                <c:pt idx="57">
                  <c:v>7</c:v>
                </c:pt>
                <c:pt idx="58">
                  <c:v>11</c:v>
                </c:pt>
                <c:pt idx="59">
                  <c:v>6</c:v>
                </c:pt>
                <c:pt idx="60">
                  <c:v>7</c:v>
                </c:pt>
                <c:pt idx="61">
                  <c:v>12</c:v>
                </c:pt>
                <c:pt idx="62">
                  <c:v>4</c:v>
                </c:pt>
                <c:pt idx="63">
                  <c:v>9</c:v>
                </c:pt>
                <c:pt idx="64">
                  <c:v>10</c:v>
                </c:pt>
                <c:pt idx="65">
                  <c:v>14</c:v>
                </c:pt>
                <c:pt idx="66">
                  <c:v>10</c:v>
                </c:pt>
                <c:pt idx="67">
                  <c:v>6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7</c:v>
                </c:pt>
                <c:pt idx="76">
                  <c:v>0</c:v>
                </c:pt>
                <c:pt idx="77">
                  <c:v>5</c:v>
                </c:pt>
                <c:pt idx="78">
                  <c:v>6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Analysis'!$T$252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Analysis'!$T$254:$T$364</c:f>
              <c:numCache>
                <c:formatCode>0.00%</c:formatCode>
                <c:ptCount val="111"/>
                <c:pt idx="0">
                  <c:v>-0.13750000000000007</c:v>
                </c:pt>
                <c:pt idx="1">
                  <c:v>-0.13500000000000006</c:v>
                </c:pt>
                <c:pt idx="2">
                  <c:v>-0.13250000000000006</c:v>
                </c:pt>
                <c:pt idx="3">
                  <c:v>-0.13000000000000006</c:v>
                </c:pt>
                <c:pt idx="4">
                  <c:v>-0.12750000000000006</c:v>
                </c:pt>
                <c:pt idx="5">
                  <c:v>-0.12500000000000006</c:v>
                </c:pt>
                <c:pt idx="6">
                  <c:v>-0.12250000000000007</c:v>
                </c:pt>
                <c:pt idx="7">
                  <c:v>-0.12000000000000006</c:v>
                </c:pt>
                <c:pt idx="8">
                  <c:v>-0.11750000000000006</c:v>
                </c:pt>
                <c:pt idx="9">
                  <c:v>-0.11500000000000006</c:v>
                </c:pt>
                <c:pt idx="10">
                  <c:v>-0.11250000000000006</c:v>
                </c:pt>
                <c:pt idx="11">
                  <c:v>-0.11000000000000006</c:v>
                </c:pt>
                <c:pt idx="12">
                  <c:v>-0.10750000000000005</c:v>
                </c:pt>
                <c:pt idx="13">
                  <c:v>-0.10500000000000005</c:v>
                </c:pt>
                <c:pt idx="14">
                  <c:v>-0.10250000000000005</c:v>
                </c:pt>
                <c:pt idx="15">
                  <c:v>-0.10000000000000005</c:v>
                </c:pt>
                <c:pt idx="16">
                  <c:v>-9.7500000000000045E-2</c:v>
                </c:pt>
                <c:pt idx="17">
                  <c:v>-9.5000000000000043E-2</c:v>
                </c:pt>
                <c:pt idx="18">
                  <c:v>-9.2500000000000041E-2</c:v>
                </c:pt>
                <c:pt idx="19">
                  <c:v>-9.0000000000000038E-2</c:v>
                </c:pt>
                <c:pt idx="20">
                  <c:v>-8.7500000000000036E-2</c:v>
                </c:pt>
                <c:pt idx="21">
                  <c:v>-8.5000000000000034E-2</c:v>
                </c:pt>
                <c:pt idx="22">
                  <c:v>-8.2500000000000032E-2</c:v>
                </c:pt>
                <c:pt idx="23">
                  <c:v>-8.0000000000000029E-2</c:v>
                </c:pt>
                <c:pt idx="24">
                  <c:v>-7.7500000000000027E-2</c:v>
                </c:pt>
                <c:pt idx="25">
                  <c:v>-7.5000000000000025E-2</c:v>
                </c:pt>
                <c:pt idx="26">
                  <c:v>-7.2500000000000023E-2</c:v>
                </c:pt>
                <c:pt idx="27">
                  <c:v>-7.0000000000000021E-2</c:v>
                </c:pt>
                <c:pt idx="28">
                  <c:v>-6.7500000000000018E-2</c:v>
                </c:pt>
                <c:pt idx="29">
                  <c:v>-6.5000000000000016E-2</c:v>
                </c:pt>
                <c:pt idx="30">
                  <c:v>-6.2500000000000014E-2</c:v>
                </c:pt>
                <c:pt idx="31">
                  <c:v>-6.0000000000000019E-2</c:v>
                </c:pt>
                <c:pt idx="32">
                  <c:v>-5.7500000000000016E-2</c:v>
                </c:pt>
                <c:pt idx="33">
                  <c:v>-5.5000000000000014E-2</c:v>
                </c:pt>
                <c:pt idx="34">
                  <c:v>-5.2500000000000012E-2</c:v>
                </c:pt>
                <c:pt idx="35">
                  <c:v>-5.000000000000001E-2</c:v>
                </c:pt>
                <c:pt idx="36">
                  <c:v>-4.7500000000000007E-2</c:v>
                </c:pt>
                <c:pt idx="37">
                  <c:v>-4.5000000000000005E-2</c:v>
                </c:pt>
                <c:pt idx="38">
                  <c:v>-4.2500000000000003E-2</c:v>
                </c:pt>
                <c:pt idx="39">
                  <c:v>-0.04</c:v>
                </c:pt>
                <c:pt idx="40">
                  <c:v>-3.7499999999999999E-2</c:v>
                </c:pt>
                <c:pt idx="41">
                  <c:v>-3.4999999999999996E-2</c:v>
                </c:pt>
                <c:pt idx="42">
                  <c:v>-3.2499999999999994E-2</c:v>
                </c:pt>
                <c:pt idx="43">
                  <c:v>-2.9999999999999995E-2</c:v>
                </c:pt>
                <c:pt idx="44">
                  <c:v>-2.7499999999999997E-2</c:v>
                </c:pt>
                <c:pt idx="45">
                  <c:v>-2.4999999999999998E-2</c:v>
                </c:pt>
                <c:pt idx="46">
                  <c:v>-2.2499999999999999E-2</c:v>
                </c:pt>
                <c:pt idx="47">
                  <c:v>-0.02</c:v>
                </c:pt>
                <c:pt idx="48">
                  <c:v>-1.7500000000000002E-2</c:v>
                </c:pt>
                <c:pt idx="49">
                  <c:v>-1.5000000000000001E-2</c:v>
                </c:pt>
                <c:pt idx="50">
                  <c:v>-1.2500000000000001E-2</c:v>
                </c:pt>
                <c:pt idx="51">
                  <c:v>-0.01</c:v>
                </c:pt>
                <c:pt idx="52">
                  <c:v>-7.4999999999999997E-3</c:v>
                </c:pt>
                <c:pt idx="53">
                  <c:v>-5.0000000000000001E-3</c:v>
                </c:pt>
                <c:pt idx="54">
                  <c:v>-2.5000000000000001E-3</c:v>
                </c:pt>
                <c:pt idx="55">
                  <c:v>0</c:v>
                </c:pt>
                <c:pt idx="56">
                  <c:v>2.5000000000000001E-3</c:v>
                </c:pt>
                <c:pt idx="57">
                  <c:v>5.0000000000000001E-3</c:v>
                </c:pt>
                <c:pt idx="58">
                  <c:v>7.4999999999999997E-3</c:v>
                </c:pt>
                <c:pt idx="59">
                  <c:v>0.01</c:v>
                </c:pt>
                <c:pt idx="60">
                  <c:v>1.2500000000000001E-2</c:v>
                </c:pt>
                <c:pt idx="61">
                  <c:v>1.5000000000000001E-2</c:v>
                </c:pt>
                <c:pt idx="62">
                  <c:v>1.7500000000000002E-2</c:v>
                </c:pt>
                <c:pt idx="63">
                  <c:v>0.02</c:v>
                </c:pt>
                <c:pt idx="64">
                  <c:v>2.2499999999999999E-2</c:v>
                </c:pt>
                <c:pt idx="65">
                  <c:v>2.4999999999999998E-2</c:v>
                </c:pt>
                <c:pt idx="66">
                  <c:v>2.7499999999999997E-2</c:v>
                </c:pt>
                <c:pt idx="67">
                  <c:v>2.9999999999999995E-2</c:v>
                </c:pt>
                <c:pt idx="68">
                  <c:v>3.2499999999999994E-2</c:v>
                </c:pt>
                <c:pt idx="69">
                  <c:v>3.4999999999999996E-2</c:v>
                </c:pt>
                <c:pt idx="70">
                  <c:v>3.7499999999999999E-2</c:v>
                </c:pt>
                <c:pt idx="71">
                  <c:v>0.04</c:v>
                </c:pt>
                <c:pt idx="72">
                  <c:v>4.2500000000000003E-2</c:v>
                </c:pt>
                <c:pt idx="73">
                  <c:v>4.5000000000000005E-2</c:v>
                </c:pt>
                <c:pt idx="74">
                  <c:v>4.7500000000000007E-2</c:v>
                </c:pt>
                <c:pt idx="75">
                  <c:v>5.000000000000001E-2</c:v>
                </c:pt>
                <c:pt idx="76">
                  <c:v>5.2500000000000012E-2</c:v>
                </c:pt>
                <c:pt idx="77">
                  <c:v>5.5000000000000014E-2</c:v>
                </c:pt>
                <c:pt idx="78">
                  <c:v>5.7500000000000016E-2</c:v>
                </c:pt>
                <c:pt idx="79">
                  <c:v>6.0000000000000019E-2</c:v>
                </c:pt>
                <c:pt idx="80">
                  <c:v>6.2500000000000014E-2</c:v>
                </c:pt>
                <c:pt idx="81">
                  <c:v>6.5000000000000016E-2</c:v>
                </c:pt>
                <c:pt idx="82">
                  <c:v>6.7500000000000018E-2</c:v>
                </c:pt>
                <c:pt idx="83">
                  <c:v>7.0000000000000021E-2</c:v>
                </c:pt>
                <c:pt idx="84">
                  <c:v>7.2500000000000023E-2</c:v>
                </c:pt>
                <c:pt idx="85">
                  <c:v>7.5000000000000025E-2</c:v>
                </c:pt>
                <c:pt idx="86">
                  <c:v>7.7500000000000027E-2</c:v>
                </c:pt>
                <c:pt idx="87">
                  <c:v>8.0000000000000029E-2</c:v>
                </c:pt>
                <c:pt idx="88">
                  <c:v>8.2500000000000032E-2</c:v>
                </c:pt>
                <c:pt idx="89">
                  <c:v>8.5000000000000034E-2</c:v>
                </c:pt>
                <c:pt idx="90">
                  <c:v>8.7500000000000036E-2</c:v>
                </c:pt>
                <c:pt idx="91">
                  <c:v>9.0000000000000038E-2</c:v>
                </c:pt>
                <c:pt idx="92">
                  <c:v>9.2500000000000041E-2</c:v>
                </c:pt>
                <c:pt idx="93">
                  <c:v>9.5000000000000043E-2</c:v>
                </c:pt>
                <c:pt idx="94">
                  <c:v>9.7500000000000045E-2</c:v>
                </c:pt>
                <c:pt idx="95">
                  <c:v>0.10000000000000005</c:v>
                </c:pt>
                <c:pt idx="96">
                  <c:v>0.10250000000000005</c:v>
                </c:pt>
                <c:pt idx="97">
                  <c:v>0.10500000000000005</c:v>
                </c:pt>
                <c:pt idx="98">
                  <c:v>0.10750000000000005</c:v>
                </c:pt>
                <c:pt idx="99">
                  <c:v>0.11000000000000006</c:v>
                </c:pt>
                <c:pt idx="100">
                  <c:v>0.11250000000000006</c:v>
                </c:pt>
                <c:pt idx="101">
                  <c:v>0.11500000000000006</c:v>
                </c:pt>
                <c:pt idx="102">
                  <c:v>0.11750000000000006</c:v>
                </c:pt>
                <c:pt idx="103">
                  <c:v>0.12000000000000006</c:v>
                </c:pt>
                <c:pt idx="104">
                  <c:v>0.12250000000000007</c:v>
                </c:pt>
                <c:pt idx="105">
                  <c:v>0.12500000000000006</c:v>
                </c:pt>
                <c:pt idx="106">
                  <c:v>0.12750000000000006</c:v>
                </c:pt>
                <c:pt idx="107">
                  <c:v>0.13000000000000006</c:v>
                </c:pt>
                <c:pt idx="108">
                  <c:v>0.13250000000000006</c:v>
                </c:pt>
                <c:pt idx="109">
                  <c:v>0.13500000000000006</c:v>
                </c:pt>
                <c:pt idx="110">
                  <c:v>0.13750000000000007</c:v>
                </c:pt>
              </c:numCache>
            </c:numRef>
          </c:xVal>
          <c:yVal>
            <c:numRef>
              <c:f>'Notes | Quant Analysis'!$U$254:$U$364</c:f>
              <c:numCache>
                <c:formatCode>General</c:formatCode>
                <c:ptCount val="111"/>
                <c:pt idx="0">
                  <c:v>5.7777474565092975E-2</c:v>
                </c:pt>
                <c:pt idx="1">
                  <c:v>6.9058158715738852E-2</c:v>
                </c:pt>
                <c:pt idx="2">
                  <c:v>8.2277213967501844E-2</c:v>
                </c:pt>
                <c:pt idx="3">
                  <c:v>9.7712990098872049E-2</c:v>
                </c:pt>
                <c:pt idx="4">
                  <c:v>0.11567331243109025</c:v>
                </c:pt>
                <c:pt idx="5">
                  <c:v>0.13649671023181803</c:v>
                </c:pt>
                <c:pt idx="6">
                  <c:v>0.16055333814434433</c:v>
                </c:pt>
                <c:pt idx="7">
                  <c:v>0.18824551508494516</c:v>
                </c:pt>
                <c:pt idx="8">
                  <c:v>0.22000780063590697</c:v>
                </c:pt>
                <c:pt idx="9">
                  <c:v>0.25630652597308112</c:v>
                </c:pt>
                <c:pt idx="10">
                  <c:v>0.29763869515119018</c:v>
                </c:pt>
                <c:pt idx="11">
                  <c:v>0.3445301734737154</c:v>
                </c:pt>
                <c:pt idx="12">
                  <c:v>0.397533083029534</c:v>
                </c:pt>
                <c:pt idx="13">
                  <c:v>0.4572223315894916</c:v>
                </c:pt>
                <c:pt idx="14">
                  <c:v>0.52419121018187509</c:v>
                </c:pt>
                <c:pt idx="15">
                  <c:v>0.59904600700337707</c:v>
                </c:pt>
                <c:pt idx="16">
                  <c:v>0.68239960098952068</c:v>
                </c:pt>
                <c:pt idx="17">
                  <c:v>0.77486401738751398</c:v>
                </c:pt>
                <c:pt idx="18">
                  <c:v>0.87704194995568541</c:v>
                </c:pt>
                <c:pt idx="19">
                  <c:v>0.98951727974309944</c:v>
                </c:pt>
                <c:pt idx="20">
                  <c:v>1.1128446484323984</c:v>
                </c:pt>
                <c:pt idx="21">
                  <c:v>1.2475381744698641</c:v>
                </c:pt>
                <c:pt idx="22">
                  <c:v>1.3940594320295407</c:v>
                </c:pt>
                <c:pt idx="23">
                  <c:v>1.552804845496891</c:v>
                </c:pt>
                <c:pt idx="24">
                  <c:v>1.7240926847202132</c:v>
                </c:pt>
                <c:pt idx="25">
                  <c:v>1.9081498777650172</c:v>
                </c:pt>
                <c:pt idx="26">
                  <c:v>2.1050988872334138</c:v>
                </c:pt>
                <c:pt idx="27">
                  <c:v>2.3149449222388232</c:v>
                </c:pt>
                <c:pt idx="28">
                  <c:v>2.5375637796992061</c:v>
                </c:pt>
                <c:pt idx="29">
                  <c:v>2.772690624595179</c:v>
                </c:pt>
                <c:pt idx="30">
                  <c:v>3.0199100281651234</c:v>
                </c:pt>
                <c:pt idx="31">
                  <c:v>3.2786475847231453</c:v>
                </c:pt>
                <c:pt idx="32">
                  <c:v>3.5481634210923554</c:v>
                </c:pt>
                <c:pt idx="33">
                  <c:v>3.8275478969547891</c:v>
                </c:pt>
                <c:pt idx="34">
                  <c:v>4.115719769384703</c:v>
                </c:pt>
                <c:pt idx="35">
                  <c:v>4.4114270603887737</c:v>
                </c:pt>
                <c:pt idx="36">
                  <c:v>4.7132508226661329</c:v>
                </c:pt>
                <c:pt idx="37">
                  <c:v>5.0196119465887596</c:v>
                </c:pt>
                <c:pt idx="38">
                  <c:v>5.3287810914826537</c:v>
                </c:pt>
                <c:pt idx="39">
                  <c:v>5.6388917578789135</c:v>
                </c:pt>
                <c:pt idx="40">
                  <c:v>5.9479564460190613</c:v>
                </c:pt>
                <c:pt idx="41">
                  <c:v>6.2538857713255984</c:v>
                </c:pt>
                <c:pt idx="42">
                  <c:v>6.5545103317926676</c:v>
                </c:pt>
                <c:pt idx="43">
                  <c:v>6.8476050474804762</c:v>
                </c:pt>
                <c:pt idx="44">
                  <c:v>7.1309156207719901</c:v>
                </c:pt>
                <c:pt idx="45">
                  <c:v>7.4021867000499482</c:v>
                </c:pt>
                <c:pt idx="46">
                  <c:v>7.6591912711913466</c:v>
                </c:pt>
                <c:pt idx="47">
                  <c:v>7.8997607528237124</c:v>
                </c:pt>
                <c:pt idx="48">
                  <c:v>8.1218152344840036</c:v>
                </c:pt>
                <c:pt idx="49">
                  <c:v>8.3233932732053422</c:v>
                </c:pt>
                <c:pt idx="50">
                  <c:v>8.5026806547973575</c:v>
                </c:pt>
                <c:pt idx="51">
                  <c:v>8.6580375319264764</c:v>
                </c:pt>
                <c:pt idx="52">
                  <c:v>8.7880233723210086</c:v>
                </c:pt>
                <c:pt idx="53">
                  <c:v>8.891419186811623</c:v>
                </c:pt>
                <c:pt idx="54">
                  <c:v>8.9672465577649323</c:v>
                </c:pt>
                <c:pt idx="55">
                  <c:v>9.0147830525901895</c:v>
                </c:pt>
                <c:pt idx="56">
                  <c:v>9.033573682761423</c:v>
                </c:pt>
                <c:pt idx="57">
                  <c:v>9.0234381541663033</c:v>
                </c:pt>
                <c:pt idx="58">
                  <c:v>8.9844737472037668</c:v>
                </c:pt>
                <c:pt idx="59">
                  <c:v>8.9170537622879333</c:v>
                </c:pt>
                <c:pt idx="60">
                  <c:v>8.8218215654974195</c:v>
                </c:pt>
                <c:pt idx="61">
                  <c:v>8.6996803671937251</c:v>
                </c:pt>
                <c:pt idx="62">
                  <c:v>8.5517789607115002</c:v>
                </c:pt>
                <c:pt idx="63">
                  <c:v>8.3794937360221358</c:v>
                </c:pt>
                <c:pt idx="64">
                  <c:v>8.1844073621406555</c:v>
                </c:pt>
                <c:pt idx="65">
                  <c:v>7.9682845998442611</c:v>
                </c:pt>
                <c:pt idx="66">
                  <c:v>7.7330457612387704</c:v>
                </c:pt>
                <c:pt idx="67">
                  <c:v>7.480738373521195</c:v>
                </c:pt>
                <c:pt idx="68">
                  <c:v>7.2135076300916339</c:v>
                </c:pt>
                <c:pt idx="69">
                  <c:v>6.9335662226055073</c:v>
                </c:pt>
                <c:pt idx="70">
                  <c:v>6.6431641427616874</c:v>
                </c:pt>
                <c:pt idx="71">
                  <c:v>6.3445590232009543</c:v>
                </c:pt>
                <c:pt idx="72">
                  <c:v>6.0399875538888255</c:v>
                </c:pt>
                <c:pt idx="73">
                  <c:v>5.7316384652114225</c:v>
                </c:pt>
                <c:pt idx="74">
                  <c:v>5.4216275134808178</c:v>
                </c:pt>
                <c:pt idx="75">
                  <c:v>5.1119748406360204</c:v>
                </c:pt>
                <c:pt idx="76">
                  <c:v>4.8045850098172513</c:v>
                </c:pt>
                <c:pt idx="77">
                  <c:v>4.5012299444524064</c:v>
                </c:pt>
                <c:pt idx="78">
                  <c:v>4.2035349228003493</c:v>
                </c:pt>
                <c:pt idx="79">
                  <c:v>3.9129677047493234</c:v>
                </c:pt>
                <c:pt idx="80">
                  <c:v>3.6308307951308136</c:v>
                </c:pt>
                <c:pt idx="81">
                  <c:v>3.358256779736672</c:v>
                </c:pt>
                <c:pt idx="82">
                  <c:v>3.0962066082217539</c:v>
                </c:pt>
                <c:pt idx="83">
                  <c:v>2.8454706434452213</c:v>
                </c:pt>
                <c:pt idx="84">
                  <c:v>2.6066722505432365</c:v>
                </c:pt>
                <c:pt idx="85">
                  <c:v>2.3802736617976876</c:v>
                </c:pt>
                <c:pt idx="86">
                  <c:v>2.1665838255071677</c:v>
                </c:pt>
                <c:pt idx="87">
                  <c:v>1.965767928601623</c:v>
                </c:pt>
                <c:pt idx="88">
                  <c:v>1.7778582734060944</c:v>
                </c:pt>
                <c:pt idx="89">
                  <c:v>1.6027661882302617</c:v>
                </c:pt>
                <c:pt idx="90">
                  <c:v>1.4402946586007903</c:v>
                </c:pt>
                <c:pt idx="91">
                  <c:v>1.2901513800508955</c:v>
                </c:pt>
                <c:pt idx="92">
                  <c:v>1.1519619533975662</c:v>
                </c:pt>
                <c:pt idx="93">
                  <c:v>1.0252829682521625</c:v>
                </c:pt>
                <c:pt idx="94">
                  <c:v>0.90961474897026795</c:v>
                </c:pt>
                <c:pt idx="95">
                  <c:v>0.80441356820364152</c:v>
                </c:pt>
                <c:pt idx="96">
                  <c:v>0.70910316556697739</c:v>
                </c:pt>
                <c:pt idx="97">
                  <c:v>0.62308544164695556</c:v>
                </c:pt>
                <c:pt idx="98">
                  <c:v>0.5457502297344704</c:v>
                </c:pt>
                <c:pt idx="99">
                  <c:v>0.47648407844795027</c:v>
                </c:pt>
                <c:pt idx="100">
                  <c:v>0.41467800716499609</c:v>
                </c:pt>
                <c:pt idx="101">
                  <c:v>0.35973422236029917</c:v>
                </c:pt>
                <c:pt idx="102">
                  <c:v>0.3110718061701202</c:v>
                </c:pt>
                <c:pt idx="103">
                  <c:v>0.26813140851421263</c:v>
                </c:pt>
                <c:pt idx="104">
                  <c:v>0.23037899077952292</c:v>
                </c:pt>
                <c:pt idx="105">
                  <c:v>0.19730868239634261</c:v>
                </c:pt>
                <c:pt idx="106">
                  <c:v>0.16844482170768363</c:v>
                </c:pt>
                <c:pt idx="107">
                  <c:v>0.14334325952169372</c:v>
                </c:pt>
                <c:pt idx="108">
                  <c:v>0.12159200788724792</c:v>
                </c:pt>
                <c:pt idx="109">
                  <c:v>0.10281131823668721</c:v>
                </c:pt>
                <c:pt idx="110">
                  <c:v>8.6653272422666613E-2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Analysis'!$W$254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983521640783609E-2"/>
                  <c:y val="-3.62047264312685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27556833742373"/>
                      <c:h val="5.92451216048726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Analysis'!$X$254:$X$255</c:f>
              <c:numCache>
                <c:formatCode>0.00%</c:formatCode>
                <c:ptCount val="2"/>
                <c:pt idx="0">
                  <c:v>2.874290010353922E-3</c:v>
                </c:pt>
                <c:pt idx="1">
                  <c:v>2.874290010353922E-3</c:v>
                </c:pt>
              </c:numCache>
            </c:numRef>
          </c:xVal>
          <c:yVal>
            <c:numRef>
              <c:f>'Notes | Quant Analysis'!$Y$254:$Y$255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Analysis'!$W$256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Analysis'!$X$256:$X$257</c:f>
              <c:numCache>
                <c:formatCode>0.00%</c:formatCode>
                <c:ptCount val="2"/>
                <c:pt idx="0">
                  <c:v>-0.1296074825333656</c:v>
                </c:pt>
                <c:pt idx="1">
                  <c:v>-0.1296074825333656</c:v>
                </c:pt>
              </c:numCache>
            </c:numRef>
          </c:xVal>
          <c:yVal>
            <c:numRef>
              <c:f>'Notes | Quant Analysis'!$Y$256:$Y$257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Analysis'!$W$258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2763371412771147E-2"/>
                  <c:y val="-6.87753430935021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Analysis'!$X$258:$X$259</c:f>
              <c:numCache>
                <c:formatCode>0.00%</c:formatCode>
                <c:ptCount val="2"/>
                <c:pt idx="0">
                  <c:v>-8.5446891685459075E-2</c:v>
                </c:pt>
                <c:pt idx="1">
                  <c:v>-8.5446891685459075E-2</c:v>
                </c:pt>
              </c:numCache>
            </c:numRef>
          </c:xVal>
          <c:yVal>
            <c:numRef>
              <c:f>'Notes | Quant Analysis'!$Y$258:$Y$259</c:f>
              <c:numCache>
                <c:formatCode>General</c:formatCode>
                <c:ptCount val="2"/>
                <c:pt idx="0">
                  <c:v>0</c:v>
                </c:pt>
                <c:pt idx="1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Analysis'!$W$260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Analysis'!$X$260:$X$261</c:f>
              <c:numCache>
                <c:formatCode>0.00%</c:formatCode>
                <c:ptCount val="2"/>
                <c:pt idx="0">
                  <c:v>-4.1286300837552581E-2</c:v>
                </c:pt>
                <c:pt idx="1">
                  <c:v>-4.1286300837552581E-2</c:v>
                </c:pt>
              </c:numCache>
            </c:numRef>
          </c:xVal>
          <c:yVal>
            <c:numRef>
              <c:f>'Notes | Quant Analysis'!$Y$260:$Y$261</c:f>
              <c:numCache>
                <c:formatCode>General</c:formatCode>
                <c:ptCount val="2"/>
                <c:pt idx="0">
                  <c:v>0</c:v>
                </c:pt>
                <c:pt idx="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Analysis'!$W$262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Analysis'!$X$262:$X$263</c:f>
              <c:numCache>
                <c:formatCode>0.00%</c:formatCode>
                <c:ptCount val="2"/>
                <c:pt idx="0">
                  <c:v>4.7034880858260422E-2</c:v>
                </c:pt>
                <c:pt idx="1">
                  <c:v>4.7034880858260422E-2</c:v>
                </c:pt>
              </c:numCache>
            </c:numRef>
          </c:xVal>
          <c:yVal>
            <c:numRef>
              <c:f>'Notes | Quant Analysis'!$Y$262:$Y$263</c:f>
              <c:numCache>
                <c:formatCode>General</c:formatCode>
                <c:ptCount val="2"/>
                <c:pt idx="0">
                  <c:v>0</c:v>
                </c:pt>
                <c:pt idx="1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Analysis'!$W$264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9415440704985434E-2"/>
                  <c:y val="-7.152283491685765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Analysis'!$X$264:$X$265</c:f>
              <c:numCache>
                <c:formatCode>0.00%</c:formatCode>
                <c:ptCount val="2"/>
                <c:pt idx="0">
                  <c:v>9.1195471706166931E-2</c:v>
                </c:pt>
                <c:pt idx="1">
                  <c:v>9.1195471706166931E-2</c:v>
                </c:pt>
              </c:numCache>
            </c:numRef>
          </c:xVal>
          <c:yVal>
            <c:numRef>
              <c:f>'Notes | Quant Analysis'!$Y$264:$Y$265</c:f>
              <c:numCache>
                <c:formatCode>General</c:formatCode>
                <c:ptCount val="2"/>
                <c:pt idx="0">
                  <c:v>0</c:v>
                </c:pt>
                <c:pt idx="1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Analysis'!$W$266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Analysis'!$X$266:$X$267</c:f>
              <c:numCache>
                <c:formatCode>0.00%</c:formatCode>
                <c:ptCount val="2"/>
                <c:pt idx="0">
                  <c:v>0.13535606255407343</c:v>
                </c:pt>
                <c:pt idx="1">
                  <c:v>0.13535606255407343</c:v>
                </c:pt>
              </c:numCache>
            </c:numRef>
          </c:xVal>
          <c:yVal>
            <c:numRef>
              <c:f>'Notes | Quant Analysis'!$Y$266:$Y$267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0.14000000000000001"/>
          <c:min val="-0.14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2.0000000000000004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(RDDT)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Model!$W$45:$X$45</c:f>
              <c:numCache>
                <c:formatCode>0.0</c:formatCode>
                <c:ptCount val="2"/>
                <c:pt idx="0">
                  <c:v>-91.822999999999979</c:v>
                </c:pt>
                <c:pt idx="1">
                  <c:v>-484.27600000000012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Model!$W$86:$X$86</c:f>
              <c:numCache>
                <c:formatCode>0.0</c:formatCode>
                <c:ptCount val="2"/>
                <c:pt idx="0">
                  <c:v>-84.8</c:v>
                </c:pt>
                <c:pt idx="1">
                  <c:v>215.8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Model!$C$1:$M$1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Model!$W$35:$X$35</c:f>
              <c:numCache>
                <c:formatCode>0.0</c:formatCode>
                <c:ptCount val="2"/>
                <c:pt idx="0">
                  <c:v>803.029</c:v>
                </c:pt>
                <c:pt idx="1">
                  <c:v>1300.2049999999999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(RDDT) Quarterly Average DAUs (in millions)</a:t>
            </a:r>
          </a:p>
        </c:rich>
      </c:tx>
      <c:layout>
        <c:manualLayout>
          <c:xMode val="edge"/>
          <c:yMode val="edge"/>
          <c:x val="0.36597109165527758"/>
          <c:y val="1.1765241991432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Model!$B$26</c:f>
              <c:strCache>
                <c:ptCount val="1"/>
                <c:pt idx="0">
                  <c:v>Logged-in DAU</c:v>
                </c:pt>
              </c:strCache>
            </c:strRef>
          </c:tx>
          <c:spPr>
            <a:solidFill>
              <a:srgbClr val="F261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Model!$C$1:$L$1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Model!$C$26:$M$26</c:f>
              <c:numCache>
                <c:formatCode>0.0</c:formatCode>
                <c:ptCount val="11"/>
                <c:pt idx="0">
                  <c:v>31.1</c:v>
                </c:pt>
                <c:pt idx="1">
                  <c:v>32.1</c:v>
                </c:pt>
                <c:pt idx="2">
                  <c:v>34.700000000000003</c:v>
                </c:pt>
                <c:pt idx="3">
                  <c:v>36.4</c:v>
                </c:pt>
                <c:pt idx="4">
                  <c:v>39.6</c:v>
                </c:pt>
                <c:pt idx="5">
                  <c:v>42</c:v>
                </c:pt>
                <c:pt idx="6">
                  <c:v>44.1</c:v>
                </c:pt>
                <c:pt idx="7">
                  <c:v>46.1</c:v>
                </c:pt>
                <c:pt idx="8">
                  <c:v>48.7</c:v>
                </c:pt>
                <c:pt idx="9">
                  <c:v>49.3</c:v>
                </c:pt>
                <c:pt idx="10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B7-44E7-A9F2-1438AC02BA56}"/>
            </c:ext>
          </c:extLst>
        </c:ser>
        <c:ser>
          <c:idx val="9"/>
          <c:order val="1"/>
          <c:tx>
            <c:strRef>
              <c:f>Model!$B$27</c:f>
              <c:strCache>
                <c:ptCount val="1"/>
                <c:pt idx="0">
                  <c:v>Logged-out DAU</c:v>
                </c:pt>
              </c:strCache>
            </c:strRef>
          </c:tx>
          <c:spPr>
            <a:solidFill>
              <a:srgbClr val="A5A5A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Model!$C$1:$L$1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Model!$C$27:$M$27</c:f>
              <c:numCache>
                <c:formatCode>0.0</c:formatCode>
                <c:ptCount val="11"/>
                <c:pt idx="0">
                  <c:v>29.2</c:v>
                </c:pt>
                <c:pt idx="1">
                  <c:v>28.3</c:v>
                </c:pt>
                <c:pt idx="2">
                  <c:v>31.1</c:v>
                </c:pt>
                <c:pt idx="3">
                  <c:v>36.700000000000003</c:v>
                </c:pt>
                <c:pt idx="4">
                  <c:v>43.1</c:v>
                </c:pt>
                <c:pt idx="5">
                  <c:v>49.2</c:v>
                </c:pt>
                <c:pt idx="6">
                  <c:v>53.1</c:v>
                </c:pt>
                <c:pt idx="7">
                  <c:v>55.6</c:v>
                </c:pt>
                <c:pt idx="8">
                  <c:v>59.4</c:v>
                </c:pt>
                <c:pt idx="9">
                  <c:v>61.1</c:v>
                </c:pt>
                <c:pt idx="10">
                  <c:v>65.8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B7-44E7-A9F2-1438AC02B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1746300007721"/>
          <c:y val="5.2058336107788997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chart" Target="../charts/chart5.xml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2</xdr:row>
      <xdr:rowOff>9526</xdr:rowOff>
    </xdr:from>
    <xdr:to>
      <xdr:col>10</xdr:col>
      <xdr:colOff>0</xdr:colOff>
      <xdr:row>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04C6A-ACC3-42F4-C11C-EEAAD63C0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0" y="381001"/>
          <a:ext cx="1819275" cy="125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0</xdr:colOff>
      <xdr:row>119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9300882" y="0"/>
          <a:ext cx="0" cy="21297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0</xdr:row>
      <xdr:rowOff>0</xdr:rowOff>
    </xdr:from>
    <xdr:to>
      <xdr:col>24</xdr:col>
      <xdr:colOff>0</xdr:colOff>
      <xdr:row>118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112</xdr:row>
      <xdr:rowOff>-1</xdr:rowOff>
    </xdr:from>
    <xdr:to>
      <xdr:col>31</xdr:col>
      <xdr:colOff>0</xdr:colOff>
      <xdr:row>143</xdr:row>
      <xdr:rowOff>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148</xdr:row>
      <xdr:rowOff>0</xdr:rowOff>
    </xdr:from>
    <xdr:to>
      <xdr:col>31</xdr:col>
      <xdr:colOff>0</xdr:colOff>
      <xdr:row>176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213</xdr:row>
      <xdr:rowOff>0</xdr:rowOff>
    </xdr:from>
    <xdr:to>
      <xdr:col>31</xdr:col>
      <xdr:colOff>0</xdr:colOff>
      <xdr:row>241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181</xdr:row>
      <xdr:rowOff>0</xdr:rowOff>
    </xdr:from>
    <xdr:to>
      <xdr:col>31</xdr:col>
      <xdr:colOff>0</xdr:colOff>
      <xdr:row>209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75</xdr:row>
      <xdr:rowOff>190499</xdr:rowOff>
    </xdr:from>
    <xdr:to>
      <xdr:col>31</xdr:col>
      <xdr:colOff>0</xdr:colOff>
      <xdr:row>106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53C02B-CF4A-40A5-ABA6-83F86B744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207817</xdr:colOff>
      <xdr:row>36</xdr:row>
      <xdr:rowOff>173181</xdr:rowOff>
    </xdr:from>
    <xdr:to>
      <xdr:col>27</xdr:col>
      <xdr:colOff>11206</xdr:colOff>
      <xdr:row>71</xdr:row>
      <xdr:rowOff>17318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F9C480-58A8-0F6B-9AE9-C8A095FE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2376" y="6650181"/>
          <a:ext cx="6672595" cy="6124525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17318</xdr:colOff>
      <xdr:row>2</xdr:row>
      <xdr:rowOff>17317</xdr:rowOff>
    </xdr:from>
    <xdr:to>
      <xdr:col>27</xdr:col>
      <xdr:colOff>3431</xdr:colOff>
      <xdr:row>31</xdr:row>
      <xdr:rowOff>155863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056D0-C0C1-3A88-DDA4-B7970DCD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5136" y="380999"/>
          <a:ext cx="6653613" cy="516081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17318</xdr:rowOff>
    </xdr:from>
    <xdr:to>
      <xdr:col>38</xdr:col>
      <xdr:colOff>0</xdr:colOff>
      <xdr:row>31</xdr:row>
      <xdr:rowOff>155863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513E38-9427-C00A-2A27-165ADC142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75318" y="381000"/>
          <a:ext cx="6667500" cy="5160818"/>
        </a:xfrm>
        <a:prstGeom prst="rect">
          <a:avLst/>
        </a:prstGeom>
      </xdr:spPr>
    </xdr:pic>
    <xdr:clientData/>
  </xdr:twoCellAnchor>
  <xdr:twoCellAnchor editAs="oneCell">
    <xdr:from>
      <xdr:col>39</xdr:col>
      <xdr:colOff>17318</xdr:colOff>
      <xdr:row>148</xdr:row>
      <xdr:rowOff>17319</xdr:rowOff>
    </xdr:from>
    <xdr:to>
      <xdr:col>51</xdr:col>
      <xdr:colOff>600906</xdr:colOff>
      <xdr:row>183</xdr:row>
      <xdr:rowOff>17319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F66512-0B6D-3115-5207-E4AA22982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0636" y="25752137"/>
          <a:ext cx="7857225" cy="6096000"/>
        </a:xfrm>
        <a:prstGeom prst="rect">
          <a:avLst/>
        </a:prstGeom>
      </xdr:spPr>
    </xdr:pic>
    <xdr:clientData/>
  </xdr:twoCellAnchor>
  <xdr:twoCellAnchor editAs="oneCell">
    <xdr:from>
      <xdr:col>39</xdr:col>
      <xdr:colOff>17318</xdr:colOff>
      <xdr:row>37</xdr:row>
      <xdr:rowOff>17318</xdr:rowOff>
    </xdr:from>
    <xdr:to>
      <xdr:col>50</xdr:col>
      <xdr:colOff>13607</xdr:colOff>
      <xdr:row>67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111FC5-AB53-CE35-5F0B-B48174CA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82997" y="6603175"/>
          <a:ext cx="6731824" cy="5289468"/>
        </a:xfrm>
        <a:prstGeom prst="rect">
          <a:avLst/>
        </a:prstGeom>
      </xdr:spPr>
    </xdr:pic>
    <xdr:clientData/>
  </xdr:twoCellAnchor>
  <xdr:twoCellAnchor editAs="oneCell">
    <xdr:from>
      <xdr:col>39</xdr:col>
      <xdr:colOff>3043</xdr:colOff>
      <xdr:row>76</xdr:row>
      <xdr:rowOff>0</xdr:rowOff>
    </xdr:from>
    <xdr:to>
      <xdr:col>49</xdr:col>
      <xdr:colOff>9525</xdr:colOff>
      <xdr:row>102</xdr:row>
      <xdr:rowOff>179244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2394885-D539-AA7E-C7E6-DDDFEE83E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426"/>
        <a:stretch>
          <a:fillRect/>
        </a:stretch>
      </xdr:blipFill>
      <xdr:spPr>
        <a:xfrm>
          <a:off x="13814293" y="13792200"/>
          <a:ext cx="6102482" cy="4884594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76</xdr:row>
      <xdr:rowOff>0</xdr:rowOff>
    </xdr:from>
    <xdr:to>
      <xdr:col>59</xdr:col>
      <xdr:colOff>9525</xdr:colOff>
      <xdr:row>103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477105-BFFB-5212-E1C9-456CC96A0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774"/>
        <a:stretch>
          <a:fillRect/>
        </a:stretch>
      </xdr:blipFill>
      <xdr:spPr>
        <a:xfrm>
          <a:off x="19907250" y="13792200"/>
          <a:ext cx="6105525" cy="4886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vestor.redditinc.com/overview/default.aspx" TargetMode="External"/><Relationship Id="rId2" Type="http://schemas.openxmlformats.org/officeDocument/2006/relationships/hyperlink" Target="https://redditinc.com/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1"/>
  <sheetViews>
    <sheetView tabSelected="1" topLeftCell="A27" workbookViewId="0">
      <selection activeCell="D4" sqref="D4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28515625" style="1" customWidth="1"/>
    <col min="4" max="4" width="9.140625" style="1" customWidth="1"/>
    <col min="5" max="16384" width="9.140625" style="1"/>
  </cols>
  <sheetData>
    <row r="2" spans="2:19" ht="15">
      <c r="B2" s="2" t="s">
        <v>131</v>
      </c>
    </row>
    <row r="3" spans="2:19">
      <c r="B3" s="1" t="s">
        <v>0</v>
      </c>
      <c r="C3" s="44">
        <v>244.97</v>
      </c>
      <c r="D3" s="43" t="s">
        <v>607</v>
      </c>
    </row>
    <row r="4" spans="2:19">
      <c r="B4" s="1" t="s">
        <v>1</v>
      </c>
      <c r="C4" s="45">
        <v>188.041</v>
      </c>
      <c r="D4" s="1" t="s">
        <v>606</v>
      </c>
    </row>
    <row r="5" spans="2:19">
      <c r="B5" s="1" t="s">
        <v>2</v>
      </c>
      <c r="C5" s="61">
        <f>C3*C4</f>
        <v>46064.403769999997</v>
      </c>
    </row>
    <row r="6" spans="2:19">
      <c r="B6" s="1" t="s">
        <v>3</v>
      </c>
      <c r="C6" s="62">
        <f>911.65+1314.17</f>
        <v>2225.8200000000002</v>
      </c>
      <c r="D6" s="1" t="s">
        <v>606</v>
      </c>
    </row>
    <row r="7" spans="2:19">
      <c r="B7" s="1" t="s">
        <v>4</v>
      </c>
      <c r="C7" s="62">
        <f>0</f>
        <v>0</v>
      </c>
      <c r="D7" s="1" t="s">
        <v>606</v>
      </c>
    </row>
    <row r="8" spans="2:19">
      <c r="B8" s="1" t="s">
        <v>5</v>
      </c>
      <c r="C8" s="62">
        <f>C5-C6+C7</f>
        <v>43838.583769999997</v>
      </c>
    </row>
    <row r="10" spans="2:19" ht="15">
      <c r="B10" s="2" t="s">
        <v>528</v>
      </c>
    </row>
    <row r="12" spans="2:19" ht="15">
      <c r="B12" s="1" t="s">
        <v>529</v>
      </c>
      <c r="H12" s="1" t="s">
        <v>605</v>
      </c>
      <c r="O12" s="1" t="s">
        <v>108</v>
      </c>
      <c r="R12" s="2"/>
    </row>
    <row r="13" spans="2:19">
      <c r="B13" s="1" t="s">
        <v>530</v>
      </c>
      <c r="H13" s="1" t="s">
        <v>538</v>
      </c>
      <c r="O13" s="1" t="s">
        <v>7</v>
      </c>
      <c r="R13" s="46" t="s">
        <v>541</v>
      </c>
    </row>
    <row r="14" spans="2:19">
      <c r="B14" s="1" t="s">
        <v>531</v>
      </c>
      <c r="H14" s="1" t="s">
        <v>6</v>
      </c>
      <c r="O14" s="1" t="s">
        <v>112</v>
      </c>
      <c r="R14" s="46" t="s">
        <v>540</v>
      </c>
    </row>
    <row r="15" spans="2:19">
      <c r="B15" s="1" t="s">
        <v>532</v>
      </c>
      <c r="H15" s="1" t="s">
        <v>105</v>
      </c>
      <c r="P15" s="1" t="s">
        <v>111</v>
      </c>
      <c r="S15" s="46" t="s">
        <v>543</v>
      </c>
    </row>
    <row r="16" spans="2:19">
      <c r="B16" s="1" t="s">
        <v>533</v>
      </c>
      <c r="H16" s="1" t="s">
        <v>99</v>
      </c>
      <c r="I16" s="1" t="s">
        <v>539</v>
      </c>
      <c r="K16" s="1" t="s">
        <v>100</v>
      </c>
      <c r="O16" s="1" t="s">
        <v>102</v>
      </c>
      <c r="R16" s="46" t="s">
        <v>544</v>
      </c>
    </row>
    <row r="17" spans="1:18">
      <c r="B17" s="1" t="s">
        <v>534</v>
      </c>
      <c r="O17" s="1" t="s">
        <v>103</v>
      </c>
      <c r="R17" s="46" t="s">
        <v>545</v>
      </c>
    </row>
    <row r="18" spans="1:18">
      <c r="B18" s="1" t="s">
        <v>535</v>
      </c>
      <c r="O18" s="1" t="s">
        <v>113</v>
      </c>
      <c r="R18" s="46" t="s">
        <v>546</v>
      </c>
    </row>
    <row r="19" spans="1:18">
      <c r="B19" s="1" t="s">
        <v>536</v>
      </c>
      <c r="O19" s="1" t="s">
        <v>114</v>
      </c>
      <c r="R19" s="46" t="s">
        <v>547</v>
      </c>
    </row>
    <row r="20" spans="1:18">
      <c r="B20" s="1" t="s">
        <v>537</v>
      </c>
      <c r="O20" s="1" t="s">
        <v>8</v>
      </c>
      <c r="R20" s="46" t="s">
        <v>104</v>
      </c>
    </row>
    <row r="21" spans="1:18">
      <c r="B21" s="1" t="s">
        <v>604</v>
      </c>
      <c r="Q21" s="46"/>
    </row>
    <row r="22" spans="1:18" ht="15">
      <c r="N22" s="2"/>
    </row>
    <row r="23" spans="1:18" ht="15">
      <c r="A23" s="2" t="s">
        <v>9</v>
      </c>
    </row>
    <row r="24" spans="1:18">
      <c r="B24" s="1" t="s">
        <v>542</v>
      </c>
    </row>
    <row r="25" spans="1:18">
      <c r="B25" s="1" t="s">
        <v>525</v>
      </c>
    </row>
    <row r="26" spans="1:18">
      <c r="C26" s="1" t="s">
        <v>526</v>
      </c>
    </row>
    <row r="27" spans="1:18" ht="15">
      <c r="C27" s="2" t="s">
        <v>527</v>
      </c>
    </row>
    <row r="28" spans="1:18">
      <c r="C28" s="1" t="s">
        <v>548</v>
      </c>
    </row>
    <row r="29" spans="1:18">
      <c r="C29" s="1" t="s">
        <v>556</v>
      </c>
    </row>
    <row r="30" spans="1:18">
      <c r="D30" s="1" t="s">
        <v>557</v>
      </c>
    </row>
    <row r="31" spans="1:18">
      <c r="C31" s="1" t="s">
        <v>549</v>
      </c>
    </row>
    <row r="32" spans="1:18">
      <c r="B32" s="1" t="s">
        <v>558</v>
      </c>
    </row>
    <row r="33" spans="1:3">
      <c r="B33" s="1" t="s">
        <v>550</v>
      </c>
    </row>
    <row r="34" spans="1:3">
      <c r="C34" s="1" t="s">
        <v>551</v>
      </c>
    </row>
    <row r="35" spans="1:3">
      <c r="B35" s="1" t="s">
        <v>552</v>
      </c>
    </row>
    <row r="36" spans="1:3">
      <c r="C36" s="1" t="s">
        <v>553</v>
      </c>
    </row>
    <row r="37" spans="1:3">
      <c r="B37" s="1" t="s">
        <v>554</v>
      </c>
    </row>
    <row r="38" spans="1:3">
      <c r="C38" s="1" t="s">
        <v>555</v>
      </c>
    </row>
    <row r="39" spans="1:3">
      <c r="B39" s="1" t="s">
        <v>559</v>
      </c>
    </row>
    <row r="41" spans="1:3" ht="15">
      <c r="A41" s="2" t="s">
        <v>106</v>
      </c>
    </row>
  </sheetData>
  <hyperlinks>
    <hyperlink ref="R20" r:id="rId1" xr:uid="{14375537-5C3D-4253-9650-337AB6789785}"/>
    <hyperlink ref="R14" r:id="rId2" xr:uid="{47BDA160-A850-49D2-BF4A-8C5A4B5EE51D}"/>
    <hyperlink ref="S15" r:id="rId3" xr:uid="{FA01A2D0-92F9-4840-9CF3-8CB64E42789D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CI88"/>
  <sheetViews>
    <sheetView zoomScale="85" zoomScaleNormal="85" workbookViewId="0">
      <pane xSplit="2" ySplit="3" topLeftCell="U41" activePane="bottomRight" state="frozen"/>
      <selection pane="topRight" activeCell="C1" sqref="C1"/>
      <selection pane="bottomLeft" activeCell="A4" sqref="A4"/>
      <selection pane="bottomRight" activeCell="Y58" sqref="Y58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13" width="9.140625" style="1"/>
    <col min="14" max="18" width="9.140625" style="35"/>
    <col min="19" max="24" width="9.140625" style="1"/>
    <col min="25" max="34" width="9.140625" style="35" customWidth="1"/>
    <col min="35" max="35" width="9.28515625" style="35" bestFit="1" customWidth="1"/>
    <col min="36" max="86" width="9.140625" style="35"/>
    <col min="87" max="16384" width="9.140625" style="1"/>
  </cols>
  <sheetData>
    <row r="1" spans="2:87" ht="15">
      <c r="B1" s="1" t="s">
        <v>59</v>
      </c>
      <c r="C1" s="33" t="s">
        <v>43</v>
      </c>
      <c r="G1" s="33" t="s">
        <v>47</v>
      </c>
      <c r="K1" s="33" t="s">
        <v>51</v>
      </c>
    </row>
    <row r="2" spans="2:87">
      <c r="B2" s="1" t="s">
        <v>60</v>
      </c>
    </row>
    <row r="3" spans="2:87" ht="15">
      <c r="B3" s="2" t="s">
        <v>61</v>
      </c>
      <c r="C3" s="33" t="s">
        <v>43</v>
      </c>
      <c r="D3" s="33" t="s">
        <v>44</v>
      </c>
      <c r="E3" s="33" t="s">
        <v>45</v>
      </c>
      <c r="F3" s="33" t="s">
        <v>46</v>
      </c>
      <c r="G3" s="33" t="s">
        <v>47</v>
      </c>
      <c r="H3" s="33" t="s">
        <v>48</v>
      </c>
      <c r="I3" s="33" t="s">
        <v>49</v>
      </c>
      <c r="J3" s="33" t="s">
        <v>50</v>
      </c>
      <c r="K3" s="33" t="s">
        <v>51</v>
      </c>
      <c r="L3" s="2" t="s">
        <v>52</v>
      </c>
      <c r="M3" s="2" t="s">
        <v>53</v>
      </c>
      <c r="N3" s="34" t="s">
        <v>54</v>
      </c>
      <c r="O3" s="34" t="s">
        <v>55</v>
      </c>
      <c r="P3" s="34" t="s">
        <v>56</v>
      </c>
      <c r="Q3" s="34" t="s">
        <v>57</v>
      </c>
      <c r="R3" s="34" t="s">
        <v>58</v>
      </c>
      <c r="W3" s="2">
        <v>2023</v>
      </c>
      <c r="X3" s="2">
        <f t="shared" ref="X3:BU3" si="0">W3+1</f>
        <v>2024</v>
      </c>
      <c r="Y3" s="34">
        <f t="shared" si="0"/>
        <v>2025</v>
      </c>
      <c r="Z3" s="34">
        <f t="shared" si="0"/>
        <v>2026</v>
      </c>
      <c r="AA3" s="34">
        <f t="shared" si="0"/>
        <v>2027</v>
      </c>
      <c r="AB3" s="34">
        <f t="shared" si="0"/>
        <v>2028</v>
      </c>
      <c r="AC3" s="34">
        <f t="shared" si="0"/>
        <v>2029</v>
      </c>
      <c r="AD3" s="34">
        <f t="shared" si="0"/>
        <v>2030</v>
      </c>
      <c r="AE3" s="34">
        <f t="shared" si="0"/>
        <v>2031</v>
      </c>
      <c r="AF3" s="34">
        <f t="shared" si="0"/>
        <v>2032</v>
      </c>
      <c r="AG3" s="34">
        <f t="shared" si="0"/>
        <v>2033</v>
      </c>
      <c r="AH3" s="34">
        <f t="shared" si="0"/>
        <v>2034</v>
      </c>
      <c r="AI3" s="34">
        <f t="shared" si="0"/>
        <v>2035</v>
      </c>
      <c r="AJ3" s="34">
        <f t="shared" si="0"/>
        <v>2036</v>
      </c>
      <c r="AK3" s="34">
        <f t="shared" si="0"/>
        <v>2037</v>
      </c>
      <c r="AL3" s="34">
        <f t="shared" si="0"/>
        <v>2038</v>
      </c>
      <c r="AM3" s="34">
        <f t="shared" si="0"/>
        <v>2039</v>
      </c>
      <c r="AN3" s="34">
        <f t="shared" si="0"/>
        <v>2040</v>
      </c>
      <c r="AO3" s="34">
        <f t="shared" si="0"/>
        <v>2041</v>
      </c>
      <c r="AP3" s="34">
        <f t="shared" si="0"/>
        <v>2042</v>
      </c>
      <c r="AQ3" s="34">
        <f t="shared" si="0"/>
        <v>2043</v>
      </c>
      <c r="AR3" s="34">
        <f t="shared" si="0"/>
        <v>2044</v>
      </c>
      <c r="AS3" s="34">
        <f t="shared" si="0"/>
        <v>2045</v>
      </c>
      <c r="AT3" s="34">
        <f t="shared" si="0"/>
        <v>2046</v>
      </c>
      <c r="AU3" s="34">
        <f t="shared" si="0"/>
        <v>2047</v>
      </c>
      <c r="AV3" s="34">
        <f t="shared" si="0"/>
        <v>2048</v>
      </c>
      <c r="AW3" s="34">
        <f t="shared" si="0"/>
        <v>2049</v>
      </c>
      <c r="AX3" s="34">
        <f t="shared" si="0"/>
        <v>2050</v>
      </c>
      <c r="AY3" s="34">
        <f t="shared" si="0"/>
        <v>2051</v>
      </c>
      <c r="AZ3" s="34">
        <f t="shared" si="0"/>
        <v>2052</v>
      </c>
      <c r="BA3" s="34">
        <f t="shared" si="0"/>
        <v>2053</v>
      </c>
      <c r="BB3" s="34">
        <f t="shared" si="0"/>
        <v>2054</v>
      </c>
      <c r="BC3" s="34">
        <f t="shared" si="0"/>
        <v>2055</v>
      </c>
      <c r="BD3" s="34">
        <f t="shared" si="0"/>
        <v>2056</v>
      </c>
      <c r="BE3" s="34">
        <f t="shared" si="0"/>
        <v>2057</v>
      </c>
      <c r="BF3" s="34">
        <f t="shared" si="0"/>
        <v>2058</v>
      </c>
      <c r="BG3" s="34">
        <f t="shared" si="0"/>
        <v>2059</v>
      </c>
      <c r="BH3" s="34">
        <f t="shared" si="0"/>
        <v>2060</v>
      </c>
      <c r="BI3" s="34">
        <f t="shared" si="0"/>
        <v>2061</v>
      </c>
      <c r="BJ3" s="34">
        <f t="shared" si="0"/>
        <v>2062</v>
      </c>
      <c r="BK3" s="34">
        <f t="shared" si="0"/>
        <v>2063</v>
      </c>
      <c r="BL3" s="34">
        <f t="shared" si="0"/>
        <v>2064</v>
      </c>
      <c r="BM3" s="34">
        <f t="shared" si="0"/>
        <v>2065</v>
      </c>
      <c r="BN3" s="34">
        <f t="shared" si="0"/>
        <v>2066</v>
      </c>
      <c r="BO3" s="34">
        <f t="shared" si="0"/>
        <v>2067</v>
      </c>
      <c r="BP3" s="34">
        <f t="shared" si="0"/>
        <v>2068</v>
      </c>
      <c r="BQ3" s="34">
        <f t="shared" si="0"/>
        <v>2069</v>
      </c>
      <c r="BR3" s="34">
        <f t="shared" si="0"/>
        <v>2070</v>
      </c>
      <c r="BS3" s="34">
        <f t="shared" si="0"/>
        <v>2071</v>
      </c>
      <c r="BT3" s="34">
        <f t="shared" si="0"/>
        <v>2072</v>
      </c>
      <c r="BU3" s="34">
        <f t="shared" si="0"/>
        <v>2073</v>
      </c>
      <c r="BV3" s="34">
        <f t="shared" ref="BV3:CF3" si="1">BU3+1</f>
        <v>2074</v>
      </c>
      <c r="BW3" s="34">
        <f t="shared" si="1"/>
        <v>2075</v>
      </c>
      <c r="BX3" s="34">
        <f t="shared" si="1"/>
        <v>2076</v>
      </c>
      <c r="BY3" s="34">
        <f t="shared" si="1"/>
        <v>2077</v>
      </c>
      <c r="BZ3" s="34">
        <f t="shared" si="1"/>
        <v>2078</v>
      </c>
      <c r="CA3" s="34">
        <f t="shared" si="1"/>
        <v>2079</v>
      </c>
      <c r="CB3" s="34">
        <f t="shared" si="1"/>
        <v>2080</v>
      </c>
      <c r="CC3" s="34">
        <f t="shared" si="1"/>
        <v>2081</v>
      </c>
      <c r="CD3" s="34">
        <f t="shared" si="1"/>
        <v>2082</v>
      </c>
      <c r="CE3" s="34">
        <f t="shared" si="1"/>
        <v>2083</v>
      </c>
      <c r="CF3" s="34">
        <f t="shared" si="1"/>
        <v>2084</v>
      </c>
      <c r="CG3" s="34"/>
      <c r="CH3" s="34"/>
      <c r="CI3" s="2"/>
    </row>
    <row r="4" spans="2:87">
      <c r="B4" s="36" t="s">
        <v>560</v>
      </c>
      <c r="C4" s="65">
        <v>160.08000000000001</v>
      </c>
      <c r="D4" s="65">
        <v>179.48</v>
      </c>
      <c r="E4" s="65">
        <v>202.37200000000001</v>
      </c>
      <c r="F4" s="65">
        <f>788.782-SUM(C4:E4)</f>
        <v>246.85000000000002</v>
      </c>
      <c r="G4" s="65">
        <v>222.68</v>
      </c>
      <c r="H4" s="65">
        <v>253.125</v>
      </c>
      <c r="I4" s="65">
        <v>315.10399999999998</v>
      </c>
      <c r="J4" s="65">
        <f>1185.456-SUM(G4:I4)</f>
        <v>394.54699999999991</v>
      </c>
      <c r="K4" s="65">
        <v>358.63</v>
      </c>
      <c r="L4" s="65">
        <v>464.78</v>
      </c>
      <c r="M4" s="65">
        <v>549.34199999999998</v>
      </c>
      <c r="W4" s="70">
        <f>SUM(C4:F4)</f>
        <v>788.78200000000004</v>
      </c>
      <c r="X4" s="70">
        <f>SUM(G4:J4)</f>
        <v>1185.4559999999999</v>
      </c>
      <c r="Y4" s="72">
        <f t="shared" ref="Y4:AH4" si="2">X4*(1+Y8)</f>
        <v>2086.40256</v>
      </c>
      <c r="Z4" s="72">
        <f t="shared" si="2"/>
        <v>3025.2837119999999</v>
      </c>
      <c r="AA4" s="72">
        <f t="shared" si="2"/>
        <v>3993.3744998400002</v>
      </c>
      <c r="AB4" s="72">
        <f t="shared" si="2"/>
        <v>5071.5856147968007</v>
      </c>
      <c r="AC4" s="72">
        <f t="shared" si="2"/>
        <v>6187.3344500520971</v>
      </c>
      <c r="AD4" s="72">
        <f t="shared" si="2"/>
        <v>7301.054651061474</v>
      </c>
      <c r="AE4" s="72">
        <f t="shared" si="2"/>
        <v>8469.223395231309</v>
      </c>
      <c r="AF4" s="72">
        <f t="shared" si="2"/>
        <v>9781.9530214921615</v>
      </c>
      <c r="AG4" s="72">
        <f t="shared" si="2"/>
        <v>11200.336209608526</v>
      </c>
      <c r="AH4" s="72">
        <f t="shared" si="2"/>
        <v>12768.383278953721</v>
      </c>
    </row>
    <row r="5" spans="2:87">
      <c r="B5" s="36" t="s">
        <v>561</v>
      </c>
      <c r="C5" s="65">
        <v>3.66</v>
      </c>
      <c r="D5" s="65">
        <v>3.5489999999999999</v>
      </c>
      <c r="E5" s="65">
        <v>5.1360000000000001</v>
      </c>
      <c r="F5" s="65">
        <f>14.247-SUM(C5:E5)</f>
        <v>1.902000000000001</v>
      </c>
      <c r="G5" s="65">
        <v>20.28</v>
      </c>
      <c r="H5" s="65">
        <v>28.059000000000001</v>
      </c>
      <c r="I5" s="65">
        <v>33.247</v>
      </c>
      <c r="J5" s="65">
        <f>114.749-SUM(G5:I5)</f>
        <v>33.162999999999997</v>
      </c>
      <c r="K5" s="65">
        <v>33.729999999999997</v>
      </c>
      <c r="L5" s="65">
        <v>34.840000000000003</v>
      </c>
      <c r="M5" s="65">
        <v>35.56</v>
      </c>
      <c r="W5" s="70">
        <f>SUM(C5:F5)</f>
        <v>14.247</v>
      </c>
      <c r="X5" s="70">
        <f>SUM(G5:J5)</f>
        <v>114.749</v>
      </c>
      <c r="Y5" s="72">
        <f t="shared" ref="Y5:AH5" si="3">X5*(1+Y9)</f>
        <v>144.58374000000001</v>
      </c>
      <c r="Z5" s="72">
        <f t="shared" si="3"/>
        <v>169.1629758</v>
      </c>
      <c r="AA5" s="72">
        <f t="shared" si="3"/>
        <v>191.15416265399998</v>
      </c>
      <c r="AB5" s="72">
        <f t="shared" si="3"/>
        <v>212.18112054593999</v>
      </c>
      <c r="AC5" s="72">
        <f t="shared" si="3"/>
        <v>231.27742139507461</v>
      </c>
      <c r="AD5" s="72">
        <f t="shared" si="3"/>
        <v>249.77961510668061</v>
      </c>
      <c r="AE5" s="72">
        <f t="shared" si="3"/>
        <v>267.26418816414827</v>
      </c>
      <c r="AF5" s="72">
        <f t="shared" si="3"/>
        <v>283.30003945399716</v>
      </c>
      <c r="AG5" s="72">
        <f t="shared" si="3"/>
        <v>297.46504142669704</v>
      </c>
      <c r="AH5" s="72">
        <f t="shared" si="3"/>
        <v>309.36364308376494</v>
      </c>
    </row>
    <row r="6" spans="2:87" s="2" customFormat="1" ht="15">
      <c r="B6" s="33" t="s">
        <v>62</v>
      </c>
      <c r="C6" s="66">
        <f t="shared" ref="C6:F6" si="4">SUM(C4:C5)</f>
        <v>163.74</v>
      </c>
      <c r="D6" s="66">
        <f t="shared" si="4"/>
        <v>183.029</v>
      </c>
      <c r="E6" s="66">
        <f t="shared" si="4"/>
        <v>207.50800000000001</v>
      </c>
      <c r="F6" s="66">
        <f t="shared" si="4"/>
        <v>248.75200000000001</v>
      </c>
      <c r="G6" s="66">
        <f t="shared" ref="G6:L6" si="5">SUM(G4:G5)</f>
        <v>242.96</v>
      </c>
      <c r="H6" s="66">
        <f t="shared" si="5"/>
        <v>281.18400000000003</v>
      </c>
      <c r="I6" s="66">
        <f t="shared" si="5"/>
        <v>348.351</v>
      </c>
      <c r="J6" s="66">
        <f t="shared" si="5"/>
        <v>427.70999999999992</v>
      </c>
      <c r="K6" s="66">
        <f t="shared" si="5"/>
        <v>392.36</v>
      </c>
      <c r="L6" s="66">
        <f t="shared" si="5"/>
        <v>499.62</v>
      </c>
      <c r="M6" s="66">
        <f t="shared" ref="M6" si="6">SUM(M4:M5)</f>
        <v>584.90200000000004</v>
      </c>
      <c r="N6" s="34"/>
      <c r="O6" s="34"/>
      <c r="P6" s="34"/>
      <c r="Q6" s="34"/>
      <c r="R6" s="34"/>
      <c r="W6" s="71">
        <f>SUM(C6:F6)</f>
        <v>803.029</v>
      </c>
      <c r="X6" s="71">
        <f>SUM(G6:J6)</f>
        <v>1300.2049999999999</v>
      </c>
      <c r="Y6" s="73">
        <f t="shared" ref="Y6:AH6" si="7">SUM(Y4:Y5)</f>
        <v>2230.9863</v>
      </c>
      <c r="Z6" s="73">
        <f t="shared" si="7"/>
        <v>3194.4466877999998</v>
      </c>
      <c r="AA6" s="73">
        <f t="shared" si="7"/>
        <v>4184.5286624939999</v>
      </c>
      <c r="AB6" s="73">
        <f t="shared" si="7"/>
        <v>5283.7667353427405</v>
      </c>
      <c r="AC6" s="73">
        <f t="shared" si="7"/>
        <v>6418.6118714471713</v>
      </c>
      <c r="AD6" s="73">
        <f t="shared" si="7"/>
        <v>7550.8342661681545</v>
      </c>
      <c r="AE6" s="73">
        <f t="shared" si="7"/>
        <v>8736.4875833954575</v>
      </c>
      <c r="AF6" s="73">
        <f t="shared" si="7"/>
        <v>10065.253060946159</v>
      </c>
      <c r="AG6" s="73">
        <f t="shared" si="7"/>
        <v>11497.801251035222</v>
      </c>
      <c r="AH6" s="73">
        <f t="shared" si="7"/>
        <v>13077.746922037486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</row>
    <row r="7" spans="2:87">
      <c r="B7" s="36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87">
      <c r="B8" s="37" t="s">
        <v>562</v>
      </c>
      <c r="G8" s="68">
        <f t="shared" ref="G8:K8" si="8">G4/C4-1</f>
        <v>0.39105447276361804</v>
      </c>
      <c r="H8" s="68">
        <f t="shared" si="8"/>
        <v>0.41032427011366179</v>
      </c>
      <c r="I8" s="68">
        <f t="shared" si="8"/>
        <v>0.55705334730100975</v>
      </c>
      <c r="J8" s="68">
        <f t="shared" si="8"/>
        <v>0.59832691918168868</v>
      </c>
      <c r="K8" s="68">
        <f t="shared" si="8"/>
        <v>0.61051733429135968</v>
      </c>
      <c r="L8" s="68">
        <f t="shared" ref="L8:M10" si="9">L4/H4-1</f>
        <v>0.83616790123456775</v>
      </c>
      <c r="M8" s="68">
        <f t="shared" si="9"/>
        <v>0.74336726921905161</v>
      </c>
      <c r="X8" s="68">
        <f>X4/W4-1</f>
        <v>0.50289433582409315</v>
      </c>
      <c r="Y8" s="80">
        <v>0.76</v>
      </c>
      <c r="Z8" s="80">
        <v>0.45</v>
      </c>
      <c r="AA8" s="80">
        <v>0.32</v>
      </c>
      <c r="AB8" s="80">
        <v>0.27</v>
      </c>
      <c r="AC8" s="80">
        <v>0.22</v>
      </c>
      <c r="AD8" s="80">
        <v>0.18</v>
      </c>
      <c r="AE8" s="80">
        <v>0.16</v>
      </c>
      <c r="AF8" s="80">
        <v>0.155</v>
      </c>
      <c r="AG8" s="80">
        <v>0.14499999999999999</v>
      </c>
      <c r="AH8" s="80">
        <v>0.14000000000000001</v>
      </c>
    </row>
    <row r="9" spans="2:87">
      <c r="B9" s="37" t="s">
        <v>563</v>
      </c>
      <c r="G9" s="68">
        <f t="shared" ref="G9:K9" si="10">G5/C5-1</f>
        <v>4.5409836065573774</v>
      </c>
      <c r="H9" s="68">
        <f t="shared" si="10"/>
        <v>6.9061707523245985</v>
      </c>
      <c r="I9" s="68">
        <f t="shared" si="10"/>
        <v>5.4733255451713392</v>
      </c>
      <c r="J9" s="68">
        <f t="shared" si="10"/>
        <v>16.435856992639316</v>
      </c>
      <c r="K9" s="68">
        <f t="shared" si="10"/>
        <v>0.66321499013806684</v>
      </c>
      <c r="L9" s="68">
        <f t="shared" si="9"/>
        <v>0.2416693396058307</v>
      </c>
      <c r="M9" s="68">
        <f t="shared" si="9"/>
        <v>6.9570186783770138E-2</v>
      </c>
      <c r="X9" s="68">
        <f t="shared" ref="X9" si="11">X5/W5-1</f>
        <v>7.0542570365691013</v>
      </c>
      <c r="Y9" s="80">
        <v>0.26</v>
      </c>
      <c r="Z9" s="80">
        <v>0.17</v>
      </c>
      <c r="AA9" s="80">
        <v>0.13</v>
      </c>
      <c r="AB9" s="80">
        <v>0.11</v>
      </c>
      <c r="AC9" s="80">
        <v>0.09</v>
      </c>
      <c r="AD9" s="80">
        <v>0.08</v>
      </c>
      <c r="AE9" s="80">
        <v>7.0000000000000007E-2</v>
      </c>
      <c r="AF9" s="80">
        <v>0.06</v>
      </c>
      <c r="AG9" s="80">
        <v>0.05</v>
      </c>
      <c r="AH9" s="80">
        <v>0.04</v>
      </c>
    </row>
    <row r="10" spans="2:87" s="2" customFormat="1" ht="15">
      <c r="B10" s="33" t="s">
        <v>115</v>
      </c>
      <c r="G10" s="69">
        <f>G6/C6-1</f>
        <v>0.48381580554537673</v>
      </c>
      <c r="H10" s="69">
        <f>H6/D6-1</f>
        <v>0.53628113577629799</v>
      </c>
      <c r="I10" s="69">
        <f>I6/E6-1</f>
        <v>0.67873527767604136</v>
      </c>
      <c r="J10" s="69">
        <f>J6/F6-1</f>
        <v>0.71942336142020924</v>
      </c>
      <c r="K10" s="69">
        <f>K6/G6-1</f>
        <v>0.61491603556140939</v>
      </c>
      <c r="L10" s="69">
        <f t="shared" si="9"/>
        <v>0.77684363263912593</v>
      </c>
      <c r="M10" s="69">
        <f t="shared" si="9"/>
        <v>0.67905933957416531</v>
      </c>
      <c r="N10" s="34"/>
      <c r="O10" s="34"/>
      <c r="P10" s="34"/>
      <c r="Q10" s="34"/>
      <c r="R10" s="34"/>
      <c r="X10" s="69">
        <f t="shared" ref="X10:AH10" si="12">X6/W6-1</f>
        <v>0.61912583480795824</v>
      </c>
      <c r="Y10" s="81">
        <f t="shared" si="12"/>
        <v>0.7158727277621606</v>
      </c>
      <c r="Z10" s="81">
        <f t="shared" si="12"/>
        <v>0.43185401353652408</v>
      </c>
      <c r="AA10" s="81">
        <f t="shared" si="12"/>
        <v>0.30993848746177233</v>
      </c>
      <c r="AB10" s="81">
        <f t="shared" si="12"/>
        <v>0.26269101289739738</v>
      </c>
      <c r="AC10" s="81">
        <f t="shared" si="12"/>
        <v>0.21477956786273933</v>
      </c>
      <c r="AD10" s="81">
        <f t="shared" si="12"/>
        <v>0.17639676886487088</v>
      </c>
      <c r="AE10" s="81">
        <f t="shared" si="12"/>
        <v>0.15702282362886377</v>
      </c>
      <c r="AF10" s="81">
        <f t="shared" si="12"/>
        <v>0.15209378653226158</v>
      </c>
      <c r="AG10" s="81">
        <f t="shared" si="12"/>
        <v>0.14232609765644577</v>
      </c>
      <c r="AH10" s="81">
        <f t="shared" si="12"/>
        <v>0.13741285281479465</v>
      </c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</row>
    <row r="11" spans="2:87"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87">
      <c r="B12" s="37" t="s">
        <v>564</v>
      </c>
      <c r="C12" s="68">
        <f t="shared" ref="C12:L12" si="13">C4/C6</f>
        <v>0.97764748992304873</v>
      </c>
      <c r="D12" s="68">
        <f t="shared" si="13"/>
        <v>0.98060963016789682</v>
      </c>
      <c r="E12" s="68">
        <f t="shared" si="13"/>
        <v>0.97524914702083776</v>
      </c>
      <c r="F12" s="68">
        <f t="shared" si="13"/>
        <v>0.99235383032096225</v>
      </c>
      <c r="G12" s="68">
        <f t="shared" si="13"/>
        <v>0.91652946987158379</v>
      </c>
      <c r="H12" s="68">
        <f t="shared" si="13"/>
        <v>0.90021124957323306</v>
      </c>
      <c r="I12" s="68">
        <f t="shared" si="13"/>
        <v>0.90455890753866064</v>
      </c>
      <c r="J12" s="68">
        <f t="shared" si="13"/>
        <v>0.92246381894274154</v>
      </c>
      <c r="K12" s="68">
        <f t="shared" si="13"/>
        <v>0.91403303088999899</v>
      </c>
      <c r="L12" s="68">
        <f t="shared" si="13"/>
        <v>0.93026700292222086</v>
      </c>
      <c r="M12" s="68">
        <f t="shared" ref="M12" si="14">M4/M6</f>
        <v>0.93920349049926299</v>
      </c>
      <c r="W12" s="68">
        <f t="shared" ref="W12:X12" si="15">W4/W6</f>
        <v>0.98225842404197117</v>
      </c>
      <c r="X12" s="68">
        <f t="shared" si="15"/>
        <v>0.91174545552432118</v>
      </c>
    </row>
    <row r="13" spans="2:87">
      <c r="B13" s="37" t="s">
        <v>565</v>
      </c>
      <c r="C13" s="68">
        <f t="shared" ref="C13:L13" si="16">C5/C6</f>
        <v>2.2352510076951264E-2</v>
      </c>
      <c r="D13" s="68">
        <f t="shared" si="16"/>
        <v>1.939036983210311E-2</v>
      </c>
      <c r="E13" s="68">
        <f t="shared" si="16"/>
        <v>2.4750852979162248E-2</v>
      </c>
      <c r="F13" s="68">
        <f t="shared" si="16"/>
        <v>7.6461696790377605E-3</v>
      </c>
      <c r="G13" s="68">
        <f t="shared" si="16"/>
        <v>8.3470530128416195E-2</v>
      </c>
      <c r="H13" s="68">
        <f t="shared" si="16"/>
        <v>9.9788750426766812E-2</v>
      </c>
      <c r="I13" s="68">
        <f t="shared" si="16"/>
        <v>9.5441092461339277E-2</v>
      </c>
      <c r="J13" s="68">
        <f t="shared" si="16"/>
        <v>7.753618105725843E-2</v>
      </c>
      <c r="K13" s="68">
        <f t="shared" si="16"/>
        <v>8.5966969110001012E-2</v>
      </c>
      <c r="L13" s="68">
        <f t="shared" si="16"/>
        <v>6.9732997077779121E-2</v>
      </c>
      <c r="M13" s="68">
        <f t="shared" ref="M13" si="17">M5/M6</f>
        <v>6.0796509500736874E-2</v>
      </c>
      <c r="W13" s="68">
        <f t="shared" ref="W13:X13" si="18">W5/W6</f>
        <v>1.7741575958028912E-2</v>
      </c>
      <c r="X13" s="68">
        <f t="shared" si="18"/>
        <v>8.8254544475678834E-2</v>
      </c>
    </row>
    <row r="15" spans="2:87">
      <c r="B15" s="1" t="s">
        <v>63</v>
      </c>
      <c r="C15" s="65">
        <v>130.64099999999999</v>
      </c>
      <c r="D15" s="65">
        <v>147.37200000000001</v>
      </c>
      <c r="E15" s="65">
        <v>168.97</v>
      </c>
      <c r="F15" s="65">
        <f>651.378-SUM(C15:E15)</f>
        <v>204.39499999999998</v>
      </c>
      <c r="G15" s="65">
        <v>199.803</v>
      </c>
      <c r="H15" s="65">
        <v>228.06899999999999</v>
      </c>
      <c r="I15" s="65">
        <v>287.93700000000001</v>
      </c>
      <c r="J15" s="65">
        <f>1063.556-SUM(G15:I15)</f>
        <v>347.74700000000007</v>
      </c>
      <c r="K15" s="65">
        <v>313.85199999999998</v>
      </c>
      <c r="L15" s="65">
        <v>408.84199999999998</v>
      </c>
      <c r="M15" s="65">
        <v>479.57</v>
      </c>
      <c r="W15" s="70">
        <f>SUM(C15:F15)</f>
        <v>651.37800000000004</v>
      </c>
      <c r="X15" s="70">
        <f>SUM(G15:J15)</f>
        <v>1063.556</v>
      </c>
    </row>
    <row r="16" spans="2:87">
      <c r="B16" s="1" t="s">
        <v>566</v>
      </c>
      <c r="C16" s="65">
        <v>33.090000000000003</v>
      </c>
      <c r="D16" s="65">
        <v>35.658999999999999</v>
      </c>
      <c r="E16" s="65">
        <v>38.537999999999997</v>
      </c>
      <c r="F16" s="65">
        <f>152.65-SUM(C16:E16)</f>
        <v>45.363000000000014</v>
      </c>
      <c r="G16" s="65">
        <v>43.16</v>
      </c>
      <c r="H16" s="65">
        <v>53.115000000000002</v>
      </c>
      <c r="I16" s="65">
        <v>60.414000000000001</v>
      </c>
      <c r="J16" s="65">
        <f>236.649-SUM(G16:I16)</f>
        <v>79.95999999999998</v>
      </c>
      <c r="K16" s="65">
        <v>78.509</v>
      </c>
      <c r="L16" s="65">
        <v>90.78</v>
      </c>
      <c r="M16" s="65">
        <v>105.33499999999999</v>
      </c>
      <c r="W16" s="70">
        <f>SUM(C16:F16)</f>
        <v>152.65</v>
      </c>
      <c r="X16" s="70">
        <f>SUM(G16:J16)</f>
        <v>236.649</v>
      </c>
    </row>
    <row r="17" spans="2:86">
      <c r="B17" s="1" t="s">
        <v>62</v>
      </c>
      <c r="C17" s="65">
        <f t="shared" ref="C17:E17" si="19">SUM(C15:C16)</f>
        <v>163.73099999999999</v>
      </c>
      <c r="D17" s="65">
        <f t="shared" si="19"/>
        <v>183.03100000000001</v>
      </c>
      <c r="E17" s="65">
        <f t="shared" si="19"/>
        <v>207.50799999999998</v>
      </c>
      <c r="F17" s="65">
        <f>SUM(F15:F16)</f>
        <v>249.75799999999998</v>
      </c>
      <c r="G17" s="65">
        <f t="shared" ref="G17:L17" si="20">SUM(G15:G16)</f>
        <v>242.96299999999999</v>
      </c>
      <c r="H17" s="65">
        <f t="shared" si="20"/>
        <v>281.18399999999997</v>
      </c>
      <c r="I17" s="65">
        <f t="shared" si="20"/>
        <v>348.351</v>
      </c>
      <c r="J17" s="65">
        <f t="shared" si="20"/>
        <v>427.70700000000005</v>
      </c>
      <c r="K17" s="65">
        <f t="shared" si="20"/>
        <v>392.36099999999999</v>
      </c>
      <c r="L17" s="65">
        <f t="shared" si="20"/>
        <v>499.62199999999996</v>
      </c>
      <c r="M17" s="65">
        <f t="shared" ref="M17" si="21">SUM(M15:M16)</f>
        <v>584.90499999999997</v>
      </c>
      <c r="W17" s="70">
        <f>SUM(C17:F17)</f>
        <v>804.02800000000002</v>
      </c>
      <c r="X17" s="70">
        <f>SUM(G17:J17)</f>
        <v>1300.2049999999999</v>
      </c>
    </row>
    <row r="19" spans="2:86">
      <c r="B19" s="1" t="s">
        <v>65</v>
      </c>
      <c r="G19" s="68">
        <f t="shared" ref="G19:K19" si="22">G15/C15-1</f>
        <v>0.52940501067811807</v>
      </c>
      <c r="H19" s="68">
        <f t="shared" si="22"/>
        <v>0.54757348750101764</v>
      </c>
      <c r="I19" s="68">
        <f t="shared" si="22"/>
        <v>0.7040717287092384</v>
      </c>
      <c r="J19" s="68">
        <f t="shared" si="22"/>
        <v>0.70134788032975415</v>
      </c>
      <c r="K19" s="68">
        <f t="shared" si="22"/>
        <v>0.57080724513645942</v>
      </c>
      <c r="L19" s="68">
        <f t="shared" ref="L19:M21" si="23">L15/H15-1</f>
        <v>0.79262416198606567</v>
      </c>
      <c r="M19" s="68">
        <f t="shared" si="23"/>
        <v>0.6655379475371348</v>
      </c>
      <c r="X19" s="68">
        <f>X15/W15-1</f>
        <v>0.63277850955973336</v>
      </c>
    </row>
    <row r="20" spans="2:86">
      <c r="B20" s="1" t="s">
        <v>567</v>
      </c>
      <c r="G20" s="68">
        <f t="shared" ref="G20:K20" si="24">G16/C16-1</f>
        <v>0.30432154729525518</v>
      </c>
      <c r="H20" s="68">
        <f t="shared" si="24"/>
        <v>0.4895257859165989</v>
      </c>
      <c r="I20" s="68">
        <f t="shared" si="24"/>
        <v>0.56764751673672764</v>
      </c>
      <c r="J20" s="68">
        <f t="shared" si="24"/>
        <v>0.7626700174150729</v>
      </c>
      <c r="K20" s="68">
        <f t="shared" si="24"/>
        <v>0.81902224281742364</v>
      </c>
      <c r="L20" s="68">
        <f t="shared" si="23"/>
        <v>0.70912171702908777</v>
      </c>
      <c r="M20" s="68">
        <f t="shared" si="23"/>
        <v>0.74355281888304026</v>
      </c>
      <c r="X20" s="68">
        <f t="shared" ref="X20:X21" si="25">X16/W16-1</f>
        <v>0.55027186374058301</v>
      </c>
    </row>
    <row r="21" spans="2:86">
      <c r="B21" s="37" t="s">
        <v>115</v>
      </c>
      <c r="G21" s="68">
        <f t="shared" ref="G21:K21" si="26">G17/C17-1</f>
        <v>0.48391569098093834</v>
      </c>
      <c r="H21" s="68">
        <f t="shared" si="26"/>
        <v>0.53626434866224826</v>
      </c>
      <c r="I21" s="68">
        <f t="shared" si="26"/>
        <v>0.67873527767604158</v>
      </c>
      <c r="J21" s="68">
        <f t="shared" si="26"/>
        <v>0.71248568614418795</v>
      </c>
      <c r="K21" s="68">
        <f t="shared" si="26"/>
        <v>0.61490021114326043</v>
      </c>
      <c r="L21" s="68">
        <f t="shared" si="23"/>
        <v>0.7768507454193696</v>
      </c>
      <c r="M21" s="68">
        <f t="shared" si="23"/>
        <v>0.67906795157757549</v>
      </c>
      <c r="X21" s="68">
        <f t="shared" si="25"/>
        <v>0.61711408060415796</v>
      </c>
    </row>
    <row r="23" spans="2:86">
      <c r="B23" s="38" t="s">
        <v>64</v>
      </c>
      <c r="C23" s="68">
        <f t="shared" ref="C23:K23" si="27">C15/C17</f>
        <v>0.79790021437601921</v>
      </c>
      <c r="D23" s="68">
        <f t="shared" si="27"/>
        <v>0.80517507963131929</v>
      </c>
      <c r="E23" s="68">
        <f t="shared" si="27"/>
        <v>0.81428185901266459</v>
      </c>
      <c r="F23" s="68">
        <f t="shared" si="27"/>
        <v>0.81837218427437763</v>
      </c>
      <c r="G23" s="68">
        <f t="shared" si="27"/>
        <v>0.82235978317686231</v>
      </c>
      <c r="H23" s="68">
        <f t="shared" si="27"/>
        <v>0.8111023386821441</v>
      </c>
      <c r="I23" s="68">
        <f t="shared" si="27"/>
        <v>0.82657147532230424</v>
      </c>
      <c r="J23" s="68">
        <f t="shared" si="27"/>
        <v>0.81304958768502744</v>
      </c>
      <c r="K23" s="68">
        <f t="shared" si="27"/>
        <v>0.79990620882299712</v>
      </c>
      <c r="L23" s="68">
        <f>L15/L17</f>
        <v>0.81830263679341586</v>
      </c>
      <c r="M23" s="68">
        <f>M15/M17</f>
        <v>0.81991092570588386</v>
      </c>
      <c r="W23" s="68">
        <f t="shared" ref="W23:X23" si="28">W15/W17</f>
        <v>0.8101434278408215</v>
      </c>
      <c r="X23" s="68">
        <f t="shared" si="28"/>
        <v>0.81799100911010192</v>
      </c>
    </row>
    <row r="24" spans="2:86">
      <c r="B24" s="1" t="s">
        <v>568</v>
      </c>
      <c r="C24" s="68">
        <f t="shared" ref="C24:K24" si="29">C16/C17</f>
        <v>0.20209978562398082</v>
      </c>
      <c r="D24" s="68">
        <f t="shared" si="29"/>
        <v>0.19482492036868071</v>
      </c>
      <c r="E24" s="68">
        <f t="shared" si="29"/>
        <v>0.18571814098733544</v>
      </c>
      <c r="F24" s="68">
        <f t="shared" si="29"/>
        <v>0.18162781572562248</v>
      </c>
      <c r="G24" s="68">
        <f t="shared" si="29"/>
        <v>0.17764021682313766</v>
      </c>
      <c r="H24" s="68">
        <f t="shared" si="29"/>
        <v>0.18889766131785596</v>
      </c>
      <c r="I24" s="68">
        <f t="shared" si="29"/>
        <v>0.17342852467769579</v>
      </c>
      <c r="J24" s="68">
        <f t="shared" si="29"/>
        <v>0.18695041231497256</v>
      </c>
      <c r="K24" s="68">
        <f t="shared" si="29"/>
        <v>0.20009379117700282</v>
      </c>
      <c r="L24" s="68">
        <f>L16/L17</f>
        <v>0.18169736320658419</v>
      </c>
      <c r="M24" s="68">
        <f>M16/M17</f>
        <v>0.18008907429411614</v>
      </c>
      <c r="W24" s="68">
        <f t="shared" ref="W24:X24" si="30">W16/W17</f>
        <v>0.18985657215917853</v>
      </c>
      <c r="X24" s="68">
        <f t="shared" si="30"/>
        <v>0.18200899088989814</v>
      </c>
    </row>
    <row r="25" spans="2:86"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</row>
    <row r="26" spans="2:86">
      <c r="B26" s="1" t="s">
        <v>578</v>
      </c>
      <c r="C26" s="74">
        <v>31.1</v>
      </c>
      <c r="D26" s="74">
        <v>32.1</v>
      </c>
      <c r="E26" s="74">
        <v>34.700000000000003</v>
      </c>
      <c r="F26" s="74">
        <v>36.4</v>
      </c>
      <c r="G26" s="74">
        <v>39.6</v>
      </c>
      <c r="H26" s="74">
        <v>42</v>
      </c>
      <c r="I26" s="74">
        <v>44.1</v>
      </c>
      <c r="J26" s="74">
        <v>46.1</v>
      </c>
      <c r="K26" s="74">
        <v>48.7</v>
      </c>
      <c r="L26" s="74">
        <v>49.3</v>
      </c>
      <c r="M26" s="74">
        <v>50.2</v>
      </c>
      <c r="W26" s="65">
        <f>F26</f>
        <v>36.4</v>
      </c>
      <c r="X26" s="65">
        <f>J26</f>
        <v>46.1</v>
      </c>
    </row>
    <row r="27" spans="2:86">
      <c r="B27" s="1" t="s">
        <v>579</v>
      </c>
      <c r="C27" s="74">
        <v>29.2</v>
      </c>
      <c r="D27" s="74">
        <v>28.3</v>
      </c>
      <c r="E27" s="74">
        <v>31.1</v>
      </c>
      <c r="F27" s="74">
        <v>36.700000000000003</v>
      </c>
      <c r="G27" s="74">
        <v>43.1</v>
      </c>
      <c r="H27" s="74">
        <v>49.2</v>
      </c>
      <c r="I27" s="74">
        <v>53.1</v>
      </c>
      <c r="J27" s="74">
        <v>55.6</v>
      </c>
      <c r="K27" s="74">
        <v>59.4</v>
      </c>
      <c r="L27" s="74">
        <v>61.1</v>
      </c>
      <c r="M27" s="74">
        <v>65.8</v>
      </c>
      <c r="W27" s="65">
        <f>F27</f>
        <v>36.700000000000003</v>
      </c>
      <c r="X27" s="65">
        <f>J27</f>
        <v>55.6</v>
      </c>
    </row>
    <row r="28" spans="2:86" s="2" customFormat="1" ht="15">
      <c r="B28" s="2" t="s">
        <v>580</v>
      </c>
      <c r="C28" s="75">
        <f t="shared" ref="C28:K28" si="31">SUM(C26:C27)</f>
        <v>60.3</v>
      </c>
      <c r="D28" s="75">
        <f t="shared" si="31"/>
        <v>60.400000000000006</v>
      </c>
      <c r="E28" s="75">
        <f t="shared" si="31"/>
        <v>65.800000000000011</v>
      </c>
      <c r="F28" s="75">
        <f t="shared" si="31"/>
        <v>73.099999999999994</v>
      </c>
      <c r="G28" s="75">
        <f t="shared" si="31"/>
        <v>82.7</v>
      </c>
      <c r="H28" s="75">
        <f t="shared" si="31"/>
        <v>91.2</v>
      </c>
      <c r="I28" s="75">
        <f t="shared" si="31"/>
        <v>97.2</v>
      </c>
      <c r="J28" s="75">
        <f t="shared" si="31"/>
        <v>101.7</v>
      </c>
      <c r="K28" s="75">
        <f t="shared" si="31"/>
        <v>108.1</v>
      </c>
      <c r="L28" s="75">
        <f>SUM(L26:L27)</f>
        <v>110.4</v>
      </c>
      <c r="M28" s="75">
        <f>SUM(M26:M27)</f>
        <v>116</v>
      </c>
      <c r="N28" s="34"/>
      <c r="O28" s="34"/>
      <c r="P28" s="34"/>
      <c r="Q28" s="34"/>
      <c r="R28" s="34"/>
      <c r="W28" s="66">
        <f>F28</f>
        <v>73.099999999999994</v>
      </c>
      <c r="X28" s="66">
        <f>J28</f>
        <v>101.7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</row>
    <row r="29" spans="2:86" s="2" customFormat="1" ht="15"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34"/>
      <c r="O29" s="34"/>
      <c r="P29" s="34"/>
      <c r="Q29" s="34"/>
      <c r="R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</row>
    <row r="30" spans="2:86" s="2" customFormat="1" ht="15">
      <c r="B30" s="2" t="s">
        <v>584</v>
      </c>
      <c r="C30" s="75">
        <v>218</v>
      </c>
      <c r="D30" s="75">
        <v>218.1</v>
      </c>
      <c r="E30" s="75">
        <v>239.1</v>
      </c>
      <c r="F30" s="75">
        <v>267.5</v>
      </c>
      <c r="G30" s="75">
        <v>306.2</v>
      </c>
      <c r="H30" s="75">
        <v>342.3</v>
      </c>
      <c r="I30" s="75">
        <v>365.4</v>
      </c>
      <c r="J30" s="75">
        <v>379.4</v>
      </c>
      <c r="K30" s="75">
        <v>401.3</v>
      </c>
      <c r="L30" s="75">
        <v>416.4</v>
      </c>
      <c r="M30" s="75">
        <v>443.8</v>
      </c>
      <c r="N30" s="34"/>
      <c r="O30" s="34"/>
      <c r="P30" s="34"/>
      <c r="Q30" s="34"/>
      <c r="R30" s="34"/>
      <c r="W30" s="66">
        <f>F30</f>
        <v>267.5</v>
      </c>
      <c r="X30" s="66">
        <f>J30</f>
        <v>379.4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</row>
    <row r="31" spans="2:86" s="2" customFormat="1" ht="15"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34"/>
      <c r="O31" s="34"/>
      <c r="P31" s="34"/>
      <c r="Q31" s="34"/>
      <c r="R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</row>
    <row r="32" spans="2:86" s="2" customFormat="1" ht="15">
      <c r="B32" s="1" t="s">
        <v>582</v>
      </c>
      <c r="C32" s="75"/>
      <c r="D32" s="75"/>
      <c r="E32" s="75"/>
      <c r="F32" s="75"/>
      <c r="G32" s="68">
        <f t="shared" ref="G32:K32" si="32">G28/C28-1</f>
        <v>0.37147595356550589</v>
      </c>
      <c r="H32" s="68">
        <f t="shared" si="32"/>
        <v>0.50993377483443703</v>
      </c>
      <c r="I32" s="68">
        <f t="shared" si="32"/>
        <v>0.47720364741641319</v>
      </c>
      <c r="J32" s="68">
        <f t="shared" si="32"/>
        <v>0.39124487004103981</v>
      </c>
      <c r="K32" s="68">
        <f t="shared" si="32"/>
        <v>0.30713422007255131</v>
      </c>
      <c r="L32" s="68">
        <f>L28/H28-1</f>
        <v>0.21052631578947367</v>
      </c>
      <c r="M32" s="68">
        <f>M28/I28-1</f>
        <v>0.1934156378600822</v>
      </c>
      <c r="N32" s="34"/>
      <c r="O32" s="34"/>
      <c r="P32" s="34"/>
      <c r="Q32" s="34"/>
      <c r="R32" s="34"/>
      <c r="X32" s="68">
        <f>X28/W28-1</f>
        <v>0.39124487004103981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</row>
    <row r="33" spans="2:86" s="2" customFormat="1" ht="15">
      <c r="B33" s="1" t="s">
        <v>583</v>
      </c>
      <c r="C33" s="75"/>
      <c r="D33" s="75"/>
      <c r="E33" s="75"/>
      <c r="F33" s="75"/>
      <c r="G33" s="68">
        <f t="shared" ref="G33:K33" si="33">G30/C30-1</f>
        <v>0.40458715596330275</v>
      </c>
      <c r="H33" s="68">
        <f t="shared" si="33"/>
        <v>0.56946354883081174</v>
      </c>
      <c r="I33" s="68">
        <f t="shared" si="33"/>
        <v>0.52823086574654954</v>
      </c>
      <c r="J33" s="68">
        <f t="shared" si="33"/>
        <v>0.4183177570093457</v>
      </c>
      <c r="K33" s="68">
        <f t="shared" si="33"/>
        <v>0.31058131939908562</v>
      </c>
      <c r="L33" s="68">
        <f>L30/H30-1</f>
        <v>0.2164767747589833</v>
      </c>
      <c r="M33" s="68">
        <f>M30/I30-1</f>
        <v>0.21455938697318011</v>
      </c>
      <c r="N33" s="34"/>
      <c r="O33" s="34"/>
      <c r="P33" s="34"/>
      <c r="Q33" s="34"/>
      <c r="R33" s="34"/>
      <c r="X33" s="68">
        <f>X30/W30-1</f>
        <v>0.4183177570093457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</row>
    <row r="35" spans="2:86" s="2" customFormat="1" ht="15">
      <c r="B35" s="2" t="s">
        <v>61</v>
      </c>
      <c r="C35" s="66">
        <f t="shared" ref="C35:L35" si="34">C6</f>
        <v>163.74</v>
      </c>
      <c r="D35" s="66">
        <f t="shared" si="34"/>
        <v>183.029</v>
      </c>
      <c r="E35" s="66">
        <f t="shared" si="34"/>
        <v>207.50800000000001</v>
      </c>
      <c r="F35" s="66">
        <f t="shared" si="34"/>
        <v>248.75200000000001</v>
      </c>
      <c r="G35" s="66">
        <f t="shared" si="34"/>
        <v>242.96</v>
      </c>
      <c r="H35" s="66">
        <f t="shared" si="34"/>
        <v>281.18400000000003</v>
      </c>
      <c r="I35" s="66">
        <f t="shared" si="34"/>
        <v>348.351</v>
      </c>
      <c r="J35" s="66">
        <f t="shared" si="34"/>
        <v>427.70999999999992</v>
      </c>
      <c r="K35" s="66">
        <f t="shared" si="34"/>
        <v>392.36</v>
      </c>
      <c r="L35" s="66">
        <f t="shared" si="34"/>
        <v>499.62</v>
      </c>
      <c r="M35" s="66">
        <f t="shared" ref="M35" si="35">M6</f>
        <v>584.90200000000004</v>
      </c>
      <c r="N35" s="83"/>
      <c r="O35" s="34"/>
      <c r="P35" s="34"/>
      <c r="Q35" s="34"/>
      <c r="R35" s="34"/>
      <c r="W35" s="66">
        <f t="shared" ref="W35:W45" si="36">SUM(C35:F35)</f>
        <v>803.029</v>
      </c>
      <c r="X35" s="66">
        <f t="shared" ref="X35:X45" si="37">SUM(G35:J35)</f>
        <v>1300.2049999999999</v>
      </c>
      <c r="Y35" s="73">
        <f>Y6</f>
        <v>2230.9863</v>
      </c>
      <c r="Z35" s="73">
        <f t="shared" ref="Z35:AH35" si="38">Z6</f>
        <v>3194.4466877999998</v>
      </c>
      <c r="AA35" s="73">
        <f t="shared" si="38"/>
        <v>4184.5286624939999</v>
      </c>
      <c r="AB35" s="73">
        <f t="shared" si="38"/>
        <v>5283.7667353427405</v>
      </c>
      <c r="AC35" s="73">
        <f t="shared" si="38"/>
        <v>6418.6118714471713</v>
      </c>
      <c r="AD35" s="73">
        <f t="shared" si="38"/>
        <v>7550.8342661681545</v>
      </c>
      <c r="AE35" s="73">
        <f t="shared" si="38"/>
        <v>8736.4875833954575</v>
      </c>
      <c r="AF35" s="73">
        <f t="shared" si="38"/>
        <v>10065.253060946159</v>
      </c>
      <c r="AG35" s="73">
        <f t="shared" si="38"/>
        <v>11497.801251035222</v>
      </c>
      <c r="AH35" s="73">
        <f t="shared" si="38"/>
        <v>13077.746922037486</v>
      </c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34"/>
      <c r="CH35" s="34"/>
    </row>
    <row r="36" spans="2:86">
      <c r="B36" s="1" t="s">
        <v>66</v>
      </c>
      <c r="C36" s="65">
        <v>26.863</v>
      </c>
      <c r="D36" s="65">
        <v>28.835999999999999</v>
      </c>
      <c r="E36" s="65">
        <v>26.395</v>
      </c>
      <c r="F36" s="65">
        <f>111.01-SUM(C36:E36)</f>
        <v>28.916000000000011</v>
      </c>
      <c r="G36" s="65">
        <v>27.616</v>
      </c>
      <c r="H36" s="65">
        <v>29.501000000000001</v>
      </c>
      <c r="I36" s="65">
        <v>34.633000000000003</v>
      </c>
      <c r="J36" s="65">
        <f>123.595-SUM(G36:I36)</f>
        <v>31.844999999999999</v>
      </c>
      <c r="K36" s="65">
        <v>37.088999999999999</v>
      </c>
      <c r="L36" s="65">
        <v>45.9</v>
      </c>
      <c r="M36" s="65">
        <v>52.509</v>
      </c>
      <c r="W36" s="65">
        <f t="shared" si="36"/>
        <v>111.01</v>
      </c>
      <c r="X36" s="65">
        <f t="shared" si="37"/>
        <v>123.595</v>
      </c>
      <c r="Y36" s="72">
        <f>Y35*(1-Y49)</f>
        <v>212.07328978776394</v>
      </c>
      <c r="Z36" s="72">
        <f t="shared" ref="Z36:AH36" si="39">Z35*(1-Z49)</f>
        <v>287.5002019019999</v>
      </c>
      <c r="AA36" s="72">
        <f t="shared" si="39"/>
        <v>366.14625796822509</v>
      </c>
      <c r="AB36" s="72">
        <f t="shared" si="39"/>
        <v>449.12017250413277</v>
      </c>
      <c r="AC36" s="72">
        <f t="shared" si="39"/>
        <v>513.4889497157734</v>
      </c>
      <c r="AD36" s="72">
        <f t="shared" si="39"/>
        <v>596.5159070272839</v>
      </c>
      <c r="AE36" s="72">
        <f t="shared" si="39"/>
        <v>681.44603150484534</v>
      </c>
      <c r="AF36" s="72">
        <f t="shared" si="39"/>
        <v>775.02448569285377</v>
      </c>
      <c r="AG36" s="72">
        <f t="shared" si="39"/>
        <v>873.83289507867642</v>
      </c>
      <c r="AH36" s="72">
        <f t="shared" si="39"/>
        <v>980.83101915281088</v>
      </c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</row>
    <row r="37" spans="2:86">
      <c r="B37" s="1" t="s">
        <v>67</v>
      </c>
      <c r="C37" s="65">
        <f t="shared" ref="C37:J37" si="40">C35-C36</f>
        <v>136.87700000000001</v>
      </c>
      <c r="D37" s="65">
        <f t="shared" si="40"/>
        <v>154.19299999999998</v>
      </c>
      <c r="E37" s="65">
        <f t="shared" si="40"/>
        <v>181.113</v>
      </c>
      <c r="F37" s="65">
        <f t="shared" si="40"/>
        <v>219.83600000000001</v>
      </c>
      <c r="G37" s="65">
        <f t="shared" si="40"/>
        <v>215.34399999999999</v>
      </c>
      <c r="H37" s="65">
        <f t="shared" si="40"/>
        <v>251.68300000000002</v>
      </c>
      <c r="I37" s="65">
        <f t="shared" si="40"/>
        <v>313.71800000000002</v>
      </c>
      <c r="J37" s="65">
        <f t="shared" si="40"/>
        <v>395.8649999999999</v>
      </c>
      <c r="K37" s="65">
        <f>K35-K36</f>
        <v>355.27100000000002</v>
      </c>
      <c r="L37" s="65">
        <f>L35-L36</f>
        <v>453.72</v>
      </c>
      <c r="M37" s="65">
        <f>M35-M36</f>
        <v>532.39300000000003</v>
      </c>
      <c r="W37" s="65">
        <f t="shared" si="36"/>
        <v>692.01900000000001</v>
      </c>
      <c r="X37" s="65">
        <f t="shared" si="37"/>
        <v>1176.6100000000001</v>
      </c>
      <c r="Y37" s="72">
        <f>Y35-Y36</f>
        <v>2018.913010212236</v>
      </c>
      <c r="Z37" s="72">
        <f t="shared" ref="Z37:AH37" si="41">Z35-Z36</f>
        <v>2906.946485898</v>
      </c>
      <c r="AA37" s="72">
        <f t="shared" si="41"/>
        <v>3818.3824045257747</v>
      </c>
      <c r="AB37" s="72">
        <f t="shared" si="41"/>
        <v>4834.6465628386077</v>
      </c>
      <c r="AC37" s="72">
        <f t="shared" si="41"/>
        <v>5905.1229217313976</v>
      </c>
      <c r="AD37" s="72">
        <f t="shared" si="41"/>
        <v>6954.3183591408706</v>
      </c>
      <c r="AE37" s="72">
        <f t="shared" si="41"/>
        <v>8055.041551890612</v>
      </c>
      <c r="AF37" s="72">
        <f t="shared" si="41"/>
        <v>9290.2285752533062</v>
      </c>
      <c r="AG37" s="72">
        <f t="shared" si="41"/>
        <v>10623.968355956546</v>
      </c>
      <c r="AH37" s="72">
        <f t="shared" si="41"/>
        <v>12096.915902884675</v>
      </c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</row>
    <row r="38" spans="2:86">
      <c r="B38" s="1" t="s">
        <v>569</v>
      </c>
      <c r="C38" s="65">
        <v>108.767</v>
      </c>
      <c r="D38" s="65">
        <v>109.72</v>
      </c>
      <c r="E38" s="65">
        <v>108.285</v>
      </c>
      <c r="F38" s="65">
        <f>438.346-SUM(C38:E38)</f>
        <v>111.57400000000001</v>
      </c>
      <c r="G38" s="65">
        <v>437.03</v>
      </c>
      <c r="H38" s="65">
        <v>142.77699999999999</v>
      </c>
      <c r="I38" s="65">
        <v>166.70099999999999</v>
      </c>
      <c r="J38" s="65">
        <f>935.152-SUM(G38:I38)</f>
        <v>188.64400000000001</v>
      </c>
      <c r="K38" s="65">
        <v>191.27099999999999</v>
      </c>
      <c r="L38" s="65">
        <v>196.61</v>
      </c>
      <c r="M38" s="65">
        <v>196.37899999999999</v>
      </c>
      <c r="N38" s="84"/>
      <c r="W38" s="65">
        <f t="shared" si="36"/>
        <v>438.346</v>
      </c>
      <c r="X38" s="65">
        <f t="shared" si="37"/>
        <v>935.15200000000004</v>
      </c>
      <c r="Y38" s="72">
        <f>Y35*Y50</f>
        <v>870.08465699999999</v>
      </c>
      <c r="Z38" s="72">
        <f t="shared" ref="Z38:AH38" si="42">Z35*Z50</f>
        <v>926.3895394619999</v>
      </c>
      <c r="AA38" s="72">
        <f t="shared" si="42"/>
        <v>1087.9774522484399</v>
      </c>
      <c r="AB38" s="72">
        <f t="shared" si="42"/>
        <v>1215.2663491288304</v>
      </c>
      <c r="AC38" s="72">
        <f t="shared" si="42"/>
        <v>1347.908493003906</v>
      </c>
      <c r="AD38" s="72">
        <f t="shared" si="42"/>
        <v>1359.1501679102678</v>
      </c>
      <c r="AE38" s="72">
        <f t="shared" si="42"/>
        <v>1397.8380133432731</v>
      </c>
      <c r="AF38" s="72">
        <f t="shared" si="42"/>
        <v>1509.7879591419239</v>
      </c>
      <c r="AG38" s="72">
        <f t="shared" si="42"/>
        <v>1609.6921751449313</v>
      </c>
      <c r="AH38" s="72">
        <f t="shared" si="42"/>
        <v>1700.1070998648731</v>
      </c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</row>
    <row r="39" spans="2:86">
      <c r="B39" s="1" t="s">
        <v>570</v>
      </c>
      <c r="C39" s="65">
        <v>57.911000000000001</v>
      </c>
      <c r="D39" s="65">
        <v>59.22</v>
      </c>
      <c r="E39" s="65">
        <v>55.113999999999997</v>
      </c>
      <c r="F39" s="65">
        <f>230.175-SUM(C39:E39)</f>
        <v>57.930000000000007</v>
      </c>
      <c r="G39" s="65">
        <v>124.095</v>
      </c>
      <c r="H39" s="65">
        <v>71.457999999999998</v>
      </c>
      <c r="I39" s="65">
        <v>74.510000000000005</v>
      </c>
      <c r="J39" s="65">
        <f>350.579-SUM(G39:I39)</f>
        <v>80.51600000000002</v>
      </c>
      <c r="K39" s="65">
        <v>90.685000000000002</v>
      </c>
      <c r="L39" s="65">
        <v>120.619</v>
      </c>
      <c r="M39" s="65">
        <v>128.70699999999999</v>
      </c>
      <c r="N39" s="84"/>
      <c r="W39" s="65">
        <f t="shared" si="36"/>
        <v>230.17500000000001</v>
      </c>
      <c r="X39" s="65">
        <f t="shared" si="37"/>
        <v>350.57900000000001</v>
      </c>
      <c r="Y39" s="72">
        <f>Y35*Y51</f>
        <v>479.66205450000001</v>
      </c>
      <c r="Z39" s="72">
        <f t="shared" ref="Z39:AH39" si="43">Z35*Z51</f>
        <v>862.50060570599999</v>
      </c>
      <c r="AA39" s="72">
        <f t="shared" si="43"/>
        <v>1129.8227388733801</v>
      </c>
      <c r="AB39" s="72">
        <f t="shared" si="43"/>
        <v>1426.6170185425401</v>
      </c>
      <c r="AC39" s="72">
        <f t="shared" si="43"/>
        <v>1733.0252052907363</v>
      </c>
      <c r="AD39" s="72">
        <f t="shared" si="43"/>
        <v>2038.7252518654018</v>
      </c>
      <c r="AE39" s="72">
        <f t="shared" si="43"/>
        <v>2358.8516475167735</v>
      </c>
      <c r="AF39" s="72">
        <f t="shared" si="43"/>
        <v>2717.6183264554634</v>
      </c>
      <c r="AG39" s="72">
        <f t="shared" si="43"/>
        <v>3104.4063377795101</v>
      </c>
      <c r="AH39" s="72">
        <f t="shared" si="43"/>
        <v>3530.9916689501215</v>
      </c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</row>
    <row r="40" spans="2:86">
      <c r="B40" s="1" t="s">
        <v>571</v>
      </c>
      <c r="C40" s="65">
        <v>40.801000000000002</v>
      </c>
      <c r="D40" s="65">
        <v>38.229999999999997</v>
      </c>
      <c r="E40" s="65">
        <v>37.298999999999999</v>
      </c>
      <c r="F40" s="65">
        <f>164.658-SUM(C40:E40)</f>
        <v>48.327999999999975</v>
      </c>
      <c r="G40" s="65">
        <v>243.477</v>
      </c>
      <c r="H40" s="65">
        <v>68.486999999999995</v>
      </c>
      <c r="I40" s="65">
        <v>65.650000000000006</v>
      </c>
      <c r="J40" s="65">
        <f>451.447-SUM(G40:I40)</f>
        <v>73.83299999999997</v>
      </c>
      <c r="K40" s="65">
        <v>69.412999999999997</v>
      </c>
      <c r="L40" s="65">
        <v>68.787000000000006</v>
      </c>
      <c r="M40" s="65">
        <v>68.774000000000001</v>
      </c>
      <c r="W40" s="65">
        <f t="shared" si="36"/>
        <v>164.65799999999999</v>
      </c>
      <c r="X40" s="65">
        <f t="shared" si="37"/>
        <v>451.447</v>
      </c>
      <c r="Y40" s="72">
        <f>Y35*Y52</f>
        <v>713.915616</v>
      </c>
      <c r="Z40" s="72">
        <f t="shared" ref="Z40:AH40" si="44">Z35*Z52</f>
        <v>1022.222940096</v>
      </c>
      <c r="AA40" s="72">
        <f t="shared" si="44"/>
        <v>1339.0491719980801</v>
      </c>
      <c r="AB40" s="72">
        <f t="shared" si="44"/>
        <v>1690.805355309677</v>
      </c>
      <c r="AC40" s="72">
        <f t="shared" si="44"/>
        <v>2053.955798863095</v>
      </c>
      <c r="AD40" s="72">
        <f t="shared" si="44"/>
        <v>2416.2669651738097</v>
      </c>
      <c r="AE40" s="72">
        <f t="shared" si="44"/>
        <v>2795.6760266865463</v>
      </c>
      <c r="AF40" s="72">
        <f t="shared" si="44"/>
        <v>3220.880979502771</v>
      </c>
      <c r="AG40" s="72">
        <f t="shared" si="44"/>
        <v>3679.2964003312709</v>
      </c>
      <c r="AH40" s="72">
        <f t="shared" si="44"/>
        <v>4184.8790150519953</v>
      </c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</row>
    <row r="41" spans="2:86">
      <c r="B41" s="1" t="s">
        <v>572</v>
      </c>
      <c r="C41" s="65">
        <f>C37-SUM(C38:C40)</f>
        <v>-70.601999999999975</v>
      </c>
      <c r="D41" s="65">
        <f t="shared" ref="D41:L41" si="45">D37-SUM(D38:D40)</f>
        <v>-52.977000000000004</v>
      </c>
      <c r="E41" s="65">
        <f t="shared" si="45"/>
        <v>-19.585000000000008</v>
      </c>
      <c r="F41" s="65">
        <f t="shared" si="45"/>
        <v>2.0040000000000191</v>
      </c>
      <c r="G41" s="65">
        <f t="shared" si="45"/>
        <v>-589.25800000000004</v>
      </c>
      <c r="H41" s="65">
        <f t="shared" si="45"/>
        <v>-31.038999999999959</v>
      </c>
      <c r="I41" s="65">
        <f t="shared" si="45"/>
        <v>6.8570000000000277</v>
      </c>
      <c r="J41" s="65">
        <f t="shared" si="45"/>
        <v>52.8719999999999</v>
      </c>
      <c r="K41" s="65">
        <f t="shared" si="45"/>
        <v>3.9019999999999868</v>
      </c>
      <c r="L41" s="65">
        <f t="shared" si="45"/>
        <v>67.703999999999951</v>
      </c>
      <c r="M41" s="65">
        <f t="shared" ref="M41" si="46">M37-SUM(M38:M40)</f>
        <v>138.53300000000002</v>
      </c>
      <c r="W41" s="65">
        <f t="shared" si="36"/>
        <v>-141.15999999999997</v>
      </c>
      <c r="X41" s="65">
        <f t="shared" si="37"/>
        <v>-560.56800000000021</v>
      </c>
      <c r="Y41" s="72">
        <f>Y37-SUM(Y38:Y40)</f>
        <v>-44.749317287764143</v>
      </c>
      <c r="Z41" s="72">
        <f t="shared" ref="Z41:AH41" si="47">Z37-SUM(Z38:Z40)</f>
        <v>95.8334006340001</v>
      </c>
      <c r="AA41" s="72">
        <f t="shared" si="47"/>
        <v>261.53304140587488</v>
      </c>
      <c r="AB41" s="72">
        <f t="shared" si="47"/>
        <v>501.95783985756043</v>
      </c>
      <c r="AC41" s="72">
        <f t="shared" si="47"/>
        <v>770.23342457366016</v>
      </c>
      <c r="AD41" s="72">
        <f t="shared" si="47"/>
        <v>1140.1759741913911</v>
      </c>
      <c r="AE41" s="72">
        <f t="shared" si="47"/>
        <v>1502.6758643440189</v>
      </c>
      <c r="AF41" s="72">
        <f t="shared" si="47"/>
        <v>1841.9413101531482</v>
      </c>
      <c r="AG41" s="72">
        <f t="shared" si="47"/>
        <v>2230.5734427008319</v>
      </c>
      <c r="AH41" s="72">
        <f t="shared" si="47"/>
        <v>2680.9381190176846</v>
      </c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</row>
    <row r="42" spans="2:86">
      <c r="B42" s="1" t="s">
        <v>573</v>
      </c>
      <c r="C42" s="65">
        <v>10.724</v>
      </c>
      <c r="D42" s="65">
        <v>13.305999999999999</v>
      </c>
      <c r="E42" s="65">
        <v>12.647</v>
      </c>
      <c r="F42" s="65">
        <f>53.138-SUM(C42:E42)</f>
        <v>16.460999999999999</v>
      </c>
      <c r="G42" s="65">
        <v>14.554</v>
      </c>
      <c r="H42" s="65">
        <v>20.724</v>
      </c>
      <c r="I42" s="65">
        <v>22.96</v>
      </c>
      <c r="J42" s="65">
        <f>75.361-SUM(G42:I42)</f>
        <v>17.123000000000005</v>
      </c>
      <c r="K42" s="65">
        <v>20.533999999999999</v>
      </c>
      <c r="L42" s="65">
        <v>21.146999999999998</v>
      </c>
      <c r="M42" s="65">
        <v>22.035</v>
      </c>
      <c r="W42" s="65">
        <f t="shared" si="36"/>
        <v>53.137999999999998</v>
      </c>
      <c r="X42" s="65">
        <f t="shared" si="37"/>
        <v>75.361000000000004</v>
      </c>
      <c r="Y42" s="72">
        <f>SUM(X57:X58)*($AH$59)</f>
        <v>1030.8491200000001</v>
      </c>
      <c r="Z42" s="72">
        <f>Y57*($AH$59)</f>
        <v>1588.5871684140411</v>
      </c>
      <c r="AA42" s="72">
        <f t="shared" ref="AA42:AH42" si="48">Z57*($AH$59)</f>
        <v>2541.2954422676135</v>
      </c>
      <c r="AB42" s="72">
        <f t="shared" si="48"/>
        <v>4032.400195581909</v>
      </c>
      <c r="AC42" s="72">
        <f t="shared" si="48"/>
        <v>6444.6786704357064</v>
      </c>
      <c r="AD42" s="72">
        <f t="shared" si="48"/>
        <v>10283.011904980689</v>
      </c>
      <c r="AE42" s="72">
        <f t="shared" si="48"/>
        <v>16360.147856700238</v>
      </c>
      <c r="AF42" s="72">
        <f t="shared" si="48"/>
        <v>25863.170076295784</v>
      </c>
      <c r="AG42" s="72">
        <f t="shared" si="48"/>
        <v>40602.28933388662</v>
      </c>
      <c r="AH42" s="72">
        <f t="shared" si="48"/>
        <v>63389.372331031147</v>
      </c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</row>
    <row r="43" spans="2:86">
      <c r="B43" s="1" t="s">
        <v>574</v>
      </c>
      <c r="C43" s="65">
        <f>C41+C42</f>
        <v>-59.877999999999972</v>
      </c>
      <c r="D43" s="65">
        <f t="shared" ref="D43:L43" si="49">D41+D42</f>
        <v>-39.671000000000006</v>
      </c>
      <c r="E43" s="65">
        <f t="shared" si="49"/>
        <v>-6.9380000000000077</v>
      </c>
      <c r="F43" s="65">
        <f t="shared" si="49"/>
        <v>18.465000000000018</v>
      </c>
      <c r="G43" s="65">
        <f t="shared" si="49"/>
        <v>-574.70400000000006</v>
      </c>
      <c r="H43" s="65">
        <f t="shared" si="49"/>
        <v>-10.314999999999959</v>
      </c>
      <c r="I43" s="65">
        <f t="shared" si="49"/>
        <v>29.817000000000029</v>
      </c>
      <c r="J43" s="65">
        <f t="shared" si="49"/>
        <v>69.994999999999905</v>
      </c>
      <c r="K43" s="65">
        <f t="shared" si="49"/>
        <v>24.435999999999986</v>
      </c>
      <c r="L43" s="65">
        <f t="shared" si="49"/>
        <v>88.850999999999942</v>
      </c>
      <c r="M43" s="65">
        <f t="shared" ref="M43" si="50">M41+M42</f>
        <v>160.56800000000001</v>
      </c>
      <c r="W43" s="65">
        <f t="shared" si="36"/>
        <v>-88.021999999999963</v>
      </c>
      <c r="X43" s="65">
        <f t="shared" si="37"/>
        <v>-485.20700000000011</v>
      </c>
      <c r="Y43" s="72">
        <f>Y41+Y42</f>
        <v>986.09980271223594</v>
      </c>
      <c r="Z43" s="72">
        <f t="shared" ref="Z43:AH43" si="51">Z41+Z42</f>
        <v>1684.4205690480412</v>
      </c>
      <c r="AA43" s="72">
        <f t="shared" si="51"/>
        <v>2802.8284836734883</v>
      </c>
      <c r="AB43" s="72">
        <f t="shared" si="51"/>
        <v>4534.3580354394689</v>
      </c>
      <c r="AC43" s="72">
        <f t="shared" si="51"/>
        <v>7214.9120950093666</v>
      </c>
      <c r="AD43" s="72">
        <f t="shared" si="51"/>
        <v>11423.187879172081</v>
      </c>
      <c r="AE43" s="72">
        <f t="shared" si="51"/>
        <v>17862.823721044257</v>
      </c>
      <c r="AF43" s="72">
        <f t="shared" si="51"/>
        <v>27705.111386448931</v>
      </c>
      <c r="AG43" s="72">
        <f t="shared" si="51"/>
        <v>42832.862776587455</v>
      </c>
      <c r="AH43" s="72">
        <f t="shared" si="51"/>
        <v>66070.310450048826</v>
      </c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</row>
    <row r="44" spans="2:86">
      <c r="B44" s="1" t="s">
        <v>575</v>
      </c>
      <c r="C44" s="65">
        <v>0.98799999999999999</v>
      </c>
      <c r="D44" s="65">
        <v>1.4259999999999999</v>
      </c>
      <c r="E44" s="65">
        <v>0.44500000000000001</v>
      </c>
      <c r="F44" s="65">
        <f>3.801-SUM(C44:E44)</f>
        <v>0.94200000000000061</v>
      </c>
      <c r="G44" s="65">
        <v>0.36499999999999999</v>
      </c>
      <c r="H44" s="65">
        <v>-0.216</v>
      </c>
      <c r="I44" s="65">
        <v>-0.03</v>
      </c>
      <c r="J44" s="65">
        <f>-0.931-SUM(G44:I44)</f>
        <v>-1.05</v>
      </c>
      <c r="K44" s="65">
        <v>-1.72</v>
      </c>
      <c r="L44" s="65">
        <v>-0.439</v>
      </c>
      <c r="M44" s="65">
        <v>-2.0859999999999999</v>
      </c>
      <c r="W44" s="65">
        <f t="shared" si="36"/>
        <v>3.8010000000000002</v>
      </c>
      <c r="X44" s="65">
        <f t="shared" si="37"/>
        <v>-0.93100000000000005</v>
      </c>
      <c r="Y44" s="72">
        <f>Y43*Y54</f>
        <v>-9.8609980271223598</v>
      </c>
      <c r="Z44" s="72">
        <f t="shared" ref="Z44:AH44" si="52">Z43*Z54</f>
        <v>-16.844205690480411</v>
      </c>
      <c r="AA44" s="72">
        <f t="shared" si="52"/>
        <v>140.14142418367442</v>
      </c>
      <c r="AB44" s="72">
        <f t="shared" si="52"/>
        <v>226.71790177197346</v>
      </c>
      <c r="AC44" s="72">
        <f t="shared" si="52"/>
        <v>360.74560475046837</v>
      </c>
      <c r="AD44" s="72">
        <f t="shared" si="52"/>
        <v>571.15939395860403</v>
      </c>
      <c r="AE44" s="72">
        <f t="shared" si="52"/>
        <v>893.1411860522129</v>
      </c>
      <c r="AF44" s="72">
        <f t="shared" si="52"/>
        <v>1385.2555693224467</v>
      </c>
      <c r="AG44" s="72">
        <f t="shared" si="52"/>
        <v>2141.6431388293727</v>
      </c>
      <c r="AH44" s="72">
        <f t="shared" si="52"/>
        <v>3303.5155225024414</v>
      </c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</row>
    <row r="45" spans="2:86" s="2" customFormat="1" ht="15">
      <c r="B45" s="2" t="s">
        <v>576</v>
      </c>
      <c r="C45" s="66">
        <f>C43-C44</f>
        <v>-60.865999999999971</v>
      </c>
      <c r="D45" s="66">
        <f t="shared" ref="D45:L45" si="53">D43-D44</f>
        <v>-41.097000000000008</v>
      </c>
      <c r="E45" s="66">
        <f t="shared" si="53"/>
        <v>-7.383000000000008</v>
      </c>
      <c r="F45" s="66">
        <f t="shared" si="53"/>
        <v>17.523000000000017</v>
      </c>
      <c r="G45" s="66">
        <f t="shared" si="53"/>
        <v>-575.06900000000007</v>
      </c>
      <c r="H45" s="66">
        <f t="shared" si="53"/>
        <v>-10.098999999999959</v>
      </c>
      <c r="I45" s="66">
        <f t="shared" si="53"/>
        <v>29.84700000000003</v>
      </c>
      <c r="J45" s="66">
        <f t="shared" si="53"/>
        <v>71.044999999999902</v>
      </c>
      <c r="K45" s="66">
        <f t="shared" si="53"/>
        <v>26.155999999999985</v>
      </c>
      <c r="L45" s="66">
        <f t="shared" si="53"/>
        <v>89.289999999999935</v>
      </c>
      <c r="M45" s="66">
        <f t="shared" ref="M45" si="54">M43-M44</f>
        <v>162.65400000000002</v>
      </c>
      <c r="N45" s="34"/>
      <c r="O45" s="34"/>
      <c r="P45" s="34"/>
      <c r="Q45" s="34"/>
      <c r="R45" s="34"/>
      <c r="W45" s="66">
        <f t="shared" si="36"/>
        <v>-91.822999999999979</v>
      </c>
      <c r="X45" s="66">
        <f t="shared" si="37"/>
        <v>-484.27600000000012</v>
      </c>
      <c r="Y45" s="73">
        <f>Y43-Y44</f>
        <v>995.96080073935832</v>
      </c>
      <c r="Z45" s="73">
        <f t="shared" ref="Z45:AH45" si="55">Z43-Z44</f>
        <v>1701.2647747385217</v>
      </c>
      <c r="AA45" s="73">
        <f t="shared" si="55"/>
        <v>2662.6870594898137</v>
      </c>
      <c r="AB45" s="73">
        <f t="shared" si="55"/>
        <v>4307.6401336674953</v>
      </c>
      <c r="AC45" s="73">
        <f t="shared" si="55"/>
        <v>6854.1664902588982</v>
      </c>
      <c r="AD45" s="73">
        <f t="shared" si="55"/>
        <v>10852.028485213477</v>
      </c>
      <c r="AE45" s="73">
        <f t="shared" si="55"/>
        <v>16969.682534992044</v>
      </c>
      <c r="AF45" s="73">
        <f t="shared" si="55"/>
        <v>26319.855817126485</v>
      </c>
      <c r="AG45" s="73">
        <f t="shared" si="55"/>
        <v>40691.219637758084</v>
      </c>
      <c r="AH45" s="73">
        <f t="shared" si="55"/>
        <v>62766.794927546383</v>
      </c>
      <c r="AI45" s="73">
        <f>AH45*(1+$AH$60)</f>
        <v>64179.047813416175</v>
      </c>
      <c r="AJ45" s="73">
        <f t="shared" ref="AJ45:CF45" si="56">AI45*(1+$AH$60)</f>
        <v>65623.07638921804</v>
      </c>
      <c r="AK45" s="73">
        <f t="shared" si="56"/>
        <v>67099.59560797544</v>
      </c>
      <c r="AL45" s="73">
        <f t="shared" si="56"/>
        <v>68609.336509154891</v>
      </c>
      <c r="AM45" s="73">
        <f t="shared" si="56"/>
        <v>70153.04658061087</v>
      </c>
      <c r="AN45" s="73">
        <f t="shared" si="56"/>
        <v>71731.490128674617</v>
      </c>
      <c r="AO45" s="73">
        <f t="shared" si="56"/>
        <v>73345.448656569788</v>
      </c>
      <c r="AP45" s="73">
        <f t="shared" si="56"/>
        <v>74995.721251342606</v>
      </c>
      <c r="AQ45" s="73">
        <f t="shared" si="56"/>
        <v>76683.124979497807</v>
      </c>
      <c r="AR45" s="73">
        <f t="shared" si="56"/>
        <v>78408.495291536499</v>
      </c>
      <c r="AS45" s="73">
        <f t="shared" si="56"/>
        <v>80172.686435596072</v>
      </c>
      <c r="AT45" s="73">
        <f t="shared" si="56"/>
        <v>81976.571880396979</v>
      </c>
      <c r="AU45" s="73">
        <f t="shared" si="56"/>
        <v>83821.044747705906</v>
      </c>
      <c r="AV45" s="73">
        <f t="shared" si="56"/>
        <v>85707.018254529292</v>
      </c>
      <c r="AW45" s="73">
        <f t="shared" si="56"/>
        <v>87635.426165256198</v>
      </c>
      <c r="AX45" s="73">
        <f t="shared" si="56"/>
        <v>89607.223253974458</v>
      </c>
      <c r="AY45" s="73">
        <f t="shared" si="56"/>
        <v>91623.385777188887</v>
      </c>
      <c r="AZ45" s="73">
        <f t="shared" si="56"/>
        <v>93684.911957175631</v>
      </c>
      <c r="BA45" s="73">
        <f t="shared" si="56"/>
        <v>95792.822476212081</v>
      </c>
      <c r="BB45" s="73">
        <f t="shared" si="56"/>
        <v>97948.160981926849</v>
      </c>
      <c r="BC45" s="73">
        <f t="shared" si="56"/>
        <v>100151.9946040202</v>
      </c>
      <c r="BD45" s="73">
        <f t="shared" si="56"/>
        <v>102405.41448261065</v>
      </c>
      <c r="BE45" s="73">
        <f t="shared" si="56"/>
        <v>104709.53630846938</v>
      </c>
      <c r="BF45" s="73">
        <f t="shared" si="56"/>
        <v>107065.50087540994</v>
      </c>
      <c r="BG45" s="73">
        <f t="shared" si="56"/>
        <v>109474.47464510666</v>
      </c>
      <c r="BH45" s="73">
        <f t="shared" si="56"/>
        <v>111937.65032462156</v>
      </c>
      <c r="BI45" s="73">
        <f t="shared" si="56"/>
        <v>114456.24745692554</v>
      </c>
      <c r="BJ45" s="73">
        <f t="shared" si="56"/>
        <v>117031.51302470636</v>
      </c>
      <c r="BK45" s="73">
        <f t="shared" si="56"/>
        <v>119664.72206776225</v>
      </c>
      <c r="BL45" s="73">
        <f t="shared" si="56"/>
        <v>122357.1783142869</v>
      </c>
      <c r="BM45" s="73">
        <f t="shared" si="56"/>
        <v>125110.21482635835</v>
      </c>
      <c r="BN45" s="73">
        <f t="shared" si="56"/>
        <v>127925.1946599514</v>
      </c>
      <c r="BO45" s="73">
        <f t="shared" si="56"/>
        <v>130803.51153980031</v>
      </c>
      <c r="BP45" s="73">
        <f t="shared" si="56"/>
        <v>133746.59054944583</v>
      </c>
      <c r="BQ45" s="73">
        <f t="shared" si="56"/>
        <v>136755.88883680836</v>
      </c>
      <c r="BR45" s="73">
        <f t="shared" si="56"/>
        <v>139832.89633563653</v>
      </c>
      <c r="BS45" s="73">
        <f t="shared" si="56"/>
        <v>142979.13650318835</v>
      </c>
      <c r="BT45" s="73">
        <f t="shared" si="56"/>
        <v>146196.16707451007</v>
      </c>
      <c r="BU45" s="73">
        <f t="shared" si="56"/>
        <v>149485.58083368654</v>
      </c>
      <c r="BV45" s="73">
        <f t="shared" si="56"/>
        <v>152849.00640244447</v>
      </c>
      <c r="BW45" s="73">
        <f t="shared" si="56"/>
        <v>156288.10904649948</v>
      </c>
      <c r="BX45" s="73">
        <f t="shared" si="56"/>
        <v>159804.5915000457</v>
      </c>
      <c r="BY45" s="73">
        <f t="shared" si="56"/>
        <v>163400.19480879672</v>
      </c>
      <c r="BZ45" s="73">
        <f t="shared" si="56"/>
        <v>167076.69919199464</v>
      </c>
      <c r="CA45" s="73">
        <f t="shared" si="56"/>
        <v>170835.92492381451</v>
      </c>
      <c r="CB45" s="73">
        <f t="shared" si="56"/>
        <v>174679.73323460034</v>
      </c>
      <c r="CC45" s="73">
        <f t="shared" si="56"/>
        <v>178610.02723237884</v>
      </c>
      <c r="CD45" s="73">
        <f t="shared" si="56"/>
        <v>182628.75284510734</v>
      </c>
      <c r="CE45" s="73">
        <f t="shared" si="56"/>
        <v>186737.89978412224</v>
      </c>
      <c r="CF45" s="73">
        <f t="shared" si="56"/>
        <v>190939.50252926498</v>
      </c>
      <c r="CG45" s="34"/>
      <c r="CH45" s="34"/>
    </row>
    <row r="46" spans="2:86">
      <c r="B46" s="1" t="s">
        <v>84</v>
      </c>
      <c r="C46" s="65">
        <v>58.113999999999997</v>
      </c>
      <c r="D46" s="65">
        <v>58.508000000000003</v>
      </c>
      <c r="E46" s="65">
        <v>58.854999999999997</v>
      </c>
      <c r="F46" s="65">
        <v>59.137999999999998</v>
      </c>
      <c r="G46" s="65">
        <v>70.239999999999995</v>
      </c>
      <c r="H46" s="65">
        <v>164.38</v>
      </c>
      <c r="I46" s="65">
        <v>169.16900000000001</v>
      </c>
      <c r="J46" s="65">
        <v>145.47200000000001</v>
      </c>
      <c r="K46" s="65">
        <v>182.024</v>
      </c>
      <c r="L46" s="65">
        <v>185.43700000000001</v>
      </c>
      <c r="M46" s="65">
        <v>188.041</v>
      </c>
      <c r="W46" s="65">
        <f>AVERAGE(C46:F46)</f>
        <v>58.653750000000002</v>
      </c>
      <c r="X46" s="65">
        <f>AVERAGE(G46:J46)</f>
        <v>137.31524999999999</v>
      </c>
      <c r="Y46" s="84"/>
      <c r="Z46" s="84"/>
      <c r="AA46" s="84"/>
      <c r="AB46" s="84"/>
      <c r="AC46" s="84"/>
      <c r="AD46" s="84"/>
      <c r="AE46" s="84"/>
      <c r="AF46" s="84"/>
      <c r="AG46" s="84"/>
      <c r="AH46" s="84"/>
    </row>
    <row r="47" spans="2:86">
      <c r="B47" s="1" t="s">
        <v>577</v>
      </c>
      <c r="C47" s="40">
        <f>C45/C46</f>
        <v>-1.0473551984031382</v>
      </c>
      <c r="D47" s="40">
        <f t="shared" ref="D47:L47" si="57">D45/D46</f>
        <v>-0.70241676351951876</v>
      </c>
      <c r="E47" s="40">
        <f t="shared" si="57"/>
        <v>-0.12544388752017685</v>
      </c>
      <c r="F47" s="40">
        <f t="shared" si="57"/>
        <v>0.29630694308228245</v>
      </c>
      <c r="G47" s="40">
        <f t="shared" si="57"/>
        <v>-8.1872010250569485</v>
      </c>
      <c r="H47" s="40">
        <f t="shared" si="57"/>
        <v>-6.1436914466479864E-2</v>
      </c>
      <c r="I47" s="40">
        <f t="shared" si="57"/>
        <v>0.17643303442120026</v>
      </c>
      <c r="J47" s="40">
        <f t="shared" si="57"/>
        <v>0.48837576990761039</v>
      </c>
      <c r="K47" s="40">
        <f t="shared" si="57"/>
        <v>0.14369533687865327</v>
      </c>
      <c r="L47" s="40">
        <f t="shared" si="57"/>
        <v>0.48151124101446813</v>
      </c>
      <c r="M47" s="40">
        <f t="shared" ref="M47" si="58">M45/M46</f>
        <v>0.86499220914587793</v>
      </c>
      <c r="W47" s="65">
        <f>SUM(C47:F47)</f>
        <v>-1.5789089063605515</v>
      </c>
      <c r="X47" s="65">
        <f>SUM(G47:J47)</f>
        <v>-7.5838291351946188</v>
      </c>
      <c r="Y47" s="84"/>
      <c r="Z47" s="84"/>
      <c r="AA47" s="84"/>
      <c r="AB47" s="84"/>
      <c r="AC47" s="84"/>
      <c r="AD47" s="84"/>
      <c r="AE47" s="84"/>
      <c r="AF47" s="84"/>
      <c r="AG47" s="84"/>
      <c r="AH47" s="84"/>
    </row>
    <row r="49" spans="2:35">
      <c r="B49" s="37" t="s">
        <v>68</v>
      </c>
      <c r="C49" s="68">
        <f t="shared" ref="C49:K49" si="59">C37/C35</f>
        <v>0.83594112617564431</v>
      </c>
      <c r="D49" s="68">
        <f t="shared" si="59"/>
        <v>0.84245119625851639</v>
      </c>
      <c r="E49" s="68">
        <f t="shared" si="59"/>
        <v>0.87280008481600702</v>
      </c>
      <c r="F49" s="68">
        <f t="shared" si="59"/>
        <v>0.88375570849681617</v>
      </c>
      <c r="G49" s="68">
        <f t="shared" si="59"/>
        <v>0.88633519920974646</v>
      </c>
      <c r="H49" s="68">
        <f t="shared" si="59"/>
        <v>0.89508293501763969</v>
      </c>
      <c r="I49" s="68">
        <f t="shared" si="59"/>
        <v>0.90058016196307755</v>
      </c>
      <c r="J49" s="68">
        <f t="shared" si="59"/>
        <v>0.9255453461457529</v>
      </c>
      <c r="K49" s="68">
        <f t="shared" si="59"/>
        <v>0.90547201549597311</v>
      </c>
      <c r="L49" s="68">
        <f>L37/L35</f>
        <v>0.90813017893599135</v>
      </c>
      <c r="M49" s="68">
        <f>M37/M35</f>
        <v>0.91022598657552889</v>
      </c>
      <c r="W49" s="68">
        <f t="shared" ref="W49:X49" si="60">W37/W35</f>
        <v>0.86176090776298242</v>
      </c>
      <c r="X49" s="68">
        <f t="shared" si="60"/>
        <v>0.90494191300602611</v>
      </c>
      <c r="Y49" s="82">
        <v>0.90494191300602611</v>
      </c>
      <c r="Z49" s="82">
        <v>0.91</v>
      </c>
      <c r="AA49" s="82">
        <v>0.91249999999999998</v>
      </c>
      <c r="AB49" s="82">
        <v>0.91500000000000004</v>
      </c>
      <c r="AC49" s="82">
        <v>0.92</v>
      </c>
      <c r="AD49" s="82">
        <v>0.92100000000000004</v>
      </c>
      <c r="AE49" s="82">
        <v>0.92200000000000004</v>
      </c>
      <c r="AF49" s="82">
        <v>0.92300000000000004</v>
      </c>
      <c r="AG49" s="82">
        <v>0.92400000000000004</v>
      </c>
      <c r="AH49" s="82">
        <v>0.92500000000000004</v>
      </c>
    </row>
    <row r="50" spans="2:35">
      <c r="B50" s="37" t="s">
        <v>69</v>
      </c>
      <c r="C50" s="68">
        <f t="shared" ref="C50:K50" si="61">C38/C35</f>
        <v>0.66426652009283005</v>
      </c>
      <c r="D50" s="68">
        <f t="shared" si="61"/>
        <v>0.59946784389359065</v>
      </c>
      <c r="E50" s="68">
        <f t="shared" si="61"/>
        <v>0.5218353027353162</v>
      </c>
      <c r="F50" s="68">
        <f t="shared" si="61"/>
        <v>0.44853508715507817</v>
      </c>
      <c r="G50" s="68">
        <f t="shared" si="61"/>
        <v>1.798773460651959</v>
      </c>
      <c r="H50" s="68">
        <f t="shared" si="61"/>
        <v>0.50777071241606908</v>
      </c>
      <c r="I50" s="68">
        <f t="shared" si="61"/>
        <v>0.47854319350310459</v>
      </c>
      <c r="J50" s="68">
        <f t="shared" si="61"/>
        <v>0.44105585560309563</v>
      </c>
      <c r="K50" s="68">
        <f t="shared" si="61"/>
        <v>0.4874885309409725</v>
      </c>
      <c r="L50" s="68">
        <f>L38/L35</f>
        <v>0.39351907449661744</v>
      </c>
      <c r="M50" s="68">
        <f>M38/M35</f>
        <v>0.33574684306088881</v>
      </c>
      <c r="W50" s="68">
        <f t="shared" ref="W50:X50" si="62">W38/W35</f>
        <v>0.54586571593304856</v>
      </c>
      <c r="X50" s="68">
        <f t="shared" si="62"/>
        <v>0.71923427459516009</v>
      </c>
      <c r="Y50" s="82">
        <v>0.39</v>
      </c>
      <c r="Z50" s="82">
        <v>0.28999999999999998</v>
      </c>
      <c r="AA50" s="82">
        <v>0.26</v>
      </c>
      <c r="AB50" s="82">
        <v>0.23</v>
      </c>
      <c r="AC50" s="82">
        <v>0.21</v>
      </c>
      <c r="AD50" s="82">
        <v>0.18</v>
      </c>
      <c r="AE50" s="82">
        <v>0.16</v>
      </c>
      <c r="AF50" s="82">
        <v>0.15</v>
      </c>
      <c r="AG50" s="82">
        <v>0.14000000000000001</v>
      </c>
      <c r="AH50" s="82">
        <v>0.13</v>
      </c>
    </row>
    <row r="51" spans="2:35">
      <c r="B51" s="37" t="s">
        <v>570</v>
      </c>
      <c r="C51" s="68">
        <f>C39/C35</f>
        <v>0.35367656040063516</v>
      </c>
      <c r="D51" s="68">
        <f t="shared" ref="D51:M51" si="63">D39/D35</f>
        <v>0.32355528358893948</v>
      </c>
      <c r="E51" s="68">
        <f t="shared" si="63"/>
        <v>0.26559939857740422</v>
      </c>
      <c r="F51" s="68">
        <f t="shared" si="63"/>
        <v>0.23288254968804273</v>
      </c>
      <c r="G51" s="68">
        <f t="shared" si="63"/>
        <v>0.5107630885742509</v>
      </c>
      <c r="H51" s="68">
        <f t="shared" si="63"/>
        <v>0.25413252532149766</v>
      </c>
      <c r="I51" s="68">
        <f t="shared" si="63"/>
        <v>0.21389345803514273</v>
      </c>
      <c r="J51" s="68">
        <f t="shared" si="63"/>
        <v>0.18824904725164254</v>
      </c>
      <c r="K51" s="68">
        <f t="shared" si="63"/>
        <v>0.23112702620042819</v>
      </c>
      <c r="L51" s="68">
        <f t="shared" si="63"/>
        <v>0.24142148032504704</v>
      </c>
      <c r="M51" s="68">
        <f t="shared" si="63"/>
        <v>0.22004882869266987</v>
      </c>
      <c r="W51" s="68">
        <f t="shared" ref="W51" si="64">W39/W35</f>
        <v>0.28663348397131361</v>
      </c>
      <c r="X51" s="68">
        <f t="shared" ref="X51" si="65">X39/X35</f>
        <v>0.26963363469606716</v>
      </c>
      <c r="Y51" s="82">
        <v>0.215</v>
      </c>
      <c r="Z51" s="82">
        <v>0.27</v>
      </c>
      <c r="AA51" s="82">
        <v>0.27</v>
      </c>
      <c r="AB51" s="82">
        <v>0.27</v>
      </c>
      <c r="AC51" s="82">
        <v>0.27</v>
      </c>
      <c r="AD51" s="82">
        <v>0.27</v>
      </c>
      <c r="AE51" s="82">
        <v>0.27</v>
      </c>
      <c r="AF51" s="82">
        <v>0.27</v>
      </c>
      <c r="AG51" s="82">
        <v>0.27</v>
      </c>
      <c r="AH51" s="82">
        <v>0.27</v>
      </c>
    </row>
    <row r="52" spans="2:35">
      <c r="B52" s="37" t="s">
        <v>571</v>
      </c>
      <c r="C52" s="68">
        <f>C40/C35</f>
        <v>0.2491816294124832</v>
      </c>
      <c r="D52" s="68">
        <f t="shared" ref="D52:M52" si="66">D40/D35</f>
        <v>0.20887400357320424</v>
      </c>
      <c r="E52" s="68">
        <f t="shared" si="66"/>
        <v>0.17974728685159125</v>
      </c>
      <c r="F52" s="68">
        <f t="shared" si="66"/>
        <v>0.19428185502026105</v>
      </c>
      <c r="G52" s="68">
        <f t="shared" si="66"/>
        <v>1.0021279222917352</v>
      </c>
      <c r="H52" s="68">
        <f t="shared" si="66"/>
        <v>0.24356649026971658</v>
      </c>
      <c r="I52" s="68">
        <f t="shared" si="66"/>
        <v>0.18845934129656583</v>
      </c>
      <c r="J52" s="68">
        <f t="shared" si="66"/>
        <v>0.17262397418811809</v>
      </c>
      <c r="K52" s="68">
        <f t="shared" si="66"/>
        <v>0.17691150983790396</v>
      </c>
      <c r="L52" s="68">
        <f t="shared" si="66"/>
        <v>0.13767863576318004</v>
      </c>
      <c r="M52" s="68">
        <f t="shared" si="66"/>
        <v>0.11758209067501905</v>
      </c>
      <c r="W52" s="68">
        <f t="shared" ref="W52" si="67">W40/W35</f>
        <v>0.20504614403713936</v>
      </c>
      <c r="X52" s="68">
        <f t="shared" ref="X52" si="68">X40/X35</f>
        <v>0.34721217038851571</v>
      </c>
      <c r="Y52" s="82">
        <v>0.32</v>
      </c>
      <c r="Z52" s="82">
        <v>0.32</v>
      </c>
      <c r="AA52" s="82">
        <v>0.32</v>
      </c>
      <c r="AB52" s="82">
        <v>0.32</v>
      </c>
      <c r="AC52" s="82">
        <v>0.32</v>
      </c>
      <c r="AD52" s="82">
        <v>0.32</v>
      </c>
      <c r="AE52" s="82">
        <v>0.32</v>
      </c>
      <c r="AF52" s="82">
        <v>0.32</v>
      </c>
      <c r="AG52" s="82">
        <v>0.32</v>
      </c>
      <c r="AH52" s="82">
        <v>0.32</v>
      </c>
    </row>
    <row r="53" spans="2:35">
      <c r="B53" s="37" t="s">
        <v>70</v>
      </c>
      <c r="C53" s="68">
        <f t="shared" ref="C53:K53" si="69">C41/C35</f>
        <v>-0.43118358373030397</v>
      </c>
      <c r="D53" s="68">
        <f t="shared" si="69"/>
        <v>-0.28944593479721797</v>
      </c>
      <c r="E53" s="68">
        <f t="shared" si="69"/>
        <v>-9.438190334830468E-2</v>
      </c>
      <c r="F53" s="68">
        <f t="shared" si="69"/>
        <v>8.0562166334341798E-3</v>
      </c>
      <c r="G53" s="68">
        <f t="shared" si="69"/>
        <v>-2.4253292723081992</v>
      </c>
      <c r="H53" s="68">
        <f t="shared" si="69"/>
        <v>-0.11038679298964364</v>
      </c>
      <c r="I53" s="68">
        <f t="shared" si="69"/>
        <v>1.9684169128264387E-2</v>
      </c>
      <c r="J53" s="68">
        <f t="shared" si="69"/>
        <v>0.12361646910289661</v>
      </c>
      <c r="K53" s="68">
        <f t="shared" si="69"/>
        <v>9.9449485166683317E-3</v>
      </c>
      <c r="L53" s="68">
        <f>L41/L35</f>
        <v>0.13551098835114678</v>
      </c>
      <c r="M53" s="68">
        <f>M41/M35</f>
        <v>0.23684822414695111</v>
      </c>
      <c r="W53" s="68">
        <f t="shared" ref="W53:X53" si="70">W41/W35</f>
        <v>-0.17578443617851905</v>
      </c>
      <c r="X53" s="68">
        <f t="shared" si="70"/>
        <v>-0.43113816667371702</v>
      </c>
      <c r="Y53" s="82">
        <f>Y42/Y35</f>
        <v>0.46205981632428672</v>
      </c>
      <c r="Z53" s="82">
        <f t="shared" ref="Z53:AH53" si="71">Z42/Z35</f>
        <v>0.4972965034855828</v>
      </c>
      <c r="AA53" s="82">
        <f t="shared" si="71"/>
        <v>0.60730745258009267</v>
      </c>
      <c r="AB53" s="82">
        <f t="shared" si="71"/>
        <v>0.76316771681260465</v>
      </c>
      <c r="AC53" s="82">
        <f t="shared" si="71"/>
        <v>1.0040611271581152</v>
      </c>
      <c r="AD53" s="82">
        <f t="shared" si="71"/>
        <v>1.3618378502961159</v>
      </c>
      <c r="AE53" s="82">
        <f t="shared" si="71"/>
        <v>1.872623030769744</v>
      </c>
      <c r="AF53" s="82">
        <f t="shared" si="71"/>
        <v>2.5695499079547814</v>
      </c>
      <c r="AG53" s="82">
        <f t="shared" si="71"/>
        <v>3.5313090257348927</v>
      </c>
      <c r="AH53" s="82">
        <f t="shared" si="71"/>
        <v>4.8471172220203211</v>
      </c>
    </row>
    <row r="54" spans="2:35">
      <c r="B54" s="37" t="s">
        <v>71</v>
      </c>
      <c r="C54" s="68">
        <f t="shared" ref="C54:K54" si="72">C44/C43</f>
        <v>-1.6500217108119851E-2</v>
      </c>
      <c r="D54" s="68">
        <f t="shared" si="72"/>
        <v>-3.5945652995891197E-2</v>
      </c>
      <c r="E54" s="68">
        <f t="shared" si="72"/>
        <v>-6.4139521475929592E-2</v>
      </c>
      <c r="F54" s="68">
        <f t="shared" si="72"/>
        <v>5.1015434606011358E-2</v>
      </c>
      <c r="G54" s="68">
        <f t="shared" si="72"/>
        <v>-6.351095520476627E-4</v>
      </c>
      <c r="H54" s="68">
        <f t="shared" si="72"/>
        <v>2.0940378090160045E-2</v>
      </c>
      <c r="I54" s="68">
        <f t="shared" si="72"/>
        <v>-1.0061374383740808E-3</v>
      </c>
      <c r="J54" s="68">
        <f t="shared" si="72"/>
        <v>-1.5001071505107528E-2</v>
      </c>
      <c r="K54" s="68">
        <f t="shared" si="72"/>
        <v>-7.0387952201669712E-2</v>
      </c>
      <c r="L54" s="68">
        <f>L44/L43</f>
        <v>-4.9408560398870047E-3</v>
      </c>
      <c r="M54" s="68">
        <f>M44/M43</f>
        <v>-1.2991380598873996E-2</v>
      </c>
      <c r="W54" s="68">
        <f t="shared" ref="W54:X54" si="73">W44/W43</f>
        <v>-4.3182386221626429E-2</v>
      </c>
      <c r="X54" s="68">
        <f t="shared" si="73"/>
        <v>1.9187686904764355E-3</v>
      </c>
      <c r="Y54" s="82">
        <v>-0.01</v>
      </c>
      <c r="Z54" s="82">
        <v>-0.01</v>
      </c>
      <c r="AA54" s="82">
        <v>0.05</v>
      </c>
      <c r="AB54" s="82">
        <v>0.05</v>
      </c>
      <c r="AC54" s="82">
        <v>0.05</v>
      </c>
      <c r="AD54" s="82">
        <v>0.05</v>
      </c>
      <c r="AE54" s="82">
        <v>0.05</v>
      </c>
      <c r="AF54" s="82">
        <v>0.05</v>
      </c>
      <c r="AG54" s="82">
        <v>0.05</v>
      </c>
      <c r="AH54" s="82">
        <v>0.05</v>
      </c>
    </row>
    <row r="55" spans="2:35">
      <c r="B55" s="37" t="s">
        <v>72</v>
      </c>
      <c r="C55" s="68">
        <f t="shared" ref="C55:K55" si="74">C45/C35</f>
        <v>-0.37172346402833739</v>
      </c>
      <c r="D55" s="68">
        <f t="shared" si="74"/>
        <v>-0.22453818793743074</v>
      </c>
      <c r="E55" s="68">
        <f t="shared" si="74"/>
        <v>-3.557935115754577E-2</v>
      </c>
      <c r="F55" s="68">
        <f t="shared" si="74"/>
        <v>7.04436547243842E-2</v>
      </c>
      <c r="G55" s="68">
        <f t="shared" si="74"/>
        <v>-2.3669287125452754</v>
      </c>
      <c r="H55" s="68">
        <f t="shared" si="74"/>
        <v>-3.591598383976314E-2</v>
      </c>
      <c r="I55" s="68">
        <f t="shared" si="74"/>
        <v>8.5680821929605563E-2</v>
      </c>
      <c r="J55" s="68">
        <f t="shared" si="74"/>
        <v>0.16610553879965378</v>
      </c>
      <c r="K55" s="68">
        <f t="shared" si="74"/>
        <v>6.6663268426954803E-2</v>
      </c>
      <c r="L55" s="68">
        <f>L45/L35</f>
        <v>0.17871582402625982</v>
      </c>
      <c r="M55" s="68">
        <f>M45/M35</f>
        <v>0.27808761125795434</v>
      </c>
      <c r="W55" s="68">
        <f t="shared" ref="W55:X55" si="75">W45/W35</f>
        <v>-0.11434580818376419</v>
      </c>
      <c r="X55" s="68">
        <f t="shared" si="75"/>
        <v>-0.3724612657234822</v>
      </c>
      <c r="Y55" s="82">
        <f>Y45/Y35</f>
        <v>0.44642174662361589</v>
      </c>
      <c r="Z55" s="82">
        <f t="shared" ref="Z55:AH55" si="76">Z45/Z35</f>
        <v>0.53256946852043874</v>
      </c>
      <c r="AA55" s="82">
        <f t="shared" si="76"/>
        <v>0.63631707995108799</v>
      </c>
      <c r="AB55" s="82">
        <f t="shared" si="76"/>
        <v>0.81525933097197423</v>
      </c>
      <c r="AC55" s="82">
        <f t="shared" si="76"/>
        <v>1.0678580708002094</v>
      </c>
      <c r="AD55" s="82">
        <f t="shared" si="76"/>
        <v>1.4371959577813103</v>
      </c>
      <c r="AE55" s="82">
        <f t="shared" si="76"/>
        <v>1.9423918792312567</v>
      </c>
      <c r="AF55" s="82">
        <f t="shared" si="76"/>
        <v>2.6149224125570423</v>
      </c>
      <c r="AG55" s="82">
        <f t="shared" si="76"/>
        <v>3.5390435744481485</v>
      </c>
      <c r="AH55" s="82">
        <f t="shared" si="76"/>
        <v>4.799511360919305</v>
      </c>
    </row>
    <row r="56" spans="2:35" ht="14.25" customHeight="1">
      <c r="B56" s="37"/>
    </row>
    <row r="57" spans="2:35" ht="14.25" customHeight="1">
      <c r="B57" s="1" t="s">
        <v>73</v>
      </c>
      <c r="F57" s="65">
        <v>401</v>
      </c>
      <c r="G57" s="65">
        <v>896.51499999999999</v>
      </c>
      <c r="H57" s="65">
        <v>467.95</v>
      </c>
      <c r="I57" s="65">
        <v>515.89499999999998</v>
      </c>
      <c r="J57" s="65">
        <v>562.09199999999998</v>
      </c>
      <c r="K57" s="65">
        <v>635.72699999999998</v>
      </c>
      <c r="L57" s="65">
        <v>734.06</v>
      </c>
      <c r="M57" s="65">
        <v>911.65300000000002</v>
      </c>
      <c r="W57" s="65">
        <f t="shared" ref="W57:W66" si="77">F57</f>
        <v>401</v>
      </c>
      <c r="X57" s="65">
        <f t="shared" ref="X57:X63" si="78">J57</f>
        <v>562.09199999999998</v>
      </c>
      <c r="Y57" s="72">
        <f>SUM(X57:X58)+Y45</f>
        <v>2836.7628007393587</v>
      </c>
      <c r="Z57" s="72">
        <f t="shared" ref="Z57:AH57" si="79">Y57+Z45</f>
        <v>4538.0275754778804</v>
      </c>
      <c r="AA57" s="72">
        <f t="shared" si="79"/>
        <v>7200.7146349676941</v>
      </c>
      <c r="AB57" s="72">
        <f t="shared" si="79"/>
        <v>11508.354768635189</v>
      </c>
      <c r="AC57" s="72">
        <f t="shared" si="79"/>
        <v>18362.521258894085</v>
      </c>
      <c r="AD57" s="72">
        <f t="shared" si="79"/>
        <v>29214.549744107564</v>
      </c>
      <c r="AE57" s="72">
        <f t="shared" si="79"/>
        <v>46184.232279099611</v>
      </c>
      <c r="AF57" s="72">
        <f t="shared" si="79"/>
        <v>72504.0880962261</v>
      </c>
      <c r="AG57" s="72">
        <f t="shared" si="79"/>
        <v>113195.30773398418</v>
      </c>
      <c r="AH57" s="72">
        <f t="shared" si="79"/>
        <v>175962.10266153057</v>
      </c>
    </row>
    <row r="58" spans="2:35" ht="14.25" customHeight="1">
      <c r="B58" s="1" t="s">
        <v>74</v>
      </c>
      <c r="F58" s="65">
        <v>811.94</v>
      </c>
      <c r="G58" s="65">
        <v>701.83500000000004</v>
      </c>
      <c r="H58" s="65">
        <v>1231.0999999999999</v>
      </c>
      <c r="I58" s="65">
        <v>1229.07</v>
      </c>
      <c r="J58" s="65">
        <v>1278.71</v>
      </c>
      <c r="K58" s="65">
        <v>1315.415</v>
      </c>
      <c r="L58" s="65">
        <v>1325.88</v>
      </c>
      <c r="M58" s="65">
        <v>1314.17</v>
      </c>
      <c r="W58" s="65">
        <f t="shared" si="77"/>
        <v>811.94</v>
      </c>
      <c r="X58" s="65">
        <f t="shared" si="78"/>
        <v>1278.71</v>
      </c>
    </row>
    <row r="59" spans="2:35" ht="14.25" customHeight="1">
      <c r="B59" s="1" t="s">
        <v>588</v>
      </c>
      <c r="F59" s="65">
        <v>245.27</v>
      </c>
      <c r="G59" s="65">
        <v>215.30699999999999</v>
      </c>
      <c r="H59" s="65">
        <v>420.09</v>
      </c>
      <c r="I59" s="65">
        <v>283.89</v>
      </c>
      <c r="J59" s="65">
        <v>349.53</v>
      </c>
      <c r="K59" s="65">
        <v>326.13099999999997</v>
      </c>
      <c r="L59" s="65">
        <v>407.22</v>
      </c>
      <c r="M59" s="65">
        <v>487.63400000000001</v>
      </c>
      <c r="W59" s="65">
        <f t="shared" si="77"/>
        <v>245.27</v>
      </c>
      <c r="X59" s="65">
        <f t="shared" si="78"/>
        <v>349.53</v>
      </c>
      <c r="Z59" s="47" t="s">
        <v>116</v>
      </c>
      <c r="AA59" s="48"/>
      <c r="AB59" s="48"/>
      <c r="AC59" s="47" t="s">
        <v>117</v>
      </c>
      <c r="AD59" s="48"/>
      <c r="AE59" s="49" t="s">
        <v>118</v>
      </c>
      <c r="AF59" s="48"/>
      <c r="AG59" s="50" t="s">
        <v>119</v>
      </c>
      <c r="AH59" s="51">
        <v>0.56000000000000005</v>
      </c>
      <c r="AI59" s="55"/>
    </row>
    <row r="60" spans="2:35" ht="14.25" customHeight="1">
      <c r="B60" s="1" t="s">
        <v>589</v>
      </c>
      <c r="F60" s="65">
        <v>21.28</v>
      </c>
      <c r="G60" s="65">
        <v>34.368000000000002</v>
      </c>
      <c r="H60" s="65">
        <v>41.59</v>
      </c>
      <c r="I60" s="65">
        <v>31.974</v>
      </c>
      <c r="J60" s="65">
        <v>33.058</v>
      </c>
      <c r="K60" s="65">
        <v>51.396999999999998</v>
      </c>
      <c r="L60" s="65">
        <v>62.761000000000003</v>
      </c>
      <c r="M60" s="65">
        <v>56.122</v>
      </c>
      <c r="W60" s="65">
        <f t="shared" si="77"/>
        <v>21.28</v>
      </c>
      <c r="X60" s="65">
        <f t="shared" si="78"/>
        <v>33.058</v>
      </c>
      <c r="Z60" s="48">
        <v>2025</v>
      </c>
      <c r="AA60" s="48"/>
      <c r="AB60" s="48">
        <v>2023</v>
      </c>
      <c r="AC60" s="48">
        <v>2024</v>
      </c>
      <c r="AD60" s="48"/>
      <c r="AE60" s="49" t="s">
        <v>120</v>
      </c>
      <c r="AF60" s="48"/>
      <c r="AG60" s="50" t="s">
        <v>121</v>
      </c>
      <c r="AH60" s="51">
        <v>2.2499999999999999E-2</v>
      </c>
      <c r="AI60" s="48"/>
    </row>
    <row r="61" spans="2:35" ht="14.25" customHeight="1">
      <c r="B61" s="1" t="s">
        <v>590</v>
      </c>
      <c r="F61" s="65">
        <v>14.946</v>
      </c>
      <c r="G61" s="65">
        <v>14.38</v>
      </c>
      <c r="H61" s="65">
        <v>14.167999999999999</v>
      </c>
      <c r="I61" s="65">
        <v>13.775</v>
      </c>
      <c r="J61" s="65">
        <v>12.65</v>
      </c>
      <c r="K61" s="65">
        <v>11.606999999999999</v>
      </c>
      <c r="L61" s="65">
        <v>11.394</v>
      </c>
      <c r="M61" s="65">
        <v>12.936</v>
      </c>
      <c r="W61" s="65">
        <f t="shared" si="77"/>
        <v>14.946</v>
      </c>
      <c r="X61" s="65">
        <f t="shared" si="78"/>
        <v>12.65</v>
      </c>
      <c r="Z61" s="52">
        <f>AVERAGE(Y41)*(1-Y54)</f>
        <v>-45.196810460641785</v>
      </c>
      <c r="AA61" s="48"/>
      <c r="AB61" s="53">
        <f>SUM(W57:W60)-W68+W61+W64+W63</f>
        <v>1506.3719999999998</v>
      </c>
      <c r="AC61" s="53">
        <f>SUM(X57:X60)-X68+X61+X64+X63</f>
        <v>2258.2140000000004</v>
      </c>
      <c r="AD61" s="48"/>
      <c r="AE61" s="53">
        <f>AVERAGE(AB61:AC61)</f>
        <v>1882.2930000000001</v>
      </c>
      <c r="AF61" s="48"/>
      <c r="AG61" s="50" t="s">
        <v>122</v>
      </c>
      <c r="AH61" s="51">
        <v>4.1099999999999998E-2</v>
      </c>
      <c r="AI61" s="48"/>
    </row>
    <row r="62" spans="2:35" ht="14.25" customHeight="1">
      <c r="B62" s="1" t="s">
        <v>591</v>
      </c>
      <c r="F62" s="65">
        <v>24</v>
      </c>
      <c r="G62" s="65">
        <v>22.75</v>
      </c>
      <c r="H62" s="65">
        <v>25.106999999999999</v>
      </c>
      <c r="I62" s="65">
        <v>23.87</v>
      </c>
      <c r="J62" s="65">
        <v>23.248999999999999</v>
      </c>
      <c r="K62" s="65">
        <v>23.408000000000001</v>
      </c>
      <c r="L62" s="65">
        <v>22.11</v>
      </c>
      <c r="M62" s="65">
        <v>22.469000000000001</v>
      </c>
      <c r="W62" s="65">
        <f t="shared" si="77"/>
        <v>24</v>
      </c>
      <c r="X62" s="65">
        <f t="shared" si="78"/>
        <v>23.248999999999999</v>
      </c>
      <c r="Z62" s="54">
        <f>Z61/AE61</f>
        <v>-2.4011570175653727E-2</v>
      </c>
      <c r="AA62" s="48"/>
      <c r="AB62" s="48"/>
      <c r="AC62" s="48"/>
      <c r="AD62" s="48"/>
      <c r="AE62" s="48"/>
      <c r="AF62" s="48"/>
      <c r="AG62" s="50" t="s">
        <v>123</v>
      </c>
      <c r="AH62" s="51">
        <f>13.4%-AH61</f>
        <v>9.290000000000001E-2</v>
      </c>
      <c r="AI62" s="48"/>
    </row>
    <row r="63" spans="2:35" ht="14.25" customHeight="1">
      <c r="B63" s="1" t="s">
        <v>592</v>
      </c>
      <c r="F63" s="65">
        <v>32.146999999999998</v>
      </c>
      <c r="G63" s="65">
        <v>29.928000000000001</v>
      </c>
      <c r="H63" s="65">
        <v>27.771999999999998</v>
      </c>
      <c r="I63" s="65">
        <v>27.9</v>
      </c>
      <c r="J63" s="65">
        <v>25.42</v>
      </c>
      <c r="K63" s="65">
        <v>22.943000000000001</v>
      </c>
      <c r="L63" s="65">
        <v>20.46</v>
      </c>
      <c r="M63" s="65">
        <v>18</v>
      </c>
      <c r="W63" s="65">
        <f t="shared" si="77"/>
        <v>32.146999999999998</v>
      </c>
      <c r="X63" s="65">
        <f t="shared" si="78"/>
        <v>25.42</v>
      </c>
      <c r="Z63" s="48"/>
      <c r="AA63" s="48"/>
      <c r="AB63" s="48"/>
      <c r="AC63" s="48"/>
      <c r="AD63" s="48"/>
      <c r="AE63" s="48"/>
      <c r="AF63" s="48"/>
      <c r="AG63" s="50" t="s">
        <v>124</v>
      </c>
      <c r="AH63" s="57">
        <f>'Notes | Quant Analysis'!S249</f>
        <v>2.3217521609775464</v>
      </c>
      <c r="AI63" s="48"/>
    </row>
    <row r="64" spans="2:35" ht="14.25" customHeight="1">
      <c r="B64" s="1" t="s">
        <v>593</v>
      </c>
      <c r="F64" s="65">
        <v>26.298999999999999</v>
      </c>
      <c r="G64" s="65">
        <v>26.29</v>
      </c>
      <c r="H64" s="65">
        <v>26.298999999999999</v>
      </c>
      <c r="I64" s="65">
        <v>42.173999999999999</v>
      </c>
      <c r="J64" s="65">
        <v>42.173999999999999</v>
      </c>
      <c r="K64" s="65">
        <v>42.173999999999999</v>
      </c>
      <c r="L64" s="65">
        <v>42.17</v>
      </c>
      <c r="M64" s="65">
        <v>42.173999999999999</v>
      </c>
      <c r="W64" s="65">
        <f t="shared" si="77"/>
        <v>26.298999999999999</v>
      </c>
      <c r="X64" s="65">
        <f>J64</f>
        <v>42.173999999999999</v>
      </c>
      <c r="Z64" s="48"/>
      <c r="AA64" s="48"/>
      <c r="AB64" s="48"/>
      <c r="AC64" s="48"/>
      <c r="AD64" s="48"/>
      <c r="AE64" s="48"/>
      <c r="AF64" s="48"/>
      <c r="AG64" s="50" t="s">
        <v>125</v>
      </c>
      <c r="AH64" s="51">
        <f>+AH61+(AH62*AH63)</f>
        <v>0.25679077575481413</v>
      </c>
      <c r="AI64" s="55"/>
    </row>
    <row r="65" spans="2:86" ht="14.25" customHeight="1">
      <c r="B65" s="1" t="s">
        <v>594</v>
      </c>
      <c r="F65" s="65">
        <v>19.38</v>
      </c>
      <c r="G65" s="65">
        <v>2.5049999999999999</v>
      </c>
      <c r="H65" s="65">
        <v>2.2730000000000001</v>
      </c>
      <c r="I65" s="65">
        <v>3.15</v>
      </c>
      <c r="J65" s="65">
        <v>9.6950000000000003</v>
      </c>
      <c r="K65" s="65">
        <v>8.2200000000000006</v>
      </c>
      <c r="L65" s="65">
        <v>6.11</v>
      </c>
      <c r="M65" s="65">
        <v>11.218</v>
      </c>
      <c r="W65" s="65">
        <f t="shared" si="77"/>
        <v>19.38</v>
      </c>
      <c r="X65" s="65">
        <f t="shared" ref="X65:X66" si="80">J65</f>
        <v>9.6950000000000003</v>
      </c>
      <c r="Z65" s="48"/>
      <c r="AA65" s="48"/>
      <c r="AB65" s="48"/>
      <c r="AC65" s="48"/>
      <c r="AD65" s="48"/>
      <c r="AE65" s="48"/>
      <c r="AF65" s="48"/>
      <c r="AG65" s="50"/>
      <c r="AH65" s="48"/>
      <c r="AI65" s="48"/>
    </row>
    <row r="66" spans="2:86" s="2" customFormat="1" ht="14.25" customHeight="1">
      <c r="B66" s="2" t="s">
        <v>595</v>
      </c>
      <c r="F66" s="66">
        <f t="shared" ref="F66" si="81">SUM(F57:F65)</f>
        <v>1596.2619999999999</v>
      </c>
      <c r="G66" s="66">
        <f t="shared" ref="G66" si="82">SUM(G57:G65)</f>
        <v>1943.8780000000002</v>
      </c>
      <c r="H66" s="66">
        <f t="shared" ref="H66" si="83">SUM(H57:H65)</f>
        <v>2256.3490000000002</v>
      </c>
      <c r="I66" s="66">
        <f t="shared" ref="I66" si="84">SUM(I57:I65)</f>
        <v>2171.6980000000003</v>
      </c>
      <c r="J66" s="66">
        <f t="shared" ref="J66:K66" si="85">SUM(J57:J65)</f>
        <v>2336.5780000000004</v>
      </c>
      <c r="K66" s="66">
        <f t="shared" si="85"/>
        <v>2437.0219999999995</v>
      </c>
      <c r="L66" s="66">
        <f>SUM(L57:L65)</f>
        <v>2632.165</v>
      </c>
      <c r="M66" s="66">
        <f>SUM(M57:M65)</f>
        <v>2876.3760000000002</v>
      </c>
      <c r="N66" s="34"/>
      <c r="O66" s="34"/>
      <c r="P66" s="34"/>
      <c r="Q66" s="34"/>
      <c r="R66" s="34"/>
      <c r="W66" s="66">
        <f t="shared" si="77"/>
        <v>1596.2619999999999</v>
      </c>
      <c r="X66" s="66">
        <f t="shared" si="80"/>
        <v>2336.5780000000004</v>
      </c>
      <c r="Y66" s="34"/>
      <c r="Z66" s="48"/>
      <c r="AA66" s="48"/>
      <c r="AB66" s="48"/>
      <c r="AC66" s="48"/>
      <c r="AD66" s="48"/>
      <c r="AE66" s="48"/>
      <c r="AF66" s="48"/>
      <c r="AG66" s="50" t="s">
        <v>126</v>
      </c>
      <c r="AH66" s="53">
        <f>NPV(AH64,Y45:BV45)</f>
        <v>56972.130165803392</v>
      </c>
      <c r="AI66" s="55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</row>
    <row r="67" spans="2:86" ht="14.25" customHeight="1">
      <c r="J67" s="65"/>
      <c r="K67" s="65"/>
      <c r="L67" s="65"/>
      <c r="M67" s="65"/>
      <c r="W67" s="65"/>
      <c r="X67" s="65"/>
      <c r="Z67" s="48"/>
      <c r="AA67" s="48"/>
      <c r="AB67" s="48"/>
      <c r="AC67" s="48"/>
      <c r="AD67" s="48"/>
      <c r="AE67" s="48"/>
      <c r="AF67" s="48"/>
      <c r="AG67" s="50" t="s">
        <v>84</v>
      </c>
      <c r="AH67" s="53">
        <f>Main!C4</f>
        <v>188.041</v>
      </c>
      <c r="AI67" s="56" t="s">
        <v>606</v>
      </c>
    </row>
    <row r="68" spans="2:86" ht="14.25" customHeight="1">
      <c r="B68" s="1" t="s">
        <v>596</v>
      </c>
      <c r="F68" s="65">
        <v>46.51</v>
      </c>
      <c r="G68" s="65">
        <v>45.378</v>
      </c>
      <c r="H68" s="65">
        <v>64.328999999999994</v>
      </c>
      <c r="I68" s="65">
        <v>62.04</v>
      </c>
      <c r="J68" s="65">
        <v>45.42</v>
      </c>
      <c r="K68" s="65">
        <v>43.87</v>
      </c>
      <c r="L68" s="65">
        <v>63.942</v>
      </c>
      <c r="M68" s="65">
        <v>73.052999999999997</v>
      </c>
      <c r="W68" s="65">
        <f t="shared" ref="W68:W75" si="86">F68</f>
        <v>46.51</v>
      </c>
      <c r="X68" s="65">
        <f t="shared" ref="X68:X75" si="87">J68</f>
        <v>45.42</v>
      </c>
      <c r="Z68" s="48"/>
      <c r="AA68" s="48"/>
      <c r="AB68" s="48"/>
      <c r="AC68" s="48"/>
      <c r="AD68" s="48"/>
      <c r="AE68" s="48"/>
      <c r="AF68" s="48"/>
      <c r="AG68" s="50" t="s">
        <v>127</v>
      </c>
      <c r="AH68" s="57">
        <f>AH66/AH67</f>
        <v>302.97717075426846</v>
      </c>
      <c r="AI68" s="79"/>
    </row>
    <row r="69" spans="2:86" ht="14.25" customHeight="1">
      <c r="B69" s="1" t="s">
        <v>597</v>
      </c>
      <c r="F69" s="65">
        <v>3.7069999999999999</v>
      </c>
      <c r="G69" s="65">
        <v>4.383</v>
      </c>
      <c r="H69" s="65">
        <v>5.3680000000000003</v>
      </c>
      <c r="I69" s="65">
        <v>5.3979999999999997</v>
      </c>
      <c r="J69" s="65">
        <v>6.1369999999999996</v>
      </c>
      <c r="K69" s="65">
        <v>6.3760000000000003</v>
      </c>
      <c r="L69" s="65">
        <v>6.5720000000000001</v>
      </c>
      <c r="M69" s="65">
        <v>6.8719999999999999</v>
      </c>
      <c r="W69" s="65">
        <f t="shared" si="86"/>
        <v>3.7069999999999999</v>
      </c>
      <c r="X69" s="65">
        <f t="shared" si="87"/>
        <v>6.1369999999999996</v>
      </c>
      <c r="Z69" s="48"/>
      <c r="AA69" s="48"/>
      <c r="AB69" s="48"/>
      <c r="AC69" s="48"/>
      <c r="AD69" s="48"/>
      <c r="AE69" s="48"/>
      <c r="AF69" s="48"/>
      <c r="AG69" s="50" t="s">
        <v>128</v>
      </c>
      <c r="AH69" s="57">
        <f>Main!C3</f>
        <v>244.97</v>
      </c>
      <c r="AI69" s="58"/>
    </row>
    <row r="70" spans="2:86" ht="14.25" customHeight="1">
      <c r="B70" s="1" t="s">
        <v>598</v>
      </c>
      <c r="F70" s="65">
        <v>83.349000000000004</v>
      </c>
      <c r="G70" s="65">
        <v>106.724</v>
      </c>
      <c r="H70" s="65">
        <v>89.817999999999998</v>
      </c>
      <c r="I70" s="65">
        <v>104.84</v>
      </c>
      <c r="J70" s="65">
        <v>124.464</v>
      </c>
      <c r="K70" s="65">
        <v>136.57499999999999</v>
      </c>
      <c r="L70" s="65">
        <v>140.31700000000001</v>
      </c>
      <c r="M70" s="65">
        <v>148.4</v>
      </c>
      <c r="W70" s="65">
        <f t="shared" si="86"/>
        <v>83.349000000000004</v>
      </c>
      <c r="X70" s="65">
        <f t="shared" si="87"/>
        <v>124.464</v>
      </c>
      <c r="Z70" s="48"/>
      <c r="AA70" s="48"/>
      <c r="AB70" s="48"/>
      <c r="AC70" s="48"/>
      <c r="AD70" s="48"/>
      <c r="AE70" s="48"/>
      <c r="AF70" s="48"/>
      <c r="AG70" s="50" t="s">
        <v>129</v>
      </c>
      <c r="AH70" s="51">
        <f>AH68/AH69-1</f>
        <v>0.23679295731831851</v>
      </c>
      <c r="AI70" s="59" t="str">
        <f>IF(AH70&gt;0,"Upside","Downside")</f>
        <v>Upside</v>
      </c>
    </row>
    <row r="71" spans="2:86" ht="14.25" customHeight="1">
      <c r="B71" s="1" t="s">
        <v>599</v>
      </c>
      <c r="F71" s="65">
        <v>22.04</v>
      </c>
      <c r="G71" s="65">
        <v>20.835000000000001</v>
      </c>
      <c r="H71" s="65">
        <v>22.757000000000001</v>
      </c>
      <c r="I71" s="65">
        <v>21.567</v>
      </c>
      <c r="J71" s="65">
        <v>20.565000000000001</v>
      </c>
      <c r="K71" s="65">
        <v>20.173999999999999</v>
      </c>
      <c r="L71" s="65">
        <v>18.611000000000001</v>
      </c>
      <c r="M71" s="65">
        <v>18.161999999999999</v>
      </c>
      <c r="W71" s="65">
        <f t="shared" si="86"/>
        <v>22.04</v>
      </c>
      <c r="X71" s="65">
        <f t="shared" si="87"/>
        <v>20.565000000000001</v>
      </c>
      <c r="AG71" s="85" t="str" cm="1">
        <f t="array" ref="AG71">_xlfn.IFS(AH70&gt;=25%,"Strong Buy",AH70&gt;=10.00001%,"Buy",AND(AH70&lt;=10%,AH70&gt;=-4.9999%),"Hold",AND(AH70&lt;=-5%,AH70&gt;=-14.999999%),"Sell",AH70&lt;=-15%,"Strong Sell")</f>
        <v>Buy</v>
      </c>
      <c r="AH71" s="85"/>
    </row>
    <row r="72" spans="2:86" ht="14.25" customHeight="1">
      <c r="B72" s="1" t="s">
        <v>600</v>
      </c>
      <c r="F72" s="65">
        <v>0.28699999999999998</v>
      </c>
      <c r="G72" s="65">
        <v>0.27600000000000002</v>
      </c>
      <c r="H72" s="65">
        <v>0.255</v>
      </c>
      <c r="I72" s="65">
        <v>0.249</v>
      </c>
      <c r="J72" s="65">
        <v>9.2569999999999997</v>
      </c>
      <c r="K72" s="65">
        <v>12.907999999999999</v>
      </c>
      <c r="L72" s="65">
        <v>15.78</v>
      </c>
      <c r="M72" s="65">
        <v>19.225999999999999</v>
      </c>
      <c r="W72" s="65">
        <f t="shared" si="86"/>
        <v>0.28699999999999998</v>
      </c>
      <c r="X72" s="65">
        <f t="shared" si="87"/>
        <v>9.2569999999999997</v>
      </c>
    </row>
    <row r="73" spans="2:86" s="2" customFormat="1" ht="14.25" customHeight="1">
      <c r="B73" s="2" t="s">
        <v>601</v>
      </c>
      <c r="F73" s="66">
        <f t="shared" ref="F73" si="88">SUM(F68:F72)</f>
        <v>155.893</v>
      </c>
      <c r="G73" s="66">
        <f t="shared" ref="G73" si="89">SUM(G68:G72)</f>
        <v>177.59600000000003</v>
      </c>
      <c r="H73" s="66">
        <f t="shared" ref="H73" si="90">SUM(H68:H72)</f>
        <v>182.52699999999999</v>
      </c>
      <c r="I73" s="66">
        <f t="shared" ref="I73" si="91">SUM(I68:I72)</f>
        <v>194.09400000000002</v>
      </c>
      <c r="J73" s="66">
        <f t="shared" ref="J73:K73" si="92">SUM(J68:J72)</f>
        <v>205.84300000000002</v>
      </c>
      <c r="K73" s="66">
        <f t="shared" si="92"/>
        <v>219.90299999999996</v>
      </c>
      <c r="L73" s="66">
        <f>SUM(L68:L72)</f>
        <v>245.22200000000001</v>
      </c>
      <c r="M73" s="66">
        <f>SUM(M68:M72)</f>
        <v>265.71299999999997</v>
      </c>
      <c r="N73" s="34"/>
      <c r="O73" s="34"/>
      <c r="P73" s="34"/>
      <c r="Q73" s="34"/>
      <c r="R73" s="34"/>
      <c r="W73" s="66">
        <f t="shared" si="86"/>
        <v>155.893</v>
      </c>
      <c r="X73" s="66">
        <f t="shared" si="87"/>
        <v>205.84300000000002</v>
      </c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</row>
    <row r="74" spans="2:86" ht="14.25" customHeight="1">
      <c r="B74" s="1" t="s">
        <v>602</v>
      </c>
      <c r="F74" s="65">
        <v>1596.4670000000001</v>
      </c>
      <c r="G74" s="65">
        <v>1838.3</v>
      </c>
      <c r="H74" s="65">
        <v>1893.8</v>
      </c>
      <c r="I74" s="65">
        <v>1977.6079999999999</v>
      </c>
      <c r="J74" s="65">
        <v>2130.7489999999998</v>
      </c>
      <c r="K74" s="65">
        <v>2217.1210000000001</v>
      </c>
      <c r="L74" s="65">
        <v>2386.98</v>
      </c>
      <c r="M74" s="65">
        <v>2610.663</v>
      </c>
      <c r="W74" s="65">
        <f t="shared" si="86"/>
        <v>1596.4670000000001</v>
      </c>
      <c r="X74" s="65">
        <f t="shared" si="87"/>
        <v>2130.7489999999998</v>
      </c>
    </row>
    <row r="75" spans="2:86" s="2" customFormat="1" ht="13.5" customHeight="1">
      <c r="B75" s="2" t="s">
        <v>603</v>
      </c>
      <c r="F75" s="66">
        <f t="shared" ref="F75" si="93">F73+F74</f>
        <v>1752.3600000000001</v>
      </c>
      <c r="G75" s="66">
        <f t="shared" ref="G75" si="94">G73+G74</f>
        <v>2015.896</v>
      </c>
      <c r="H75" s="66">
        <f t="shared" ref="H75" si="95">H73+H74</f>
        <v>2076.3269999999998</v>
      </c>
      <c r="I75" s="66">
        <f t="shared" ref="I75" si="96">I73+I74</f>
        <v>2171.7019999999998</v>
      </c>
      <c r="J75" s="66">
        <f t="shared" ref="J75:K75" si="97">J73+J74</f>
        <v>2336.5919999999996</v>
      </c>
      <c r="K75" s="66">
        <f t="shared" si="97"/>
        <v>2437.0239999999999</v>
      </c>
      <c r="L75" s="66">
        <f>L73+L74</f>
        <v>2632.2020000000002</v>
      </c>
      <c r="M75" s="66">
        <f>M73+M74</f>
        <v>2876.3760000000002</v>
      </c>
      <c r="N75" s="34"/>
      <c r="O75" s="34"/>
      <c r="P75" s="34"/>
      <c r="Q75" s="34"/>
      <c r="R75" s="34"/>
      <c r="W75" s="66">
        <f t="shared" si="86"/>
        <v>1752.3600000000001</v>
      </c>
      <c r="X75" s="66">
        <f t="shared" si="87"/>
        <v>2336.5919999999996</v>
      </c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</row>
    <row r="76" spans="2:86" ht="13.5" customHeight="1"/>
    <row r="77" spans="2:86" ht="13.5" customHeight="1">
      <c r="B77" s="1" t="s">
        <v>75</v>
      </c>
      <c r="F77" s="65">
        <f t="shared" ref="F77:I77" si="98">SUM(F57:F60)/SUM(F68:F70)</f>
        <v>11.076845903897699</v>
      </c>
      <c r="G77" s="65">
        <f t="shared" si="98"/>
        <v>11.80959836406045</v>
      </c>
      <c r="H77" s="65">
        <f t="shared" si="98"/>
        <v>13.545622668714541</v>
      </c>
      <c r="I77" s="65">
        <f t="shared" si="98"/>
        <v>11.962229652073972</v>
      </c>
      <c r="J77" s="65">
        <f t="shared" ref="J77:K77" si="99">SUM(J57:J60)/SUM(J68:J70)</f>
        <v>12.631390572715757</v>
      </c>
      <c r="K77" s="65">
        <f t="shared" si="99"/>
        <v>12.464712211153993</v>
      </c>
      <c r="L77" s="65">
        <f>SUM(L57:L60)/SUM(L68:L70)</f>
        <v>11.999758100089643</v>
      </c>
      <c r="M77" s="65">
        <f>SUM(M57:M60)/SUM(M68:M70)</f>
        <v>12.129985765903866</v>
      </c>
      <c r="W77" s="65">
        <f>SUM(W57:W60)/SUM(W68:W70)</f>
        <v>11.076845903897699</v>
      </c>
      <c r="X77" s="65">
        <f>SUM(X57:X60)/SUM(X68:X70)</f>
        <v>12.631390572715757</v>
      </c>
    </row>
    <row r="78" spans="2:86" ht="13.5" customHeight="1">
      <c r="B78" s="1" t="s">
        <v>76</v>
      </c>
      <c r="F78" s="65">
        <f t="shared" ref="F78:I78" si="100">(F57+F58)/SUM( F68:F70)</f>
        <v>9.0812033002410804</v>
      </c>
      <c r="G78" s="65">
        <f t="shared" si="100"/>
        <v>10.21407802664792</v>
      </c>
      <c r="H78" s="65">
        <f t="shared" si="100"/>
        <v>10.651349402877473</v>
      </c>
      <c r="I78" s="65">
        <f t="shared" si="100"/>
        <v>10.128774422735345</v>
      </c>
      <c r="J78" s="65">
        <f t="shared" ref="J78:K78" si="101">(J57+J58)/SUM( J68:J70)</f>
        <v>10.45785446054732</v>
      </c>
      <c r="K78" s="65">
        <f t="shared" si="101"/>
        <v>10.443911551699221</v>
      </c>
      <c r="L78" s="65">
        <f>(L57+L58)/SUM( L68:L70)</f>
        <v>9.7705745360027692</v>
      </c>
      <c r="M78" s="65">
        <f>(M57+M58)/SUM( M68:M70)</f>
        <v>9.7484857111573433</v>
      </c>
      <c r="W78" s="65">
        <f>(W57+W58)/SUM( W68:W70)</f>
        <v>9.0812033002410804</v>
      </c>
      <c r="X78" s="65">
        <f>(X57+X58)/SUM( X68:X70)</f>
        <v>10.45785446054732</v>
      </c>
    </row>
    <row r="79" spans="2:86" ht="13.5" customHeight="1">
      <c r="B79" s="1" t="s">
        <v>77</v>
      </c>
      <c r="F79" s="40">
        <f t="shared" ref="F79:I79" si="102">F35/F66</f>
        <v>0.15583406733982266</v>
      </c>
      <c r="G79" s="40">
        <f t="shared" si="102"/>
        <v>0.12498726771947621</v>
      </c>
      <c r="H79" s="40">
        <f t="shared" si="102"/>
        <v>0.12461901948679038</v>
      </c>
      <c r="I79" s="40">
        <f t="shared" si="102"/>
        <v>0.1604048997604639</v>
      </c>
      <c r="J79" s="40">
        <f t="shared" ref="J79:K79" si="103">J35/J66</f>
        <v>0.18304974197309049</v>
      </c>
      <c r="K79" s="40">
        <f t="shared" si="103"/>
        <v>0.16099977759741196</v>
      </c>
      <c r="L79" s="40">
        <f>L35/L66</f>
        <v>0.18981332857172709</v>
      </c>
      <c r="M79" s="40">
        <f>M35/M66</f>
        <v>0.20334685034223621</v>
      </c>
      <c r="W79" s="40">
        <f>W35/W66</f>
        <v>0.50306841859293772</v>
      </c>
      <c r="X79" s="40">
        <f>X35/X66</f>
        <v>0.55645692118987666</v>
      </c>
    </row>
    <row r="80" spans="2:86" ht="13.5" customHeight="1">
      <c r="B80" s="1" t="s">
        <v>78</v>
      </c>
      <c r="F80" s="68">
        <f t="shared" ref="F80:I80" si="104">F45/F66</f>
        <v>1.0977521233982903E-2</v>
      </c>
      <c r="G80" s="68">
        <f t="shared" si="104"/>
        <v>-0.29583595266781149</v>
      </c>
      <c r="H80" s="68">
        <f t="shared" si="104"/>
        <v>-4.4758146900146911E-3</v>
      </c>
      <c r="I80" s="68">
        <f t="shared" si="104"/>
        <v>1.374362365301254E-2</v>
      </c>
      <c r="J80" s="68">
        <f t="shared" ref="J80:K80" si="105">J45/J66</f>
        <v>3.0405576017577794E-2</v>
      </c>
      <c r="K80" s="68">
        <f t="shared" si="105"/>
        <v>1.0732771390656298E-2</v>
      </c>
      <c r="L80" s="68">
        <f>L45/L66</f>
        <v>3.3922645426863414E-2</v>
      </c>
      <c r="M80" s="68">
        <f>M45/M66</f>
        <v>5.6548239868501202E-2</v>
      </c>
      <c r="W80" s="68">
        <f>W45/W66</f>
        <v>-5.7523764895737656E-2</v>
      </c>
      <c r="X80" s="68">
        <f>X45/X66</f>
        <v>-0.20725864918697345</v>
      </c>
    </row>
    <row r="81" spans="2:86" ht="13.5" customHeight="1">
      <c r="B81" s="1" t="s">
        <v>79</v>
      </c>
      <c r="F81" s="68">
        <f t="shared" ref="F81:I81" si="106">F45/F74</f>
        <v>1.0976111626485242E-2</v>
      </c>
      <c r="G81" s="68">
        <f t="shared" si="106"/>
        <v>-0.31282652450633741</v>
      </c>
      <c r="H81" s="68">
        <f t="shared" si="106"/>
        <v>-5.3326644841060087E-3</v>
      </c>
      <c r="I81" s="68">
        <f t="shared" si="106"/>
        <v>1.5092475354064118E-2</v>
      </c>
      <c r="J81" s="68">
        <f t="shared" ref="J81:K81" si="107">J45/J74</f>
        <v>3.3342735347992612E-2</v>
      </c>
      <c r="K81" s="68">
        <f t="shared" si="107"/>
        <v>1.1797281248971067E-2</v>
      </c>
      <c r="L81" s="68">
        <f>L45/L74</f>
        <v>3.7407100185171197E-2</v>
      </c>
      <c r="M81" s="68">
        <f>M45/M74</f>
        <v>6.230371365434758E-2</v>
      </c>
      <c r="W81" s="68">
        <f>W45/W74</f>
        <v>-5.7516378352950592E-2</v>
      </c>
      <c r="X81" s="68">
        <f>X45/X74</f>
        <v>-0.22727970305277637</v>
      </c>
    </row>
    <row r="82" spans="2:86" ht="13.5" customHeight="1"/>
    <row r="83" spans="2:86">
      <c r="B83" s="1" t="s">
        <v>80</v>
      </c>
      <c r="C83" s="65">
        <f t="shared" ref="C83:K83" si="108">C45</f>
        <v>-60.865999999999971</v>
      </c>
      <c r="D83" s="65">
        <f t="shared" si="108"/>
        <v>-41.097000000000008</v>
      </c>
      <c r="E83" s="65">
        <f t="shared" si="108"/>
        <v>-7.383000000000008</v>
      </c>
      <c r="F83" s="65">
        <f t="shared" si="108"/>
        <v>17.523000000000017</v>
      </c>
      <c r="G83" s="65">
        <f t="shared" si="108"/>
        <v>-575.06900000000007</v>
      </c>
      <c r="H83" s="65">
        <f t="shared" si="108"/>
        <v>-10.098999999999959</v>
      </c>
      <c r="I83" s="65">
        <f t="shared" si="108"/>
        <v>29.84700000000003</v>
      </c>
      <c r="J83" s="65">
        <f t="shared" si="108"/>
        <v>71.044999999999902</v>
      </c>
      <c r="K83" s="65">
        <f t="shared" si="108"/>
        <v>26.155999999999985</v>
      </c>
      <c r="L83" s="65">
        <f>L45</f>
        <v>89.289999999999935</v>
      </c>
      <c r="M83" s="65">
        <f>M45</f>
        <v>162.65400000000002</v>
      </c>
      <c r="W83" s="65">
        <f>W45</f>
        <v>-91.822999999999979</v>
      </c>
      <c r="X83" s="65">
        <f>X45</f>
        <v>-484.27600000000012</v>
      </c>
    </row>
    <row r="84" spans="2:86" s="2" customFormat="1" ht="15">
      <c r="B84" s="2" t="s">
        <v>81</v>
      </c>
      <c r="C84" s="66">
        <v>4.0999999999999996</v>
      </c>
      <c r="D84" s="66">
        <v>-54.1</v>
      </c>
      <c r="E84" s="66">
        <v>-7.7</v>
      </c>
      <c r="F84" s="66">
        <v>-17.399999999999999</v>
      </c>
      <c r="G84" s="66">
        <v>32.1</v>
      </c>
      <c r="H84" s="66">
        <v>28.4</v>
      </c>
      <c r="I84" s="66">
        <v>71.599999999999994</v>
      </c>
      <c r="J84" s="66">
        <v>90</v>
      </c>
      <c r="K84" s="66">
        <v>127.6</v>
      </c>
      <c r="L84" s="66">
        <v>111.3</v>
      </c>
      <c r="M84" s="66">
        <v>185.15899999999999</v>
      </c>
      <c r="N84" s="34"/>
      <c r="O84" s="34"/>
      <c r="P84" s="34"/>
      <c r="Q84" s="34"/>
      <c r="R84" s="34"/>
      <c r="W84" s="66">
        <f>SUM(C84:F84)</f>
        <v>-75.099999999999994</v>
      </c>
      <c r="X84" s="66">
        <f>SUM(G84:J84)</f>
        <v>222.1</v>
      </c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</row>
    <row r="85" spans="2:86">
      <c r="B85" s="1" t="s">
        <v>82</v>
      </c>
      <c r="C85" s="1">
        <v>-0.4</v>
      </c>
      <c r="D85" s="1">
        <v>-0.8</v>
      </c>
      <c r="E85" s="1">
        <v>-3.9</v>
      </c>
      <c r="F85" s="1">
        <v>-4.5999999999999996</v>
      </c>
      <c r="G85" s="1">
        <v>-2.9</v>
      </c>
      <c r="H85" s="1">
        <v>-1.2</v>
      </c>
      <c r="I85" s="1">
        <v>-1.4</v>
      </c>
      <c r="J85" s="1">
        <v>-0.8</v>
      </c>
      <c r="K85" s="1">
        <v>-1</v>
      </c>
      <c r="L85" s="1">
        <v>-0.5</v>
      </c>
      <c r="M85" s="65">
        <v>-2.0579999999999998</v>
      </c>
      <c r="W85" s="65">
        <f>SUM(C85:F85)</f>
        <v>-9.6999999999999993</v>
      </c>
      <c r="X85" s="65">
        <f>SUM(G85:J85)</f>
        <v>-6.3</v>
      </c>
    </row>
    <row r="86" spans="2:86" s="2" customFormat="1" ht="15">
      <c r="B86" s="2" t="s">
        <v>83</v>
      </c>
      <c r="C86" s="2">
        <f t="shared" ref="C86:K86" si="109">C84+C85</f>
        <v>3.6999999999999997</v>
      </c>
      <c r="D86" s="2">
        <f t="shared" si="109"/>
        <v>-54.9</v>
      </c>
      <c r="E86" s="2">
        <f t="shared" si="109"/>
        <v>-11.6</v>
      </c>
      <c r="F86" s="2">
        <f t="shared" si="109"/>
        <v>-22</v>
      </c>
      <c r="G86" s="2">
        <f t="shared" si="109"/>
        <v>29.200000000000003</v>
      </c>
      <c r="H86" s="2">
        <f t="shared" si="109"/>
        <v>27.2</v>
      </c>
      <c r="I86" s="2">
        <f t="shared" si="109"/>
        <v>70.199999999999989</v>
      </c>
      <c r="J86" s="2">
        <f t="shared" si="109"/>
        <v>89.2</v>
      </c>
      <c r="K86" s="2">
        <f t="shared" si="109"/>
        <v>126.6</v>
      </c>
      <c r="L86" s="2">
        <f>L84+L85</f>
        <v>110.8</v>
      </c>
      <c r="M86" s="66">
        <f>M84+M85</f>
        <v>183.101</v>
      </c>
      <c r="N86" s="34"/>
      <c r="O86" s="34"/>
      <c r="P86" s="34"/>
      <c r="Q86" s="34"/>
      <c r="R86" s="34"/>
      <c r="W86" s="66">
        <f>SUM(C86:F86)</f>
        <v>-84.8</v>
      </c>
      <c r="X86" s="66">
        <f>SUM(G86:J86)</f>
        <v>215.8</v>
      </c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</row>
    <row r="87" spans="2:86">
      <c r="B87" s="1" t="s">
        <v>84</v>
      </c>
      <c r="C87" s="65">
        <f t="shared" ref="C87:K87" si="110">C46</f>
        <v>58.113999999999997</v>
      </c>
      <c r="D87" s="65">
        <f t="shared" si="110"/>
        <v>58.508000000000003</v>
      </c>
      <c r="E87" s="65">
        <f t="shared" si="110"/>
        <v>58.854999999999997</v>
      </c>
      <c r="F87" s="65">
        <f t="shared" si="110"/>
        <v>59.137999999999998</v>
      </c>
      <c r="G87" s="65">
        <f t="shared" si="110"/>
        <v>70.239999999999995</v>
      </c>
      <c r="H87" s="65">
        <f t="shared" si="110"/>
        <v>164.38</v>
      </c>
      <c r="I87" s="65">
        <f t="shared" si="110"/>
        <v>169.16900000000001</v>
      </c>
      <c r="J87" s="65">
        <f t="shared" si="110"/>
        <v>145.47200000000001</v>
      </c>
      <c r="K87" s="65">
        <f t="shared" si="110"/>
        <v>182.024</v>
      </c>
      <c r="L87" s="65">
        <f>L46</f>
        <v>185.43700000000001</v>
      </c>
      <c r="M87" s="65">
        <f>M46</f>
        <v>188.041</v>
      </c>
      <c r="W87" s="65">
        <f>W46</f>
        <v>58.653750000000002</v>
      </c>
      <c r="X87" s="65">
        <f>X46</f>
        <v>137.31524999999999</v>
      </c>
    </row>
    <row r="88" spans="2:86">
      <c r="B88" s="1" t="s">
        <v>85</v>
      </c>
      <c r="C88" s="40">
        <f t="shared" ref="C88:K88" si="111">C86/C87</f>
        <v>6.3667962969336134E-2</v>
      </c>
      <c r="D88" s="40">
        <f t="shared" si="111"/>
        <v>-0.93833321938880143</v>
      </c>
      <c r="E88" s="40">
        <f t="shared" si="111"/>
        <v>-0.19709455441338883</v>
      </c>
      <c r="F88" s="40">
        <f t="shared" si="111"/>
        <v>-0.37201122797524433</v>
      </c>
      <c r="G88" s="40">
        <f t="shared" si="111"/>
        <v>0.41571753986332582</v>
      </c>
      <c r="H88" s="40">
        <f t="shared" si="111"/>
        <v>0.16547025185545686</v>
      </c>
      <c r="I88" s="40">
        <f t="shared" si="111"/>
        <v>0.4149696457388764</v>
      </c>
      <c r="J88" s="40">
        <f t="shared" si="111"/>
        <v>0.61317641882974039</v>
      </c>
      <c r="K88" s="40">
        <f t="shared" si="111"/>
        <v>0.69551267964663999</v>
      </c>
      <c r="L88" s="40">
        <f>L86/L87</f>
        <v>0.59750750928886898</v>
      </c>
      <c r="M88" s="40">
        <f>M86/M87</f>
        <v>0.97372913354002588</v>
      </c>
    </row>
  </sheetData>
  <mergeCells count="1">
    <mergeCell ref="AG71:AH71"/>
  </mergeCells>
  <conditionalFormatting sqref="AG7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Sell",AG71)))</formula>
    </cfRule>
    <cfRule type="containsText" dxfId="3" priority="3" operator="containsText" text="Sell">
      <formula>NOT(ISERROR(SEARCH("Sell",AG71)))</formula>
    </cfRule>
    <cfRule type="containsText" dxfId="2" priority="4" operator="containsText" text="Hold">
      <formula>NOT(ISERROR(SEARCH("Hold",AG71)))</formula>
    </cfRule>
    <cfRule type="beginsWith" dxfId="1" priority="5" operator="beginsWith" text="Buy">
      <formula>LEFT(AG71,LEN("Buy"))="Buy"</formula>
    </cfRule>
    <cfRule type="beginsWith" dxfId="0" priority="6" operator="beginsWith" text="Strong">
      <formula>LEFT(AG71,LEN("Strong"))="Strong"</formula>
    </cfRule>
  </conditionalFormatting>
  <pageMargins left="0.7" right="0.7" top="0.75" bottom="0.75" header="0.3" footer="0.3"/>
  <ignoredErrors>
    <ignoredError sqref="Y10:AH10 X8 W11:X11 I12:K13 C19:L24 C47:L47" evalError="1"/>
    <ignoredError sqref="J77:L79 W84:X85 F77:I78 M77:M78" formulaRange="1"/>
    <ignoredError sqref="W46:X4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K1564"/>
  <sheetViews>
    <sheetView topLeftCell="P222" zoomScale="70" zoomScaleNormal="70" workbookViewId="0">
      <selection activeCell="AJ161" sqref="AJ161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8" width="9.140625" style="1"/>
    <col min="39" max="39" width="2.85546875" style="1" customWidth="1"/>
    <col min="40" max="16384" width="9.140625" style="1"/>
  </cols>
  <sheetData>
    <row r="1" spans="16:89">
      <c r="CK1" s="1">
        <v>0</v>
      </c>
    </row>
    <row r="2" spans="16:89" ht="15">
      <c r="P2" s="2" t="s">
        <v>107</v>
      </c>
      <c r="AN2" s="2" t="s">
        <v>86</v>
      </c>
    </row>
    <row r="33" spans="16:40">
      <c r="Q33" s="1" t="s">
        <v>14</v>
      </c>
      <c r="R33" s="1" t="s">
        <v>15</v>
      </c>
    </row>
    <row r="34" spans="16:40">
      <c r="R34" s="1" t="s">
        <v>16</v>
      </c>
    </row>
    <row r="35" spans="16:40">
      <c r="R35" s="1" t="s">
        <v>17</v>
      </c>
    </row>
    <row r="36" spans="16:40" ht="15">
      <c r="P36" s="2"/>
      <c r="AN36" s="2" t="s">
        <v>87</v>
      </c>
    </row>
    <row r="37" spans="16:40" ht="15">
      <c r="P37" s="2" t="s">
        <v>586</v>
      </c>
      <c r="AN37" s="2" t="s">
        <v>88</v>
      </c>
    </row>
    <row r="72" spans="16:40">
      <c r="Q72" s="1" t="s">
        <v>14</v>
      </c>
      <c r="R72" s="1" t="s">
        <v>15</v>
      </c>
    </row>
    <row r="73" spans="16:40">
      <c r="R73" s="1" t="s">
        <v>16</v>
      </c>
    </row>
    <row r="74" spans="16:40">
      <c r="R74" s="1" t="s">
        <v>17</v>
      </c>
    </row>
    <row r="76" spans="16:40" ht="15">
      <c r="P76" s="2" t="s">
        <v>585</v>
      </c>
      <c r="AN76" s="2" t="s">
        <v>89</v>
      </c>
    </row>
    <row r="108" spans="16:40">
      <c r="Q108" s="1" t="s">
        <v>14</v>
      </c>
      <c r="R108" s="1" t="s">
        <v>15</v>
      </c>
    </row>
    <row r="109" spans="16:40">
      <c r="R109" s="1" t="s">
        <v>16</v>
      </c>
    </row>
    <row r="110" spans="16:40">
      <c r="R110" s="1" t="s">
        <v>17</v>
      </c>
    </row>
    <row r="112" spans="16:40" ht="15">
      <c r="P112" s="2" t="s">
        <v>581</v>
      </c>
      <c r="AN112" s="2" t="s">
        <v>90</v>
      </c>
    </row>
    <row r="144" spans="17:18">
      <c r="Q144" s="1" t="s">
        <v>14</v>
      </c>
      <c r="R144" s="1" t="s">
        <v>15</v>
      </c>
    </row>
    <row r="145" spans="16:40">
      <c r="R145" s="1" t="s">
        <v>16</v>
      </c>
    </row>
    <row r="146" spans="16:40">
      <c r="R146" s="1" t="s">
        <v>17</v>
      </c>
    </row>
    <row r="148" spans="16:40" ht="15">
      <c r="P148" s="2" t="s">
        <v>110</v>
      </c>
      <c r="AN148" s="2" t="s">
        <v>91</v>
      </c>
    </row>
    <row r="161" ht="15" customHeight="1"/>
    <row r="177" spans="1:18">
      <c r="Q177" s="1" t="s">
        <v>14</v>
      </c>
      <c r="R177" s="1" t="s">
        <v>15</v>
      </c>
    </row>
    <row r="178" spans="1:18">
      <c r="R178" s="1" t="s">
        <v>16</v>
      </c>
    </row>
    <row r="179" spans="1:18">
      <c r="R179" s="1" t="s">
        <v>17</v>
      </c>
    </row>
    <row r="181" spans="1:18" ht="15">
      <c r="P181" s="2" t="s">
        <v>109</v>
      </c>
    </row>
    <row r="191" spans="1:18">
      <c r="A191" s="1" t="s">
        <v>130</v>
      </c>
      <c r="I191" s="1" t="s">
        <v>524</v>
      </c>
    </row>
    <row r="192" spans="1:18">
      <c r="A192" s="1" t="s">
        <v>523</v>
      </c>
      <c r="I192" s="1" t="s">
        <v>523</v>
      </c>
    </row>
    <row r="193" spans="1:15">
      <c r="A193" s="24" t="s">
        <v>18</v>
      </c>
      <c r="B193" s="24" t="s">
        <v>19</v>
      </c>
      <c r="C193" s="24" t="s">
        <v>20</v>
      </c>
      <c r="D193" s="24" t="s">
        <v>21</v>
      </c>
      <c r="E193" s="24" t="s">
        <v>22</v>
      </c>
      <c r="F193" s="24" t="s">
        <v>23</v>
      </c>
      <c r="G193" s="24" t="s">
        <v>24</v>
      </c>
      <c r="I193" s="24" t="s">
        <v>18</v>
      </c>
      <c r="J193" s="24" t="s">
        <v>19</v>
      </c>
      <c r="K193" s="24" t="s">
        <v>20</v>
      </c>
      <c r="L193" s="24" t="s">
        <v>21</v>
      </c>
      <c r="M193" s="24" t="s">
        <v>22</v>
      </c>
      <c r="N193" s="24" t="s">
        <v>23</v>
      </c>
      <c r="O193" s="24" t="s">
        <v>24</v>
      </c>
    </row>
    <row r="194" spans="1:15">
      <c r="A194" s="64">
        <v>600.51</v>
      </c>
      <c r="B194" s="64">
        <v>619.6</v>
      </c>
      <c r="C194" s="64">
        <v>600.23</v>
      </c>
      <c r="D194" s="64">
        <v>617.99</v>
      </c>
      <c r="E194" s="64">
        <v>13339202</v>
      </c>
      <c r="F194" s="64" t="s">
        <v>132</v>
      </c>
      <c r="G194" s="25">
        <f t="shared" ref="G194:G257" si="0">A194/D194-1</f>
        <v>-2.8285247334099317E-2</v>
      </c>
      <c r="I194" s="64">
        <v>198.55</v>
      </c>
      <c r="J194" s="64">
        <v>214.4</v>
      </c>
      <c r="K194" s="64">
        <v>198</v>
      </c>
      <c r="L194" s="64">
        <v>214.4</v>
      </c>
      <c r="M194" s="64">
        <v>5372543</v>
      </c>
      <c r="N194" s="64" t="s">
        <v>132</v>
      </c>
      <c r="O194" s="25">
        <f t="shared" ref="O194:O257" si="1">I194/L194-1</f>
        <v>-7.3927238805970075E-2</v>
      </c>
    </row>
    <row r="195" spans="1:15">
      <c r="A195" s="64">
        <v>617.1</v>
      </c>
      <c r="B195" s="64">
        <v>619.59</v>
      </c>
      <c r="C195" s="64">
        <v>615.28</v>
      </c>
      <c r="D195" s="64">
        <v>619.23</v>
      </c>
      <c r="E195" s="64">
        <v>5879748</v>
      </c>
      <c r="F195" s="64" t="s">
        <v>133</v>
      </c>
      <c r="G195" s="25">
        <f t="shared" si="0"/>
        <v>-3.439755825783597E-3</v>
      </c>
      <c r="I195" s="64">
        <v>211.7</v>
      </c>
      <c r="J195" s="64">
        <v>212.34</v>
      </c>
      <c r="K195" s="64">
        <v>199.38</v>
      </c>
      <c r="L195" s="64">
        <v>203.25</v>
      </c>
      <c r="M195" s="64">
        <v>5162099</v>
      </c>
      <c r="N195" s="64" t="s">
        <v>133</v>
      </c>
      <c r="O195" s="25">
        <f t="shared" si="1"/>
        <v>4.1574415744157323E-2</v>
      </c>
    </row>
    <row r="196" spans="1:15">
      <c r="A196" s="64">
        <v>618.77</v>
      </c>
      <c r="B196" s="64">
        <v>618.9</v>
      </c>
      <c r="C196" s="64">
        <v>615.46420000000001</v>
      </c>
      <c r="D196" s="64">
        <v>616.21500000000003</v>
      </c>
      <c r="E196" s="64">
        <v>5000436</v>
      </c>
      <c r="F196" s="64" t="s">
        <v>134</v>
      </c>
      <c r="G196" s="25">
        <f t="shared" si="0"/>
        <v>4.1462801132721161E-3</v>
      </c>
      <c r="I196" s="64">
        <v>202.29</v>
      </c>
      <c r="J196" s="64">
        <v>206.22499999999999</v>
      </c>
      <c r="K196" s="64">
        <v>195.01</v>
      </c>
      <c r="L196" s="64">
        <v>206.22499999999999</v>
      </c>
      <c r="M196" s="64">
        <v>6613320</v>
      </c>
      <c r="N196" s="64" t="s">
        <v>134</v>
      </c>
      <c r="O196" s="25">
        <f t="shared" si="1"/>
        <v>-1.9081100739483547E-2</v>
      </c>
    </row>
    <row r="197" spans="1:15">
      <c r="A197" s="64">
        <v>615.20000000000005</v>
      </c>
      <c r="B197" s="64">
        <v>618.73929999999996</v>
      </c>
      <c r="C197" s="64">
        <v>613.82000000000005</v>
      </c>
      <c r="D197" s="64">
        <v>618.29999999999995</v>
      </c>
      <c r="E197" s="64">
        <v>7439508</v>
      </c>
      <c r="F197" s="64" t="s">
        <v>135</v>
      </c>
      <c r="G197" s="25">
        <f t="shared" si="0"/>
        <v>-5.0137473718258052E-3</v>
      </c>
      <c r="I197" s="64">
        <v>205.92</v>
      </c>
      <c r="J197" s="64">
        <v>209.7364</v>
      </c>
      <c r="K197" s="64">
        <v>202.50710000000001</v>
      </c>
      <c r="L197" s="64">
        <v>206.24</v>
      </c>
      <c r="M197" s="64">
        <v>3681976</v>
      </c>
      <c r="N197" s="64" t="s">
        <v>135</v>
      </c>
      <c r="O197" s="25">
        <f t="shared" si="1"/>
        <v>-1.5515903801397446E-3</v>
      </c>
    </row>
    <row r="198" spans="1:15">
      <c r="A198" s="64">
        <v>617.4</v>
      </c>
      <c r="B198" s="64">
        <v>618.28</v>
      </c>
      <c r="C198" s="64">
        <v>615.48</v>
      </c>
      <c r="D198" s="64">
        <v>617.46</v>
      </c>
      <c r="E198" s="64">
        <v>5958193</v>
      </c>
      <c r="F198" s="64" t="s">
        <v>136</v>
      </c>
      <c r="G198" s="25">
        <f t="shared" si="0"/>
        <v>-9.7172286463997892E-5</v>
      </c>
      <c r="I198" s="64">
        <v>203.63</v>
      </c>
      <c r="J198" s="64">
        <v>211.15</v>
      </c>
      <c r="K198" s="64">
        <v>198.87</v>
      </c>
      <c r="L198" s="64">
        <v>207.3</v>
      </c>
      <c r="M198" s="64">
        <v>4705235</v>
      </c>
      <c r="N198" s="64" t="s">
        <v>136</v>
      </c>
      <c r="O198" s="25">
        <f t="shared" si="1"/>
        <v>-1.7703810902074402E-2</v>
      </c>
    </row>
    <row r="199" spans="1:15">
      <c r="A199" s="64">
        <v>615.29999999999995</v>
      </c>
      <c r="B199" s="64">
        <v>618.41999999999996</v>
      </c>
      <c r="C199" s="64">
        <v>614.28800000000001</v>
      </c>
      <c r="D199" s="64">
        <v>615.95000000000005</v>
      </c>
      <c r="E199" s="64">
        <v>7187163</v>
      </c>
      <c r="F199" s="64" t="s">
        <v>137</v>
      </c>
      <c r="G199" s="25">
        <f t="shared" si="0"/>
        <v>-1.0552804610765021E-3</v>
      </c>
      <c r="I199" s="64">
        <v>207.2</v>
      </c>
      <c r="J199" s="64">
        <v>213.38</v>
      </c>
      <c r="K199" s="64">
        <v>205.41</v>
      </c>
      <c r="L199" s="64">
        <v>212.02</v>
      </c>
      <c r="M199" s="64">
        <v>8412403</v>
      </c>
      <c r="N199" s="64" t="s">
        <v>137</v>
      </c>
      <c r="O199" s="25">
        <f t="shared" si="1"/>
        <v>-2.2733704367512653E-2</v>
      </c>
    </row>
    <row r="200" spans="1:15">
      <c r="A200" s="64">
        <v>615.25</v>
      </c>
      <c r="B200" s="64">
        <v>616.48</v>
      </c>
      <c r="C200" s="64">
        <v>613.02</v>
      </c>
      <c r="D200" s="64">
        <v>616.41</v>
      </c>
      <c r="E200" s="64">
        <v>7036646</v>
      </c>
      <c r="F200" s="64" t="s">
        <v>138</v>
      </c>
      <c r="G200" s="25">
        <f t="shared" si="0"/>
        <v>-1.8818643435375426E-3</v>
      </c>
      <c r="I200" s="64">
        <v>200.92</v>
      </c>
      <c r="J200" s="64">
        <v>209</v>
      </c>
      <c r="K200" s="64">
        <v>198.8</v>
      </c>
      <c r="L200" s="64">
        <v>206.85</v>
      </c>
      <c r="M200" s="64">
        <v>7671147</v>
      </c>
      <c r="N200" s="64" t="s">
        <v>138</v>
      </c>
      <c r="O200" s="25">
        <f t="shared" si="1"/>
        <v>-2.86681169929901E-2</v>
      </c>
    </row>
    <row r="201" spans="1:15">
      <c r="A201" s="64">
        <v>614.57000000000005</v>
      </c>
      <c r="B201" s="64">
        <v>615.39</v>
      </c>
      <c r="C201" s="64">
        <v>609.57000000000005</v>
      </c>
      <c r="D201" s="64">
        <v>609.70000000000005</v>
      </c>
      <c r="E201" s="64">
        <v>9753029</v>
      </c>
      <c r="F201" s="64" t="s">
        <v>139</v>
      </c>
      <c r="G201" s="25">
        <f t="shared" si="0"/>
        <v>7.9875348532065793E-3</v>
      </c>
      <c r="I201" s="64">
        <v>202.6</v>
      </c>
      <c r="J201" s="64">
        <v>218.31899999999999</v>
      </c>
      <c r="K201" s="64">
        <v>202.26</v>
      </c>
      <c r="L201" s="64">
        <v>213</v>
      </c>
      <c r="M201" s="64">
        <v>15702364</v>
      </c>
      <c r="N201" s="64" t="s">
        <v>139</v>
      </c>
      <c r="O201" s="25">
        <f t="shared" si="1"/>
        <v>-4.8826291079812179E-2</v>
      </c>
    </row>
    <row r="202" spans="1:15">
      <c r="A202" s="64">
        <v>612.38</v>
      </c>
      <c r="B202" s="64">
        <v>612.86</v>
      </c>
      <c r="C202" s="64">
        <v>608.27</v>
      </c>
      <c r="D202" s="64">
        <v>609.42999999999995</v>
      </c>
      <c r="E202" s="64">
        <v>6481423</v>
      </c>
      <c r="F202" s="64" t="s">
        <v>140</v>
      </c>
      <c r="G202" s="25">
        <f t="shared" si="0"/>
        <v>4.8405887468618847E-3</v>
      </c>
      <c r="I202" s="64">
        <v>229.99</v>
      </c>
      <c r="J202" s="64">
        <v>240.99</v>
      </c>
      <c r="K202" s="64">
        <v>225.09</v>
      </c>
      <c r="L202" s="64">
        <v>240.33500000000001</v>
      </c>
      <c r="M202" s="64">
        <v>4867426</v>
      </c>
      <c r="N202" s="64" t="s">
        <v>140</v>
      </c>
      <c r="O202" s="25">
        <f t="shared" si="1"/>
        <v>-4.3044084298999308E-2</v>
      </c>
    </row>
    <row r="203" spans="1:15">
      <c r="A203" s="64">
        <v>610.13</v>
      </c>
      <c r="B203" s="64">
        <v>611.67999999999995</v>
      </c>
      <c r="C203" s="64">
        <v>608.48</v>
      </c>
      <c r="D203" s="64">
        <v>610.79</v>
      </c>
      <c r="E203" s="64">
        <v>5658835</v>
      </c>
      <c r="F203" s="64" t="s">
        <v>141</v>
      </c>
      <c r="G203" s="25">
        <f t="shared" si="0"/>
        <v>-1.0805677892564702E-3</v>
      </c>
      <c r="I203" s="64">
        <v>241.98</v>
      </c>
      <c r="J203" s="64">
        <v>246.43</v>
      </c>
      <c r="K203" s="64">
        <v>239.3</v>
      </c>
      <c r="L203" s="64">
        <v>244.804</v>
      </c>
      <c r="M203" s="64">
        <v>3784584</v>
      </c>
      <c r="N203" s="64" t="s">
        <v>141</v>
      </c>
      <c r="O203" s="25">
        <f t="shared" si="1"/>
        <v>-1.1535759219620689E-2</v>
      </c>
    </row>
    <row r="204" spans="1:15">
      <c r="A204" s="64">
        <v>610.16</v>
      </c>
      <c r="B204" s="64">
        <v>610.70000000000005</v>
      </c>
      <c r="C204" s="64">
        <v>606.56500000000005</v>
      </c>
      <c r="D204" s="64">
        <v>608.03</v>
      </c>
      <c r="E204" s="64">
        <v>6438634</v>
      </c>
      <c r="F204" s="64" t="s">
        <v>142</v>
      </c>
      <c r="G204" s="25">
        <f t="shared" si="0"/>
        <v>3.5031166225349963E-3</v>
      </c>
      <c r="I204" s="64">
        <v>240.11</v>
      </c>
      <c r="J204" s="64">
        <v>240.61</v>
      </c>
      <c r="K204" s="64">
        <v>231.2379</v>
      </c>
      <c r="L204" s="64">
        <v>234.08</v>
      </c>
      <c r="M204" s="64">
        <v>3280330</v>
      </c>
      <c r="N204" s="64" t="s">
        <v>142</v>
      </c>
      <c r="O204" s="25">
        <f t="shared" si="1"/>
        <v>2.5760423786739484E-2</v>
      </c>
    </row>
    <row r="205" spans="1:15">
      <c r="A205" s="64">
        <v>606.59</v>
      </c>
      <c r="B205" s="64">
        <v>607.92999999999995</v>
      </c>
      <c r="C205" s="64">
        <v>603.35</v>
      </c>
      <c r="D205" s="64">
        <v>606.62</v>
      </c>
      <c r="E205" s="64">
        <v>6927746</v>
      </c>
      <c r="F205" s="64" t="s">
        <v>143</v>
      </c>
      <c r="G205" s="25">
        <f t="shared" si="0"/>
        <v>-4.9454353631572801E-5</v>
      </c>
      <c r="I205" s="64">
        <v>232.75</v>
      </c>
      <c r="J205" s="64">
        <v>236.52</v>
      </c>
      <c r="K205" s="64">
        <v>223.5</v>
      </c>
      <c r="L205" s="64">
        <v>228.15</v>
      </c>
      <c r="M205" s="64">
        <v>4630093</v>
      </c>
      <c r="N205" s="64" t="s">
        <v>143</v>
      </c>
      <c r="O205" s="25">
        <f t="shared" si="1"/>
        <v>2.016217400832776E-2</v>
      </c>
    </row>
    <row r="206" spans="1:15">
      <c r="A206" s="64">
        <v>609.5</v>
      </c>
      <c r="B206" s="64">
        <v>612.74</v>
      </c>
      <c r="C206" s="64">
        <v>608.19000000000005</v>
      </c>
      <c r="D206" s="64">
        <v>612.63</v>
      </c>
      <c r="E206" s="64">
        <v>23764079</v>
      </c>
      <c r="F206" s="64" t="s">
        <v>144</v>
      </c>
      <c r="G206" s="25">
        <f t="shared" si="0"/>
        <v>-5.1091196970438624E-3</v>
      </c>
      <c r="I206" s="64">
        <v>235.69</v>
      </c>
      <c r="J206" s="64">
        <v>244</v>
      </c>
      <c r="K206" s="64">
        <v>234.89</v>
      </c>
      <c r="L206" s="64">
        <v>241.51</v>
      </c>
      <c r="M206" s="64">
        <v>4792727</v>
      </c>
      <c r="N206" s="64" t="s">
        <v>144</v>
      </c>
      <c r="O206" s="25">
        <f t="shared" si="1"/>
        <v>-2.4098381019419413E-2</v>
      </c>
    </row>
    <row r="207" spans="1:15">
      <c r="A207" s="64">
        <v>611.54</v>
      </c>
      <c r="B207" s="64">
        <v>615.26</v>
      </c>
      <c r="C207" s="64">
        <v>610.34100000000001</v>
      </c>
      <c r="D207" s="64">
        <v>614.70500000000004</v>
      </c>
      <c r="E207" s="64">
        <v>10728553</v>
      </c>
      <c r="F207" s="64" t="s">
        <v>145</v>
      </c>
      <c r="G207" s="25">
        <f t="shared" si="0"/>
        <v>-5.148811218389393E-3</v>
      </c>
      <c r="I207" s="64">
        <v>237.45</v>
      </c>
      <c r="J207" s="64">
        <v>255.78</v>
      </c>
      <c r="K207" s="64">
        <v>235.85</v>
      </c>
      <c r="L207" s="64">
        <v>255.57499999999999</v>
      </c>
      <c r="M207" s="64">
        <v>7967806</v>
      </c>
      <c r="N207" s="64" t="s">
        <v>145</v>
      </c>
      <c r="O207" s="25">
        <f t="shared" si="1"/>
        <v>-7.0918517069353371E-2</v>
      </c>
    </row>
    <row r="208" spans="1:15">
      <c r="A208" s="64">
        <v>614.76</v>
      </c>
      <c r="B208" s="64">
        <v>615.22</v>
      </c>
      <c r="C208" s="64">
        <v>610.51</v>
      </c>
      <c r="D208" s="64">
        <v>610.52</v>
      </c>
      <c r="E208" s="64">
        <v>11551587</v>
      </c>
      <c r="F208" s="64" t="s">
        <v>146</v>
      </c>
      <c r="G208" s="25">
        <f t="shared" si="0"/>
        <v>6.9448994299941003E-3</v>
      </c>
      <c r="I208" s="64">
        <v>257.56</v>
      </c>
      <c r="J208" s="64">
        <v>262.99</v>
      </c>
      <c r="K208" s="64">
        <v>253.34</v>
      </c>
      <c r="L208" s="64">
        <v>257.45</v>
      </c>
      <c r="M208" s="64">
        <v>5190478</v>
      </c>
      <c r="N208" s="64" t="s">
        <v>146</v>
      </c>
      <c r="O208" s="25">
        <f t="shared" si="1"/>
        <v>4.2726743056920036E-4</v>
      </c>
    </row>
    <row r="209" spans="1:18">
      <c r="A209" s="64">
        <v>611.78</v>
      </c>
      <c r="B209" s="64">
        <v>612.66999999999996</v>
      </c>
      <c r="C209" s="64">
        <v>608.85</v>
      </c>
      <c r="D209" s="64">
        <v>610.62</v>
      </c>
      <c r="E209" s="64">
        <v>6065655</v>
      </c>
      <c r="F209" s="64" t="s">
        <v>147</v>
      </c>
      <c r="G209" s="25">
        <f t="shared" si="0"/>
        <v>1.899708493007024E-3</v>
      </c>
      <c r="I209" s="64">
        <v>264.48</v>
      </c>
      <c r="J209" s="64">
        <v>271.99</v>
      </c>
      <c r="K209" s="64">
        <v>251.5</v>
      </c>
      <c r="L209" s="64">
        <v>270.5</v>
      </c>
      <c r="M209" s="64">
        <v>11586079</v>
      </c>
      <c r="N209" s="64" t="s">
        <v>147</v>
      </c>
      <c r="O209" s="25">
        <f t="shared" si="1"/>
        <v>-2.2255083179297475E-2</v>
      </c>
    </row>
    <row r="210" spans="1:18">
      <c r="A210" s="64">
        <v>608.94000000000005</v>
      </c>
      <c r="B210" s="64">
        <v>611.30999999999995</v>
      </c>
      <c r="C210" s="64">
        <v>607.07000000000005</v>
      </c>
      <c r="D210" s="64">
        <v>608.54999999999995</v>
      </c>
      <c r="E210" s="64">
        <v>11029230</v>
      </c>
      <c r="F210" s="64" t="s">
        <v>148</v>
      </c>
      <c r="G210" s="25">
        <f t="shared" si="0"/>
        <v>6.4086763618442788E-4</v>
      </c>
      <c r="I210" s="64">
        <v>270.70999999999998</v>
      </c>
      <c r="J210" s="64">
        <v>282.95</v>
      </c>
      <c r="K210" s="64">
        <v>269.92</v>
      </c>
      <c r="L210" s="64">
        <v>271.99</v>
      </c>
      <c r="M210" s="64">
        <v>6793629</v>
      </c>
      <c r="N210" s="64" t="s">
        <v>148</v>
      </c>
      <c r="O210" s="25">
        <f t="shared" si="1"/>
        <v>-4.7060553696828267E-3</v>
      </c>
      <c r="Q210" s="1" t="s">
        <v>14</v>
      </c>
      <c r="R210" s="1" t="s">
        <v>15</v>
      </c>
    </row>
    <row r="211" spans="1:18">
      <c r="A211" s="64">
        <v>606.09</v>
      </c>
      <c r="B211" s="64">
        <v>608.33000000000004</v>
      </c>
      <c r="C211" s="64">
        <v>601.54999999999995</v>
      </c>
      <c r="D211" s="64">
        <v>606.84</v>
      </c>
      <c r="E211" s="64">
        <v>11613628</v>
      </c>
      <c r="F211" s="64" t="s">
        <v>149</v>
      </c>
      <c r="G211" s="25">
        <f t="shared" si="0"/>
        <v>-1.2359106189440139E-3</v>
      </c>
      <c r="I211" s="64">
        <v>266.47000000000003</v>
      </c>
      <c r="J211" s="64">
        <v>270.36</v>
      </c>
      <c r="K211" s="64">
        <v>249.22</v>
      </c>
      <c r="L211" s="64">
        <v>263.10000000000002</v>
      </c>
      <c r="M211" s="64">
        <v>10028725</v>
      </c>
      <c r="N211" s="64" t="s">
        <v>149</v>
      </c>
      <c r="O211" s="25">
        <f t="shared" si="1"/>
        <v>1.2808817939946815E-2</v>
      </c>
      <c r="R211" s="1" t="s">
        <v>16</v>
      </c>
    </row>
    <row r="212" spans="1:18">
      <c r="A212" s="64">
        <v>606.79</v>
      </c>
      <c r="B212" s="64">
        <v>608.41999999999996</v>
      </c>
      <c r="C212" s="64">
        <v>606.06089999999995</v>
      </c>
      <c r="D212" s="64">
        <v>608.16</v>
      </c>
      <c r="E212" s="64">
        <v>6367152</v>
      </c>
      <c r="F212" s="64" t="s">
        <v>150</v>
      </c>
      <c r="G212" s="25">
        <f t="shared" si="0"/>
        <v>-2.2526966587740338E-3</v>
      </c>
      <c r="I212" s="64">
        <v>266.66000000000003</v>
      </c>
      <c r="J212" s="64">
        <v>268.14999999999998</v>
      </c>
      <c r="K212" s="64">
        <v>260.5</v>
      </c>
      <c r="L212" s="64">
        <v>265.07499999999999</v>
      </c>
      <c r="M212" s="64">
        <v>3232144</v>
      </c>
      <c r="N212" s="64" t="s">
        <v>150</v>
      </c>
      <c r="O212" s="25">
        <f t="shared" si="1"/>
        <v>5.9794397811940847E-3</v>
      </c>
      <c r="R212" s="1" t="s">
        <v>17</v>
      </c>
    </row>
    <row r="213" spans="1:18">
      <c r="A213" s="64">
        <v>607.59</v>
      </c>
      <c r="B213" s="64">
        <v>607.77</v>
      </c>
      <c r="C213" s="64">
        <v>606.20000000000005</v>
      </c>
      <c r="D213" s="64">
        <v>606.47</v>
      </c>
      <c r="E213" s="64">
        <v>7447134</v>
      </c>
      <c r="F213" s="64" t="s">
        <v>151</v>
      </c>
      <c r="G213" s="25">
        <f t="shared" si="0"/>
        <v>1.8467525186736111E-3</v>
      </c>
      <c r="I213" s="64">
        <v>263.64</v>
      </c>
      <c r="J213" s="64">
        <v>265.54000000000002</v>
      </c>
      <c r="K213" s="64">
        <v>255.42</v>
      </c>
      <c r="L213" s="64">
        <v>256.66000000000003</v>
      </c>
      <c r="M213" s="64">
        <v>4572074</v>
      </c>
      <c r="N213" s="64" t="s">
        <v>151</v>
      </c>
      <c r="O213" s="25">
        <f t="shared" si="1"/>
        <v>2.7195511571729059E-2</v>
      </c>
    </row>
    <row r="214" spans="1:18">
      <c r="A214" s="64">
        <v>604.44000000000005</v>
      </c>
      <c r="B214" s="64">
        <v>605.98</v>
      </c>
      <c r="C214" s="64">
        <v>603.95000000000005</v>
      </c>
      <c r="D214" s="64">
        <v>604.59</v>
      </c>
      <c r="E214" s="64">
        <v>8108692</v>
      </c>
      <c r="F214" s="64" t="s">
        <v>152</v>
      </c>
      <c r="G214" s="25">
        <f t="shared" si="0"/>
        <v>-2.4810201955038913E-4</v>
      </c>
      <c r="I214" s="64">
        <v>254.29</v>
      </c>
      <c r="J214" s="64">
        <v>266.14999999999998</v>
      </c>
      <c r="K214" s="64">
        <v>251.19</v>
      </c>
      <c r="L214" s="64">
        <v>262.22000000000003</v>
      </c>
      <c r="M214" s="64">
        <v>3672408</v>
      </c>
      <c r="N214" s="64" t="s">
        <v>152</v>
      </c>
      <c r="O214" s="25">
        <f t="shared" si="1"/>
        <v>-3.024178171001457E-2</v>
      </c>
    </row>
    <row r="215" spans="1:18">
      <c r="A215" s="64">
        <v>604.57000000000005</v>
      </c>
      <c r="B215" s="64">
        <v>605.23</v>
      </c>
      <c r="C215" s="64">
        <v>600.89</v>
      </c>
      <c r="D215" s="64">
        <v>601.42999999999995</v>
      </c>
      <c r="E215" s="64">
        <v>9086806</v>
      </c>
      <c r="F215" s="64" t="s">
        <v>153</v>
      </c>
      <c r="G215" s="25">
        <f t="shared" si="0"/>
        <v>5.2208902116623879E-3</v>
      </c>
      <c r="I215" s="64">
        <v>260.54000000000002</v>
      </c>
      <c r="J215" s="64">
        <v>266.6395</v>
      </c>
      <c r="K215" s="64">
        <v>257.45</v>
      </c>
      <c r="L215" s="64">
        <v>260.57</v>
      </c>
      <c r="M215" s="64">
        <v>3719046</v>
      </c>
      <c r="N215" s="64" t="s">
        <v>153</v>
      </c>
      <c r="O215" s="25">
        <f t="shared" si="1"/>
        <v>-1.151322101545782E-4</v>
      </c>
    </row>
    <row r="216" spans="1:18">
      <c r="A216" s="64">
        <v>599.67999999999995</v>
      </c>
      <c r="B216" s="64">
        <v>601.75</v>
      </c>
      <c r="C216" s="64">
        <v>598.16</v>
      </c>
      <c r="D216" s="64">
        <v>600.91999999999996</v>
      </c>
      <c r="E216" s="64">
        <v>21542357</v>
      </c>
      <c r="F216" s="64" t="s">
        <v>154</v>
      </c>
      <c r="G216" s="25">
        <f t="shared" si="0"/>
        <v>-2.0635026293017722E-3</v>
      </c>
      <c r="I216" s="64">
        <v>259.02999999999997</v>
      </c>
      <c r="J216" s="64">
        <v>261.12729999999999</v>
      </c>
      <c r="K216" s="64">
        <v>244.845</v>
      </c>
      <c r="L216" s="64">
        <v>245.14</v>
      </c>
      <c r="M216" s="64">
        <v>7412664</v>
      </c>
      <c r="N216" s="64" t="s">
        <v>154</v>
      </c>
      <c r="O216" s="25">
        <f t="shared" si="1"/>
        <v>5.6661499551276862E-2</v>
      </c>
    </row>
    <row r="217" spans="1:18">
      <c r="A217" s="64">
        <v>597.95000000000005</v>
      </c>
      <c r="B217" s="64">
        <v>598.37</v>
      </c>
      <c r="C217" s="64">
        <v>595.01</v>
      </c>
      <c r="D217" s="64">
        <v>596.61</v>
      </c>
      <c r="E217" s="64">
        <v>7780114</v>
      </c>
      <c r="F217" s="64" t="s">
        <v>155</v>
      </c>
      <c r="G217" s="25">
        <f t="shared" si="0"/>
        <v>2.2460233653476269E-3</v>
      </c>
      <c r="I217" s="64">
        <v>240.2</v>
      </c>
      <c r="J217" s="64">
        <v>240.3</v>
      </c>
      <c r="K217" s="64">
        <v>232.05</v>
      </c>
      <c r="L217" s="64">
        <v>235.35</v>
      </c>
      <c r="M217" s="64">
        <v>3499509</v>
      </c>
      <c r="N217" s="64" t="s">
        <v>155</v>
      </c>
      <c r="O217" s="25">
        <f t="shared" si="1"/>
        <v>2.0607605693647724E-2</v>
      </c>
    </row>
    <row r="218" spans="1:18" ht="15" customHeight="1">
      <c r="A218" s="64">
        <v>596.5</v>
      </c>
      <c r="B218" s="64">
        <v>597.41</v>
      </c>
      <c r="C218" s="64">
        <v>595.03</v>
      </c>
      <c r="D218" s="64">
        <v>596.30999999999995</v>
      </c>
      <c r="E218" s="64">
        <v>9448293</v>
      </c>
      <c r="F218" s="64" t="s">
        <v>156</v>
      </c>
      <c r="G218" s="25">
        <f t="shared" si="0"/>
        <v>3.1862621790690326E-4</v>
      </c>
      <c r="I218" s="64">
        <v>229.98</v>
      </c>
      <c r="J218" s="64">
        <v>246.99</v>
      </c>
      <c r="K218" s="64">
        <v>229.86</v>
      </c>
      <c r="L218" s="64">
        <v>245.09</v>
      </c>
      <c r="M218" s="64">
        <v>5874893</v>
      </c>
      <c r="N218" s="64" t="s">
        <v>156</v>
      </c>
      <c r="O218" s="25">
        <f t="shared" si="1"/>
        <v>-6.1650822146966489E-2</v>
      </c>
    </row>
    <row r="219" spans="1:18">
      <c r="A219" s="64">
        <v>594.96</v>
      </c>
      <c r="B219" s="64">
        <v>599.6</v>
      </c>
      <c r="C219" s="64">
        <v>591.45000000000005</v>
      </c>
      <c r="D219" s="64">
        <v>598.91</v>
      </c>
      <c r="E219" s="64">
        <v>6622130</v>
      </c>
      <c r="F219" s="64" t="s">
        <v>157</v>
      </c>
      <c r="G219" s="25">
        <f t="shared" si="0"/>
        <v>-6.5953148219264346E-3</v>
      </c>
      <c r="I219" s="64">
        <v>240</v>
      </c>
      <c r="J219" s="64">
        <v>241.18</v>
      </c>
      <c r="K219" s="64">
        <v>230.24</v>
      </c>
      <c r="L219" s="64">
        <v>234</v>
      </c>
      <c r="M219" s="64">
        <v>5507865</v>
      </c>
      <c r="N219" s="64" t="s">
        <v>157</v>
      </c>
      <c r="O219" s="25">
        <f t="shared" si="1"/>
        <v>2.564102564102555E-2</v>
      </c>
    </row>
    <row r="220" spans="1:18">
      <c r="A220" s="64">
        <v>596.59</v>
      </c>
      <c r="B220" s="64">
        <v>596.77</v>
      </c>
      <c r="C220" s="64">
        <v>591.6</v>
      </c>
      <c r="D220" s="64">
        <v>592.47</v>
      </c>
      <c r="E220" s="64">
        <v>8012477</v>
      </c>
      <c r="F220" s="64" t="s">
        <v>158</v>
      </c>
      <c r="G220" s="25">
        <f t="shared" si="0"/>
        <v>6.9539385960470934E-3</v>
      </c>
      <c r="I220" s="64">
        <v>232.11</v>
      </c>
      <c r="J220" s="64">
        <v>234.38</v>
      </c>
      <c r="K220" s="64">
        <v>223.5</v>
      </c>
      <c r="L220" s="64">
        <v>225</v>
      </c>
      <c r="M220" s="64">
        <v>4238192</v>
      </c>
      <c r="N220" s="64" t="s">
        <v>158</v>
      </c>
      <c r="O220" s="25">
        <f t="shared" si="1"/>
        <v>3.1600000000000072E-2</v>
      </c>
    </row>
    <row r="221" spans="1:18">
      <c r="A221" s="64">
        <v>591.72</v>
      </c>
      <c r="B221" s="64">
        <v>592.23</v>
      </c>
      <c r="C221" s="64">
        <v>588.78</v>
      </c>
      <c r="D221" s="64">
        <v>590.80999999999995</v>
      </c>
      <c r="E221" s="64">
        <v>6669875</v>
      </c>
      <c r="F221" s="64" t="s">
        <v>159</v>
      </c>
      <c r="G221" s="25">
        <f t="shared" si="0"/>
        <v>1.5402582894672445E-3</v>
      </c>
      <c r="I221" s="64">
        <v>223.14</v>
      </c>
      <c r="J221" s="64">
        <v>239.37</v>
      </c>
      <c r="K221" s="64">
        <v>218.7</v>
      </c>
      <c r="L221" s="64">
        <v>226.28</v>
      </c>
      <c r="M221" s="64">
        <v>8346784</v>
      </c>
      <c r="N221" s="64" t="s">
        <v>159</v>
      </c>
      <c r="O221" s="25">
        <f t="shared" si="1"/>
        <v>-1.3876613045784025E-2</v>
      </c>
    </row>
    <row r="222" spans="1:18">
      <c r="A222" s="64">
        <v>588.71</v>
      </c>
      <c r="B222" s="64">
        <v>588.79999999999995</v>
      </c>
      <c r="C222" s="64">
        <v>583.66999999999996</v>
      </c>
      <c r="D222" s="64">
        <v>586.05999999999995</v>
      </c>
      <c r="E222" s="64">
        <v>11063662</v>
      </c>
      <c r="F222" s="64" t="s">
        <v>160</v>
      </c>
      <c r="G222" s="25">
        <f t="shared" si="0"/>
        <v>4.5217213254618027E-3</v>
      </c>
      <c r="I222" s="64">
        <v>220.06</v>
      </c>
      <c r="J222" s="64">
        <v>223.44</v>
      </c>
      <c r="K222" s="64">
        <v>213.15</v>
      </c>
      <c r="L222" s="64">
        <v>219.98</v>
      </c>
      <c r="M222" s="64">
        <v>4505529</v>
      </c>
      <c r="N222" s="64" t="s">
        <v>160</v>
      </c>
      <c r="O222" s="25">
        <f t="shared" si="1"/>
        <v>3.6366942449328477E-4</v>
      </c>
    </row>
    <row r="223" spans="1:18">
      <c r="A223" s="64">
        <v>593.08000000000004</v>
      </c>
      <c r="B223" s="64">
        <v>595.54999999999995</v>
      </c>
      <c r="C223" s="64">
        <v>591.245</v>
      </c>
      <c r="D223" s="64">
        <v>595.24</v>
      </c>
      <c r="E223" s="64">
        <v>7480746</v>
      </c>
      <c r="F223" s="64" t="s">
        <v>161</v>
      </c>
      <c r="G223" s="25">
        <f t="shared" si="0"/>
        <v>-3.6287883878770577E-3</v>
      </c>
      <c r="I223" s="64">
        <v>225.08</v>
      </c>
      <c r="J223" s="64">
        <v>227.9</v>
      </c>
      <c r="K223" s="64">
        <v>219.62</v>
      </c>
      <c r="L223" s="64">
        <v>225.54</v>
      </c>
      <c r="M223" s="64">
        <v>3883777</v>
      </c>
      <c r="N223" s="64" t="s">
        <v>161</v>
      </c>
      <c r="O223" s="25">
        <f t="shared" si="1"/>
        <v>-2.0395495255829399E-3</v>
      </c>
    </row>
    <row r="224" spans="1:18">
      <c r="A224" s="64">
        <v>596.52</v>
      </c>
      <c r="B224" s="64">
        <v>597.07000000000005</v>
      </c>
      <c r="C224" s="64">
        <v>593.27</v>
      </c>
      <c r="D224" s="64">
        <v>595.07000000000005</v>
      </c>
      <c r="E224" s="64">
        <v>5037983</v>
      </c>
      <c r="F224" s="64" t="s">
        <v>162</v>
      </c>
      <c r="G224" s="25">
        <f t="shared" si="0"/>
        <v>2.4366881207251723E-3</v>
      </c>
      <c r="I224" s="64">
        <v>225.54</v>
      </c>
      <c r="J224" s="64">
        <v>227</v>
      </c>
      <c r="K224" s="64">
        <v>212.4</v>
      </c>
      <c r="L224" s="64">
        <v>212.8</v>
      </c>
      <c r="M224" s="64">
        <v>5115455</v>
      </c>
      <c r="N224" s="64" t="s">
        <v>162</v>
      </c>
      <c r="O224" s="25">
        <f t="shared" si="1"/>
        <v>5.986842105263146E-2</v>
      </c>
    </row>
    <row r="225" spans="1:15">
      <c r="A225" s="64">
        <v>594.41999999999996</v>
      </c>
      <c r="B225" s="64">
        <v>595.14</v>
      </c>
      <c r="C225" s="64">
        <v>592.44000000000005</v>
      </c>
      <c r="D225" s="64">
        <v>592.52</v>
      </c>
      <c r="E225" s="64">
        <v>6089564</v>
      </c>
      <c r="F225" s="64" t="s">
        <v>163</v>
      </c>
      <c r="G225" s="25">
        <f t="shared" si="0"/>
        <v>3.20664281374472E-3</v>
      </c>
      <c r="I225" s="64">
        <v>211.1</v>
      </c>
      <c r="J225" s="64">
        <v>226.6688</v>
      </c>
      <c r="K225" s="64">
        <v>208.24</v>
      </c>
      <c r="L225" s="64">
        <v>220.97</v>
      </c>
      <c r="M225" s="64">
        <v>4772147</v>
      </c>
      <c r="N225" s="64" t="s">
        <v>163</v>
      </c>
      <c r="O225" s="25">
        <f t="shared" si="1"/>
        <v>-4.466669683667468E-2</v>
      </c>
    </row>
    <row r="226" spans="1:15">
      <c r="A226" s="64">
        <v>593.05999999999995</v>
      </c>
      <c r="B226" s="64">
        <v>593.42999999999995</v>
      </c>
      <c r="C226" s="64">
        <v>589.79499999999996</v>
      </c>
      <c r="D226" s="64">
        <v>590.38</v>
      </c>
      <c r="E226" s="64">
        <v>4746851</v>
      </c>
      <c r="F226" s="64" t="s">
        <v>164</v>
      </c>
      <c r="G226" s="25">
        <f t="shared" si="0"/>
        <v>4.5394491683321547E-3</v>
      </c>
      <c r="I226" s="64">
        <v>219.43</v>
      </c>
      <c r="J226" s="64">
        <v>220.5</v>
      </c>
      <c r="K226" s="64">
        <v>214.99</v>
      </c>
      <c r="L226" s="64">
        <v>218.84</v>
      </c>
      <c r="M226" s="64">
        <v>5297206</v>
      </c>
      <c r="N226" s="64" t="s">
        <v>164</v>
      </c>
      <c r="O226" s="25">
        <f t="shared" si="1"/>
        <v>2.6960336318770928E-3</v>
      </c>
    </row>
    <row r="227" spans="1:15" ht="15" customHeight="1">
      <c r="A227" s="64">
        <v>590.70000000000005</v>
      </c>
      <c r="B227" s="64">
        <v>593.22990000000004</v>
      </c>
      <c r="C227" s="64">
        <v>590.54999999999995</v>
      </c>
      <c r="D227" s="64">
        <v>592.04999999999995</v>
      </c>
      <c r="E227" s="64">
        <v>6483035</v>
      </c>
      <c r="F227" s="64" t="s">
        <v>165</v>
      </c>
      <c r="G227" s="25">
        <f t="shared" si="0"/>
        <v>-2.2802128198630145E-3</v>
      </c>
      <c r="I227" s="64">
        <v>219.73</v>
      </c>
      <c r="J227" s="64">
        <v>222.47</v>
      </c>
      <c r="K227" s="64">
        <v>212.57</v>
      </c>
      <c r="L227" s="64">
        <v>214.27</v>
      </c>
      <c r="M227" s="64">
        <v>4580555</v>
      </c>
      <c r="N227" s="64" t="s">
        <v>165</v>
      </c>
      <c r="O227" s="25">
        <f t="shared" si="1"/>
        <v>2.5481868670369057E-2</v>
      </c>
    </row>
    <row r="228" spans="1:15">
      <c r="A228" s="64">
        <v>593.21</v>
      </c>
      <c r="B228" s="64">
        <v>594.32000000000005</v>
      </c>
      <c r="C228" s="64">
        <v>585.84</v>
      </c>
      <c r="D228" s="64">
        <v>586.27</v>
      </c>
      <c r="E228" s="64">
        <v>6368542</v>
      </c>
      <c r="F228" s="64" t="s">
        <v>166</v>
      </c>
      <c r="G228" s="25">
        <f t="shared" si="0"/>
        <v>1.1837549252051272E-2</v>
      </c>
      <c r="I228" s="64">
        <v>217.31</v>
      </c>
      <c r="J228" s="64">
        <v>230.25</v>
      </c>
      <c r="K228" s="64">
        <v>214.1</v>
      </c>
      <c r="L228" s="64">
        <v>215</v>
      </c>
      <c r="M228" s="64">
        <v>7478374</v>
      </c>
      <c r="N228" s="64" t="s">
        <v>166</v>
      </c>
      <c r="O228" s="25">
        <f t="shared" si="1"/>
        <v>1.0744186046511617E-2</v>
      </c>
    </row>
    <row r="229" spans="1:15">
      <c r="A229" s="64">
        <v>584.27</v>
      </c>
      <c r="B229" s="64">
        <v>586.46</v>
      </c>
      <c r="C229" s="64">
        <v>582.65</v>
      </c>
      <c r="D229" s="64">
        <v>584.92999999999995</v>
      </c>
      <c r="E229" s="64">
        <v>4807277</v>
      </c>
      <c r="F229" s="64" t="s">
        <v>167</v>
      </c>
      <c r="G229" s="25">
        <f t="shared" si="0"/>
        <v>-1.1283401432649054E-3</v>
      </c>
      <c r="I229" s="64">
        <v>218.65</v>
      </c>
      <c r="J229" s="64">
        <v>221.73</v>
      </c>
      <c r="K229" s="64">
        <v>215.1</v>
      </c>
      <c r="L229" s="64">
        <v>217.44</v>
      </c>
      <c r="M229" s="64">
        <v>4002415</v>
      </c>
      <c r="N229" s="64" t="s">
        <v>167</v>
      </c>
      <c r="O229" s="25">
        <f t="shared" si="1"/>
        <v>5.5647534952170119E-3</v>
      </c>
    </row>
    <row r="230" spans="1:15">
      <c r="A230" s="64">
        <v>586.58000000000004</v>
      </c>
      <c r="B230" s="64">
        <v>588</v>
      </c>
      <c r="C230" s="64">
        <v>581.85</v>
      </c>
      <c r="D230" s="64">
        <v>587.80999999999995</v>
      </c>
      <c r="E230" s="64">
        <v>7054266</v>
      </c>
      <c r="F230" s="64" t="s">
        <v>168</v>
      </c>
      <c r="G230" s="25">
        <f t="shared" si="0"/>
        <v>-2.0925128868169995E-3</v>
      </c>
      <c r="I230" s="64">
        <v>218.37</v>
      </c>
      <c r="J230" s="64">
        <v>225.0318</v>
      </c>
      <c r="K230" s="64">
        <v>205.374</v>
      </c>
      <c r="L230" s="64">
        <v>221.5</v>
      </c>
      <c r="M230" s="64">
        <v>12913195</v>
      </c>
      <c r="N230" s="64" t="s">
        <v>168</v>
      </c>
      <c r="O230" s="25">
        <f t="shared" si="1"/>
        <v>-1.4130925507900627E-2</v>
      </c>
    </row>
    <row r="231" spans="1:15">
      <c r="A231" s="64">
        <v>588.13</v>
      </c>
      <c r="B231" s="64">
        <v>592.12</v>
      </c>
      <c r="C231" s="64">
        <v>586.94000000000005</v>
      </c>
      <c r="D231" s="64">
        <v>591.25</v>
      </c>
      <c r="E231" s="64">
        <v>6689596</v>
      </c>
      <c r="F231" s="64" t="s">
        <v>169</v>
      </c>
      <c r="G231" s="25">
        <f t="shared" si="0"/>
        <v>-5.2769556025370479E-3</v>
      </c>
      <c r="I231" s="64">
        <v>228.18</v>
      </c>
      <c r="J231" s="64">
        <v>238.84</v>
      </c>
      <c r="K231" s="64">
        <v>225.5001</v>
      </c>
      <c r="L231" s="64">
        <v>238.22</v>
      </c>
      <c r="M231" s="64">
        <v>8608941</v>
      </c>
      <c r="N231" s="64" t="s">
        <v>169</v>
      </c>
      <c r="O231" s="25">
        <f t="shared" si="1"/>
        <v>-4.2145915540256818E-2</v>
      </c>
    </row>
    <row r="232" spans="1:15">
      <c r="A232" s="64">
        <v>591.36</v>
      </c>
      <c r="B232" s="64">
        <v>592.02</v>
      </c>
      <c r="C232" s="64">
        <v>590.35</v>
      </c>
      <c r="D232" s="64">
        <v>590.98</v>
      </c>
      <c r="E232" s="64">
        <v>5311743</v>
      </c>
      <c r="F232" s="64" t="s">
        <v>170</v>
      </c>
      <c r="G232" s="25">
        <f t="shared" si="0"/>
        <v>6.4299976310544515E-4</v>
      </c>
      <c r="I232" s="64">
        <v>241.76</v>
      </c>
      <c r="J232" s="64">
        <v>253.14</v>
      </c>
      <c r="K232" s="64">
        <v>237.54</v>
      </c>
      <c r="L232" s="64">
        <v>245.63</v>
      </c>
      <c r="M232" s="64">
        <v>6933845</v>
      </c>
      <c r="N232" s="64" t="s">
        <v>170</v>
      </c>
      <c r="O232" s="25">
        <f t="shared" si="1"/>
        <v>-1.5755404470138012E-2</v>
      </c>
    </row>
    <row r="233" spans="1:15">
      <c r="A233" s="64">
        <v>591.57000000000005</v>
      </c>
      <c r="B233" s="64">
        <v>593.95000000000005</v>
      </c>
      <c r="C233" s="64">
        <v>590.66</v>
      </c>
      <c r="D233" s="64">
        <v>593.86</v>
      </c>
      <c r="E233" s="64">
        <v>7196315</v>
      </c>
      <c r="F233" s="64" t="s">
        <v>171</v>
      </c>
      <c r="G233" s="25">
        <f t="shared" si="0"/>
        <v>-3.8561277068668298E-3</v>
      </c>
      <c r="I233" s="64">
        <v>246.5</v>
      </c>
      <c r="J233" s="64">
        <v>248.01499999999999</v>
      </c>
      <c r="K233" s="64">
        <v>235.79</v>
      </c>
      <c r="L233" s="64">
        <v>242.57499999999999</v>
      </c>
      <c r="M233" s="64">
        <v>6434008</v>
      </c>
      <c r="N233" s="64" t="s">
        <v>171</v>
      </c>
      <c r="O233" s="25">
        <f t="shared" si="1"/>
        <v>1.6180562712563074E-2</v>
      </c>
    </row>
    <row r="234" spans="1:15">
      <c r="A234" s="64">
        <v>592.85</v>
      </c>
      <c r="B234" s="64">
        <v>593.51</v>
      </c>
      <c r="C234" s="64">
        <v>590.5</v>
      </c>
      <c r="D234" s="64">
        <v>590.91999999999996</v>
      </c>
      <c r="E234" s="64">
        <v>6236666</v>
      </c>
      <c r="F234" s="64" t="s">
        <v>172</v>
      </c>
      <c r="G234" s="25">
        <f t="shared" si="0"/>
        <v>3.2660935490422816E-3</v>
      </c>
      <c r="I234" s="64">
        <v>243.47</v>
      </c>
      <c r="J234" s="64">
        <v>244.85</v>
      </c>
      <c r="K234" s="64">
        <v>229.95500000000001</v>
      </c>
      <c r="L234" s="64">
        <v>229.95500000000001</v>
      </c>
      <c r="M234" s="64">
        <v>7579693</v>
      </c>
      <c r="N234" s="64" t="s">
        <v>172</v>
      </c>
      <c r="O234" s="25">
        <f t="shared" si="1"/>
        <v>5.8772368506881723E-2</v>
      </c>
    </row>
    <row r="235" spans="1:15">
      <c r="A235" s="64">
        <v>592.84</v>
      </c>
      <c r="B235" s="64">
        <v>594.03</v>
      </c>
      <c r="C235" s="64">
        <v>590.80999999999995</v>
      </c>
      <c r="D235" s="64">
        <v>592.86</v>
      </c>
      <c r="E235" s="64">
        <v>5392973</v>
      </c>
      <c r="F235" s="64" t="s">
        <v>173</v>
      </c>
      <c r="G235" s="25">
        <f t="shared" si="0"/>
        <v>-3.3734777181715359E-5</v>
      </c>
      <c r="I235" s="64">
        <v>234.77</v>
      </c>
      <c r="J235" s="64">
        <v>237.35310000000001</v>
      </c>
      <c r="K235" s="64">
        <v>224.3</v>
      </c>
      <c r="L235" s="64">
        <v>225.92</v>
      </c>
      <c r="M235" s="64">
        <v>7466951</v>
      </c>
      <c r="N235" s="64" t="s">
        <v>173</v>
      </c>
      <c r="O235" s="25">
        <f t="shared" si="1"/>
        <v>3.9173158640226635E-2</v>
      </c>
    </row>
    <row r="236" spans="1:15">
      <c r="A236" s="64">
        <v>590.78</v>
      </c>
      <c r="B236" s="64">
        <v>590.96</v>
      </c>
      <c r="C236" s="64">
        <v>585.43499999999995</v>
      </c>
      <c r="D236" s="64">
        <v>586.75</v>
      </c>
      <c r="E236" s="64">
        <v>5874245</v>
      </c>
      <c r="F236" s="64" t="s">
        <v>174</v>
      </c>
      <c r="G236" s="25">
        <f t="shared" si="0"/>
        <v>6.8683425649764818E-3</v>
      </c>
      <c r="I236" s="64">
        <v>224.02</v>
      </c>
      <c r="J236" s="64">
        <v>229.4469</v>
      </c>
      <c r="K236" s="64">
        <v>220.69</v>
      </c>
      <c r="L236" s="64">
        <v>221.17500000000001</v>
      </c>
      <c r="M236" s="64">
        <v>4803252</v>
      </c>
      <c r="N236" s="64" t="s">
        <v>174</v>
      </c>
      <c r="O236" s="25">
        <f t="shared" si="1"/>
        <v>1.2863117440940375E-2</v>
      </c>
    </row>
    <row r="237" spans="1:15">
      <c r="A237" s="64">
        <v>584.54</v>
      </c>
      <c r="B237" s="64">
        <v>587.36</v>
      </c>
      <c r="C237" s="64">
        <v>583.44000000000005</v>
      </c>
      <c r="D237" s="64">
        <v>586.03</v>
      </c>
      <c r="E237" s="64">
        <v>5373949</v>
      </c>
      <c r="F237" s="64" t="s">
        <v>175</v>
      </c>
      <c r="G237" s="25">
        <f t="shared" si="0"/>
        <v>-2.542531952289151E-3</v>
      </c>
      <c r="I237" s="64">
        <v>220.75</v>
      </c>
      <c r="J237" s="64">
        <v>225.35</v>
      </c>
      <c r="K237" s="64">
        <v>211.80009999999999</v>
      </c>
      <c r="L237" s="64">
        <v>215.23</v>
      </c>
      <c r="M237" s="64">
        <v>5563370</v>
      </c>
      <c r="N237" s="64" t="s">
        <v>175</v>
      </c>
      <c r="O237" s="25">
        <f t="shared" si="1"/>
        <v>2.5646982298006771E-2</v>
      </c>
    </row>
    <row r="238" spans="1:15">
      <c r="A238" s="64">
        <v>585.74</v>
      </c>
      <c r="B238" s="64">
        <v>586.16999999999996</v>
      </c>
      <c r="C238" s="64">
        <v>582.6</v>
      </c>
      <c r="D238" s="64">
        <v>582.92999999999995</v>
      </c>
      <c r="E238" s="64">
        <v>4342341</v>
      </c>
      <c r="F238" s="64" t="s">
        <v>176</v>
      </c>
      <c r="G238" s="25">
        <f t="shared" si="0"/>
        <v>4.8204758718886076E-3</v>
      </c>
      <c r="I238" s="64">
        <v>215.44</v>
      </c>
      <c r="J238" s="64">
        <v>219</v>
      </c>
      <c r="K238" s="64">
        <v>208.85</v>
      </c>
      <c r="L238" s="64">
        <v>211.85</v>
      </c>
      <c r="M238" s="64">
        <v>4726955</v>
      </c>
      <c r="N238" s="64" t="s">
        <v>176</v>
      </c>
      <c r="O238" s="25">
        <f t="shared" si="1"/>
        <v>1.6945952324758151E-2</v>
      </c>
    </row>
    <row r="239" spans="1:15">
      <c r="A239" s="64">
        <v>581.29</v>
      </c>
      <c r="B239" s="64">
        <v>585.52</v>
      </c>
      <c r="C239" s="64">
        <v>578.31269999999995</v>
      </c>
      <c r="D239" s="64">
        <v>584.87</v>
      </c>
      <c r="E239" s="64">
        <v>4594260</v>
      </c>
      <c r="F239" s="64" t="s">
        <v>177</v>
      </c>
      <c r="G239" s="25">
        <f t="shared" si="0"/>
        <v>-6.1210183459572409E-3</v>
      </c>
      <c r="I239" s="64">
        <v>211.82</v>
      </c>
      <c r="J239" s="64">
        <v>217.3</v>
      </c>
      <c r="K239" s="64">
        <v>205.72</v>
      </c>
      <c r="L239" s="64">
        <v>215.745</v>
      </c>
      <c r="M239" s="64">
        <v>6074456</v>
      </c>
      <c r="N239" s="64" t="s">
        <v>177</v>
      </c>
      <c r="O239" s="25">
        <f t="shared" si="1"/>
        <v>-1.8192773876567259E-2</v>
      </c>
    </row>
    <row r="240" spans="1:15">
      <c r="A240" s="64">
        <v>581.64</v>
      </c>
      <c r="B240" s="64">
        <v>582.27</v>
      </c>
      <c r="C240" s="64">
        <v>577.41</v>
      </c>
      <c r="D240" s="64">
        <v>578.25</v>
      </c>
      <c r="E240" s="64">
        <v>4545015</v>
      </c>
      <c r="F240" s="64" t="s">
        <v>178</v>
      </c>
      <c r="G240" s="25">
        <f t="shared" si="0"/>
        <v>5.8625162127108332E-3</v>
      </c>
      <c r="I240" s="64">
        <v>212.81</v>
      </c>
      <c r="J240" s="64">
        <v>212.98</v>
      </c>
      <c r="K240" s="64">
        <v>198.75</v>
      </c>
      <c r="L240" s="64">
        <v>199.01</v>
      </c>
      <c r="M240" s="64">
        <v>8279389</v>
      </c>
      <c r="N240" s="64" t="s">
        <v>178</v>
      </c>
      <c r="O240" s="25">
        <f t="shared" si="1"/>
        <v>6.9343249082960634E-2</v>
      </c>
    </row>
    <row r="241" spans="1:25">
      <c r="A241" s="64">
        <v>577.35</v>
      </c>
      <c r="B241" s="64">
        <v>581.5</v>
      </c>
      <c r="C241" s="64">
        <v>576.4</v>
      </c>
      <c r="D241" s="64">
        <v>580.79</v>
      </c>
      <c r="E241" s="64">
        <v>4647381</v>
      </c>
      <c r="F241" s="64" t="s">
        <v>179</v>
      </c>
      <c r="G241" s="25">
        <f t="shared" si="0"/>
        <v>-5.9229669932332474E-3</v>
      </c>
      <c r="I241" s="64">
        <v>199.09</v>
      </c>
      <c r="J241" s="64">
        <v>208.68</v>
      </c>
      <c r="K241" s="64">
        <v>197.51</v>
      </c>
      <c r="L241" s="64">
        <v>198.67</v>
      </c>
      <c r="M241" s="64">
        <v>10585061</v>
      </c>
      <c r="N241" s="64" t="s">
        <v>179</v>
      </c>
      <c r="O241" s="25">
        <f t="shared" si="1"/>
        <v>2.1140584889516312E-3</v>
      </c>
    </row>
    <row r="242" spans="1:25">
      <c r="A242" s="64">
        <v>580.14</v>
      </c>
      <c r="B242" s="64">
        <v>580.21</v>
      </c>
      <c r="C242" s="64">
        <v>575.08000000000004</v>
      </c>
      <c r="D242" s="64">
        <v>575.16999999999996</v>
      </c>
      <c r="E242" s="64">
        <v>6640089</v>
      </c>
      <c r="F242" s="64" t="s">
        <v>180</v>
      </c>
      <c r="G242" s="25">
        <f t="shared" si="0"/>
        <v>8.6409235530364725E-3</v>
      </c>
      <c r="I242" s="64">
        <v>201.76</v>
      </c>
      <c r="J242" s="64">
        <v>203.73</v>
      </c>
      <c r="K242" s="64">
        <v>188.98</v>
      </c>
      <c r="L242" s="64">
        <v>191.7</v>
      </c>
      <c r="M242" s="64">
        <v>15113312</v>
      </c>
      <c r="N242" s="64" t="s">
        <v>180</v>
      </c>
      <c r="O242" s="25">
        <f t="shared" si="1"/>
        <v>5.2477829942618737E-2</v>
      </c>
    </row>
    <row r="243" spans="1:25">
      <c r="A243" s="64">
        <v>571.45000000000005</v>
      </c>
      <c r="B243" s="64">
        <v>575.74</v>
      </c>
      <c r="C243" s="64">
        <v>569.29</v>
      </c>
      <c r="D243" s="64">
        <v>575.73</v>
      </c>
      <c r="E243" s="64">
        <v>8781254</v>
      </c>
      <c r="F243" s="64" t="s">
        <v>181</v>
      </c>
      <c r="G243" s="25">
        <f t="shared" si="0"/>
        <v>-7.4340402619282875E-3</v>
      </c>
      <c r="I243" s="64">
        <v>188.64</v>
      </c>
      <c r="J243" s="64">
        <v>196.6799</v>
      </c>
      <c r="K243" s="64">
        <v>177.77</v>
      </c>
      <c r="L243" s="64">
        <v>182</v>
      </c>
      <c r="M243" s="64">
        <v>27258289</v>
      </c>
      <c r="N243" s="64" t="s">
        <v>181</v>
      </c>
      <c r="O243" s="25">
        <f t="shared" si="1"/>
        <v>3.6483516483516443E-2</v>
      </c>
      <c r="Q243" s="26"/>
      <c r="R243" s="26" t="s">
        <v>25</v>
      </c>
      <c r="S243" s="27">
        <f>MIN(O194:O584)</f>
        <v>-0.16015655577299404</v>
      </c>
    </row>
    <row r="244" spans="1:25">
      <c r="A244" s="64">
        <v>581.02</v>
      </c>
      <c r="B244" s="64">
        <v>588.16139999999996</v>
      </c>
      <c r="C244" s="64">
        <v>579.84</v>
      </c>
      <c r="D244" s="64">
        <v>587.83000000000004</v>
      </c>
      <c r="E244" s="64">
        <v>7046843</v>
      </c>
      <c r="F244" s="64" t="s">
        <v>182</v>
      </c>
      <c r="G244" s="25">
        <f t="shared" si="0"/>
        <v>-1.1584982052634363E-2</v>
      </c>
      <c r="I244" s="64">
        <v>160.59</v>
      </c>
      <c r="J244" s="64">
        <v>162.88</v>
      </c>
      <c r="K244" s="64">
        <v>154.83000000000001</v>
      </c>
      <c r="L244" s="64">
        <v>160.88</v>
      </c>
      <c r="M244" s="64">
        <v>19988941</v>
      </c>
      <c r="N244" s="64" t="s">
        <v>182</v>
      </c>
      <c r="O244" s="25">
        <f t="shared" si="1"/>
        <v>-1.8025857782197896E-3</v>
      </c>
      <c r="Q244" s="26"/>
      <c r="R244" s="26" t="s">
        <v>26</v>
      </c>
      <c r="S244" s="27">
        <f>MAX(O194:O584)</f>
        <v>0.26990868549585878</v>
      </c>
    </row>
    <row r="245" spans="1:25">
      <c r="A245" s="64">
        <v>583.21</v>
      </c>
      <c r="B245" s="64">
        <v>586.15</v>
      </c>
      <c r="C245" s="64">
        <v>580.54999999999995</v>
      </c>
      <c r="D245" s="64">
        <v>584.66</v>
      </c>
      <c r="E245" s="64">
        <v>6974729</v>
      </c>
      <c r="F245" s="64" t="s">
        <v>183</v>
      </c>
      <c r="G245" s="25">
        <f t="shared" si="0"/>
        <v>-2.4800738890977669E-3</v>
      </c>
      <c r="I245" s="64">
        <v>149.33000000000001</v>
      </c>
      <c r="J245" s="64">
        <v>150.38</v>
      </c>
      <c r="K245" s="64">
        <v>144.08500000000001</v>
      </c>
      <c r="L245" s="64">
        <v>145.72</v>
      </c>
      <c r="M245" s="64">
        <v>5280716</v>
      </c>
      <c r="N245" s="64" t="s">
        <v>183</v>
      </c>
      <c r="O245" s="25">
        <f t="shared" si="1"/>
        <v>2.4773538292615971E-2</v>
      </c>
      <c r="Q245" s="26"/>
      <c r="R245" s="26" t="s">
        <v>27</v>
      </c>
      <c r="S245" s="27">
        <f>AVERAGE(O194:O584)</f>
        <v>2.874290010353922E-3</v>
      </c>
    </row>
    <row r="246" spans="1:25">
      <c r="A246" s="64">
        <v>583.91999999999996</v>
      </c>
      <c r="B246" s="64">
        <v>587.08000000000004</v>
      </c>
      <c r="C246" s="64">
        <v>583.12</v>
      </c>
      <c r="D246" s="64">
        <v>586.82000000000005</v>
      </c>
      <c r="E246" s="64">
        <v>5033308</v>
      </c>
      <c r="F246" s="64" t="s">
        <v>184</v>
      </c>
      <c r="G246" s="25">
        <f t="shared" si="0"/>
        <v>-4.9418901877920085E-3</v>
      </c>
      <c r="I246" s="64">
        <v>144.85</v>
      </c>
      <c r="J246" s="64">
        <v>152</v>
      </c>
      <c r="K246" s="64">
        <v>141.6</v>
      </c>
      <c r="L246" s="64">
        <v>151.55000000000001</v>
      </c>
      <c r="M246" s="64">
        <v>6422287</v>
      </c>
      <c r="N246" s="64" t="s">
        <v>184</v>
      </c>
      <c r="O246" s="25">
        <f t="shared" si="1"/>
        <v>-4.4209831738700189E-2</v>
      </c>
      <c r="Q246" s="26"/>
      <c r="R246" s="26" t="s">
        <v>28</v>
      </c>
      <c r="S246" s="27">
        <f>MEDIAN(O194:O584)</f>
        <v>2.82685512367431E-4</v>
      </c>
    </row>
    <row r="247" spans="1:25" ht="15">
      <c r="A247" s="64">
        <v>585.44000000000005</v>
      </c>
      <c r="B247" s="64">
        <v>586.5</v>
      </c>
      <c r="C247" s="64">
        <v>584.24</v>
      </c>
      <c r="D247" s="64">
        <v>586.04</v>
      </c>
      <c r="E247" s="64">
        <v>4169858</v>
      </c>
      <c r="F247" s="64" t="s">
        <v>185</v>
      </c>
      <c r="G247" s="25">
        <f t="shared" si="0"/>
        <v>-1.0238208995971831E-3</v>
      </c>
      <c r="I247" s="64">
        <v>151.6</v>
      </c>
      <c r="J247" s="64">
        <v>153.19999999999999</v>
      </c>
      <c r="K247" s="64">
        <v>147.55000000000001</v>
      </c>
      <c r="L247" s="64">
        <v>150.84</v>
      </c>
      <c r="M247" s="64">
        <v>3984353</v>
      </c>
      <c r="N247" s="64" t="s">
        <v>185</v>
      </c>
      <c r="O247" s="25">
        <f t="shared" si="1"/>
        <v>5.0384513391672492E-3</v>
      </c>
      <c r="Q247" s="26"/>
      <c r="R247" s="26" t="s">
        <v>29</v>
      </c>
      <c r="S247" s="27">
        <f>_xlfn.STDEV.P(O194:O584)</f>
        <v>4.4160590847906502E-2</v>
      </c>
      <c r="U247" s="2"/>
    </row>
    <row r="248" spans="1:25" ht="15">
      <c r="A248" s="64">
        <v>585.58000000000004</v>
      </c>
      <c r="B248" s="64">
        <v>586.04</v>
      </c>
      <c r="C248" s="64">
        <v>583.59</v>
      </c>
      <c r="D248" s="64">
        <v>583.80999999999995</v>
      </c>
      <c r="E248" s="64">
        <v>3189061</v>
      </c>
      <c r="F248" s="64" t="s">
        <v>186</v>
      </c>
      <c r="G248" s="25">
        <f t="shared" si="0"/>
        <v>3.0318082937943469E-3</v>
      </c>
      <c r="I248" s="64">
        <v>149.66</v>
      </c>
      <c r="J248" s="64">
        <v>152.78</v>
      </c>
      <c r="K248" s="64">
        <v>147.9</v>
      </c>
      <c r="L248" s="64">
        <v>149.94</v>
      </c>
      <c r="M248" s="64">
        <v>4057760</v>
      </c>
      <c r="N248" s="64" t="s">
        <v>186</v>
      </c>
      <c r="O248" s="25">
        <f t="shared" si="1"/>
        <v>-1.8674136321195078E-3</v>
      </c>
      <c r="Q248" s="26"/>
      <c r="R248" s="28" t="s">
        <v>30</v>
      </c>
      <c r="S248" s="27">
        <f>3*S247</f>
        <v>0.13248177254371951</v>
      </c>
      <c r="T248" s="26"/>
      <c r="U248" s="2" t="s">
        <v>101</v>
      </c>
    </row>
    <row r="249" spans="1:25" ht="15">
      <c r="A249" s="64">
        <v>583.26</v>
      </c>
      <c r="B249" s="64">
        <v>584.75</v>
      </c>
      <c r="C249" s="64">
        <v>582.72</v>
      </c>
      <c r="D249" s="64">
        <v>583.34</v>
      </c>
      <c r="E249" s="64">
        <v>3840901</v>
      </c>
      <c r="F249" s="64" t="s">
        <v>187</v>
      </c>
      <c r="G249" s="25">
        <f t="shared" si="0"/>
        <v>-1.3714128981390239E-4</v>
      </c>
      <c r="I249" s="64">
        <v>148.13</v>
      </c>
      <c r="J249" s="64">
        <v>150.75</v>
      </c>
      <c r="K249" s="64">
        <v>142.9</v>
      </c>
      <c r="L249" s="64">
        <v>147.85</v>
      </c>
      <c r="M249" s="64">
        <v>5460455</v>
      </c>
      <c r="N249" s="64" t="s">
        <v>187</v>
      </c>
      <c r="O249" s="25">
        <f t="shared" si="1"/>
        <v>1.8938112952315844E-3</v>
      </c>
      <c r="Q249" s="26"/>
      <c r="R249" s="28" t="s">
        <v>31</v>
      </c>
      <c r="S249" s="63">
        <f>_xlfn.COVARIANCE.P(O194:O584,G194:G584)/_xlfn.VAR.P(G194:G584)</f>
        <v>2.3217521609775464</v>
      </c>
      <c r="T249" s="26"/>
      <c r="U249" s="2" t="s">
        <v>32</v>
      </c>
    </row>
    <row r="250" spans="1:25">
      <c r="A250" s="64">
        <v>582.86</v>
      </c>
      <c r="B250" s="64">
        <v>582.96</v>
      </c>
      <c r="C250" s="64">
        <v>578.87</v>
      </c>
      <c r="D250" s="64">
        <v>580.57000000000005</v>
      </c>
      <c r="E250" s="64">
        <v>4257345</v>
      </c>
      <c r="F250" s="64" t="s">
        <v>188</v>
      </c>
      <c r="G250" s="25">
        <f t="shared" si="0"/>
        <v>3.9443994694867701E-3</v>
      </c>
      <c r="I250" s="64">
        <v>146.1</v>
      </c>
      <c r="J250" s="64">
        <v>152.25</v>
      </c>
      <c r="K250" s="64">
        <v>144.3202</v>
      </c>
      <c r="L250" s="64">
        <v>147.97</v>
      </c>
      <c r="M250" s="64">
        <v>5664369</v>
      </c>
      <c r="N250" s="64" t="s">
        <v>188</v>
      </c>
      <c r="O250" s="25">
        <f t="shared" si="1"/>
        <v>-1.2637696830438583E-2</v>
      </c>
    </row>
    <row r="251" spans="1:25">
      <c r="A251" s="64">
        <v>577.95000000000005</v>
      </c>
      <c r="B251" s="64">
        <v>578.84</v>
      </c>
      <c r="C251" s="64">
        <v>575.64</v>
      </c>
      <c r="D251" s="64">
        <v>578.28</v>
      </c>
      <c r="E251" s="64">
        <v>4743679</v>
      </c>
      <c r="F251" s="64" t="s">
        <v>189</v>
      </c>
      <c r="G251" s="25">
        <f t="shared" si="0"/>
        <v>-5.7065781282406025E-4</v>
      </c>
      <c r="I251" s="64">
        <v>145.80000000000001</v>
      </c>
      <c r="J251" s="64">
        <v>147.80000000000001</v>
      </c>
      <c r="K251" s="64">
        <v>138.6</v>
      </c>
      <c r="L251" s="64">
        <v>145.4</v>
      </c>
      <c r="M251" s="64">
        <v>5073845</v>
      </c>
      <c r="N251" s="64" t="s">
        <v>189</v>
      </c>
      <c r="O251" s="25">
        <f t="shared" si="1"/>
        <v>2.7510316368639653E-3</v>
      </c>
      <c r="Q251" s="29" t="s">
        <v>33</v>
      </c>
      <c r="R251" s="30">
        <v>391</v>
      </c>
    </row>
    <row r="252" spans="1:25" ht="15" thickBot="1">
      <c r="A252" s="64">
        <v>577.95000000000005</v>
      </c>
      <c r="B252" s="64">
        <v>580.53</v>
      </c>
      <c r="C252" s="64">
        <v>577.59</v>
      </c>
      <c r="D252" s="64">
        <v>577.98</v>
      </c>
      <c r="E252" s="64">
        <v>5892207</v>
      </c>
      <c r="F252" s="64" t="s">
        <v>190</v>
      </c>
      <c r="G252" s="25">
        <f t="shared" si="0"/>
        <v>-5.1904910204458865E-5</v>
      </c>
      <c r="I252" s="64">
        <v>146.29</v>
      </c>
      <c r="J252" s="64">
        <v>149.72880000000001</v>
      </c>
      <c r="K252" s="64">
        <v>144.41</v>
      </c>
      <c r="L252" s="64">
        <v>145.02000000000001</v>
      </c>
      <c r="M252" s="64">
        <v>5011661</v>
      </c>
      <c r="N252" s="64" t="s">
        <v>190</v>
      </c>
      <c r="O252" s="25">
        <f t="shared" si="1"/>
        <v>8.7574127706522287E-3</v>
      </c>
      <c r="Q252" s="1" t="s">
        <v>34</v>
      </c>
      <c r="T252" s="1" t="s">
        <v>35</v>
      </c>
      <c r="X252" s="1" t="s">
        <v>36</v>
      </c>
    </row>
    <row r="253" spans="1:25" ht="15" customHeight="1">
      <c r="A253" s="64">
        <v>576.91999999999996</v>
      </c>
      <c r="B253" s="64">
        <v>578.5</v>
      </c>
      <c r="C253" s="64">
        <v>575.84</v>
      </c>
      <c r="D253" s="64">
        <v>578.47</v>
      </c>
      <c r="E253" s="64">
        <v>4244147</v>
      </c>
      <c r="F253" s="64" t="s">
        <v>191</v>
      </c>
      <c r="G253" s="25">
        <f t="shared" si="0"/>
        <v>-2.6794820820441601E-3</v>
      </c>
      <c r="I253" s="64">
        <v>148.24</v>
      </c>
      <c r="J253" s="64">
        <v>149.09</v>
      </c>
      <c r="K253" s="64">
        <v>138.11000000000001</v>
      </c>
      <c r="L253" s="64">
        <v>142.51</v>
      </c>
      <c r="M253" s="64">
        <v>6233498</v>
      </c>
      <c r="N253" s="64" t="s">
        <v>191</v>
      </c>
      <c r="O253" s="25">
        <f t="shared" si="1"/>
        <v>4.0207704722475812E-2</v>
      </c>
      <c r="Q253" s="78" t="s">
        <v>37</v>
      </c>
      <c r="R253" s="78" t="s">
        <v>38</v>
      </c>
      <c r="T253" s="31" t="s">
        <v>39</v>
      </c>
      <c r="U253" s="32" t="s">
        <v>40</v>
      </c>
      <c r="X253" s="31" t="s">
        <v>41</v>
      </c>
      <c r="Y253" s="32" t="s">
        <v>42</v>
      </c>
    </row>
    <row r="254" spans="1:25" ht="15" customHeight="1">
      <c r="A254" s="64">
        <v>577.17999999999995</v>
      </c>
      <c r="B254" s="64">
        <v>577.65</v>
      </c>
      <c r="C254" s="64">
        <v>573.79999999999995</v>
      </c>
      <c r="D254" s="64">
        <v>574.02</v>
      </c>
      <c r="E254" s="64">
        <v>5391575</v>
      </c>
      <c r="F254" s="64" t="s">
        <v>192</v>
      </c>
      <c r="G254" s="25">
        <f t="shared" si="0"/>
        <v>5.5050346677816275E-3</v>
      </c>
      <c r="I254" s="64">
        <v>142.52000000000001</v>
      </c>
      <c r="J254" s="64">
        <v>147.05000000000001</v>
      </c>
      <c r="K254" s="64">
        <v>140.88999999999999</v>
      </c>
      <c r="L254" s="64">
        <v>144.30000000000001</v>
      </c>
      <c r="M254" s="64">
        <v>4350408</v>
      </c>
      <c r="N254" s="64" t="s">
        <v>192</v>
      </c>
      <c r="O254" s="25">
        <f t="shared" si="1"/>
        <v>-1.2335412335412355E-2</v>
      </c>
      <c r="Q254" s="76">
        <v>-0.13500000000000006</v>
      </c>
      <c r="R254">
        <v>1</v>
      </c>
      <c r="T254" s="60">
        <f t="shared" ref="T254:T258" si="2">T255-0.0025</f>
        <v>-0.13750000000000007</v>
      </c>
      <c r="U254" s="1">
        <f>_xlfn.NORM.DIST(T254,$S$245,$S$247,FALSE)</f>
        <v>5.7777474565092975E-2</v>
      </c>
      <c r="W254" s="1" t="s">
        <v>92</v>
      </c>
      <c r="X254" s="60">
        <f>S245</f>
        <v>2.874290010353922E-3</v>
      </c>
      <c r="Y254" s="1">
        <v>0</v>
      </c>
    </row>
    <row r="255" spans="1:25" ht="15">
      <c r="A255" s="64">
        <v>573.74</v>
      </c>
      <c r="B255" s="64">
        <v>574.26</v>
      </c>
      <c r="C255" s="64">
        <v>568.16999999999996</v>
      </c>
      <c r="D255" s="64">
        <v>573.4</v>
      </c>
      <c r="E255" s="64">
        <v>6119852</v>
      </c>
      <c r="F255" s="64" t="s">
        <v>193</v>
      </c>
      <c r="G255" s="25">
        <f t="shared" si="0"/>
        <v>5.9295430763861567E-4</v>
      </c>
      <c r="I255" s="64">
        <v>144.31</v>
      </c>
      <c r="J255" s="64">
        <v>146.19</v>
      </c>
      <c r="K255" s="64">
        <v>138.30000000000001</v>
      </c>
      <c r="L255" s="64">
        <v>144.94999999999999</v>
      </c>
      <c r="M255" s="64">
        <v>5830678</v>
      </c>
      <c r="N255" s="64" t="s">
        <v>193</v>
      </c>
      <c r="O255" s="25">
        <f t="shared" si="1"/>
        <v>-4.415315626077887E-3</v>
      </c>
      <c r="Q255" s="76">
        <v>-0.13250000000000006</v>
      </c>
      <c r="R255">
        <v>0</v>
      </c>
      <c r="T255" s="60">
        <f t="shared" si="2"/>
        <v>-0.13500000000000006</v>
      </c>
      <c r="U255" s="1">
        <f t="shared" ref="U255:U318" si="3">_xlfn.NORM.DIST(T255,$S$245,$S$247,FALSE)</f>
        <v>6.9058158715738852E-2</v>
      </c>
      <c r="X255" s="60">
        <f>S245</f>
        <v>2.874290010353922E-3</v>
      </c>
      <c r="Y255" s="1">
        <v>9</v>
      </c>
    </row>
    <row r="256" spans="1:25" ht="15">
      <c r="A256" s="64">
        <v>571.86</v>
      </c>
      <c r="B256" s="64">
        <v>577.16</v>
      </c>
      <c r="C256" s="64">
        <v>571.85</v>
      </c>
      <c r="D256" s="64">
        <v>576.85</v>
      </c>
      <c r="E256" s="64">
        <v>5338268</v>
      </c>
      <c r="F256" s="64" t="s">
        <v>194</v>
      </c>
      <c r="G256" s="25">
        <f t="shared" si="0"/>
        <v>-8.6504290543468754E-3</v>
      </c>
      <c r="I256" s="64">
        <v>144.80000000000001</v>
      </c>
      <c r="J256" s="64">
        <v>148.05000000000001</v>
      </c>
      <c r="K256" s="64">
        <v>142.9</v>
      </c>
      <c r="L256" s="64">
        <v>147.29</v>
      </c>
      <c r="M256" s="64">
        <v>4321438</v>
      </c>
      <c r="N256" s="64" t="s">
        <v>194</v>
      </c>
      <c r="O256" s="25">
        <f t="shared" si="1"/>
        <v>-1.6905424672414848E-2</v>
      </c>
      <c r="Q256" s="76">
        <v>-0.13000000000000006</v>
      </c>
      <c r="R256">
        <v>0</v>
      </c>
      <c r="T256" s="60">
        <f t="shared" si="2"/>
        <v>-0.13250000000000006</v>
      </c>
      <c r="U256" s="1">
        <f t="shared" si="3"/>
        <v>8.2277213967501844E-2</v>
      </c>
      <c r="W256" s="39" t="s">
        <v>93</v>
      </c>
      <c r="X256" s="60">
        <f>($S$247*-3)+$S$245</f>
        <v>-0.1296074825333656</v>
      </c>
      <c r="Y256" s="1">
        <v>0</v>
      </c>
    </row>
    <row r="257" spans="1:25" ht="15">
      <c r="A257" s="64">
        <v>574.35</v>
      </c>
      <c r="B257" s="64">
        <v>574.67899999999997</v>
      </c>
      <c r="C257" s="64">
        <v>571.58000000000004</v>
      </c>
      <c r="D257" s="64">
        <v>572.85</v>
      </c>
      <c r="E257" s="64">
        <v>4719971</v>
      </c>
      <c r="F257" s="64" t="s">
        <v>195</v>
      </c>
      <c r="G257" s="25">
        <f t="shared" si="0"/>
        <v>2.6184865147944603E-3</v>
      </c>
      <c r="I257" s="64">
        <v>146.38</v>
      </c>
      <c r="J257" s="64">
        <v>150.38999999999999</v>
      </c>
      <c r="K257" s="64">
        <v>145.30000000000001</v>
      </c>
      <c r="L257" s="64">
        <v>146</v>
      </c>
      <c r="M257" s="64">
        <v>4324271</v>
      </c>
      <c r="N257" s="64" t="s">
        <v>195</v>
      </c>
      <c r="O257" s="25">
        <f t="shared" si="1"/>
        <v>2.6027397260273144E-3</v>
      </c>
      <c r="Q257" s="76">
        <v>-0.12750000000000006</v>
      </c>
      <c r="R257">
        <v>0</v>
      </c>
      <c r="T257" s="60">
        <f t="shared" si="2"/>
        <v>-0.13000000000000006</v>
      </c>
      <c r="U257" s="1">
        <f t="shared" si="3"/>
        <v>9.7712990098872049E-2</v>
      </c>
      <c r="W257" s="40"/>
      <c r="X257" s="60">
        <f>($S$247*-3)+$S$245</f>
        <v>-0.1296074825333656</v>
      </c>
      <c r="Y257" s="1">
        <v>0.5</v>
      </c>
    </row>
    <row r="258" spans="1:25" ht="15">
      <c r="A258" s="64">
        <v>573.22</v>
      </c>
      <c r="B258" s="64">
        <v>574.37570000000005</v>
      </c>
      <c r="C258" s="64">
        <v>571.37</v>
      </c>
      <c r="D258" s="64">
        <v>572.45000000000005</v>
      </c>
      <c r="E258" s="64">
        <v>4414258</v>
      </c>
      <c r="F258" s="64" t="s">
        <v>196</v>
      </c>
      <c r="G258" s="25">
        <f t="shared" ref="G258:G321" si="4">A258/D258-1</f>
        <v>1.3450956415406168E-3</v>
      </c>
      <c r="I258" s="64">
        <v>145.59</v>
      </c>
      <c r="J258" s="64">
        <v>147.4</v>
      </c>
      <c r="K258" s="64">
        <v>141.30000000000001</v>
      </c>
      <c r="L258" s="64">
        <v>141.63999999999999</v>
      </c>
      <c r="M258" s="64">
        <v>3599013</v>
      </c>
      <c r="N258" s="64" t="s">
        <v>196</v>
      </c>
      <c r="O258" s="25">
        <f t="shared" ref="O258:O321" si="5">I258/L258-1</f>
        <v>2.788760237221144E-2</v>
      </c>
      <c r="Q258" s="76">
        <v>-0.12500000000000006</v>
      </c>
      <c r="R258">
        <v>0</v>
      </c>
      <c r="T258" s="60">
        <f t="shared" si="2"/>
        <v>-0.12750000000000006</v>
      </c>
      <c r="U258" s="1">
        <f t="shared" si="3"/>
        <v>0.11567331243109025</v>
      </c>
      <c r="W258" s="39" t="s">
        <v>94</v>
      </c>
      <c r="X258" s="60">
        <f>($S$247*-2)+$S$245</f>
        <v>-8.5446891685459075E-2</v>
      </c>
      <c r="Y258" s="1">
        <v>0</v>
      </c>
    </row>
    <row r="259" spans="1:25" ht="15">
      <c r="A259" s="64">
        <v>575.29</v>
      </c>
      <c r="B259" s="64">
        <v>576.26</v>
      </c>
      <c r="C259" s="64">
        <v>572.70000000000005</v>
      </c>
      <c r="D259" s="64">
        <v>573.78</v>
      </c>
      <c r="E259" s="64">
        <v>4920279</v>
      </c>
      <c r="F259" s="64" t="s">
        <v>197</v>
      </c>
      <c r="G259" s="25">
        <f t="shared" si="4"/>
        <v>2.6316706751716712E-3</v>
      </c>
      <c r="I259" s="64">
        <v>143</v>
      </c>
      <c r="J259" s="64">
        <v>148.80000000000001</v>
      </c>
      <c r="K259" s="64">
        <v>141.28</v>
      </c>
      <c r="L259" s="64">
        <v>148.72999999999999</v>
      </c>
      <c r="M259" s="64">
        <v>3924684</v>
      </c>
      <c r="N259" s="64" t="s">
        <v>197</v>
      </c>
      <c r="O259" s="25">
        <f t="shared" si="5"/>
        <v>-3.8526188395078265E-2</v>
      </c>
      <c r="Q259" s="76">
        <v>-0.12250000000000007</v>
      </c>
      <c r="R259">
        <v>0</v>
      </c>
      <c r="T259" s="60">
        <f t="shared" ref="T259:T261" si="6">T260-0.0025</f>
        <v>-0.12500000000000006</v>
      </c>
      <c r="U259" s="1">
        <f t="shared" si="3"/>
        <v>0.13649671023181803</v>
      </c>
      <c r="W259" s="40"/>
      <c r="X259" s="60">
        <f>($S$247*-2)+$S$245</f>
        <v>-8.5446891685459075E-2</v>
      </c>
      <c r="Y259" s="1">
        <v>1.25</v>
      </c>
    </row>
    <row r="260" spans="1:25" ht="15">
      <c r="A260" s="64">
        <v>573.61</v>
      </c>
      <c r="B260" s="64">
        <v>574.26</v>
      </c>
      <c r="C260" s="64">
        <v>570.76</v>
      </c>
      <c r="D260" s="64">
        <v>572.46</v>
      </c>
      <c r="E260" s="64">
        <v>6833139</v>
      </c>
      <c r="F260" s="64" t="s">
        <v>198</v>
      </c>
      <c r="G260" s="25">
        <f t="shared" si="4"/>
        <v>2.0088739824615232E-3</v>
      </c>
      <c r="I260" s="64">
        <v>145.65</v>
      </c>
      <c r="J260" s="64">
        <v>147.94999999999999</v>
      </c>
      <c r="K260" s="64">
        <v>141.30000000000001</v>
      </c>
      <c r="L260" s="64">
        <v>147.31</v>
      </c>
      <c r="M260" s="64">
        <v>4437548</v>
      </c>
      <c r="N260" s="64" t="s">
        <v>198</v>
      </c>
      <c r="O260" s="25">
        <f t="shared" si="5"/>
        <v>-1.1268752969927354E-2</v>
      </c>
      <c r="Q260" s="76">
        <v>-0.12000000000000006</v>
      </c>
      <c r="R260">
        <v>0</v>
      </c>
      <c r="T260" s="60">
        <f t="shared" si="6"/>
        <v>-0.12250000000000007</v>
      </c>
      <c r="U260" s="1">
        <f t="shared" si="3"/>
        <v>0.16055333814434433</v>
      </c>
      <c r="W260" s="41" t="s">
        <v>95</v>
      </c>
      <c r="X260" s="60">
        <f>($S$247*-1)+$S$245</f>
        <v>-4.1286300837552581E-2</v>
      </c>
      <c r="Y260" s="1">
        <v>0</v>
      </c>
    </row>
    <row r="261" spans="1:25" ht="15">
      <c r="A261" s="64">
        <v>570.23</v>
      </c>
      <c r="B261" s="64">
        <v>571.83000000000004</v>
      </c>
      <c r="C261" s="64">
        <v>569.48</v>
      </c>
      <c r="D261" s="64">
        <v>571.15</v>
      </c>
      <c r="E261" s="64">
        <v>6916815</v>
      </c>
      <c r="F261" s="64" t="s">
        <v>199</v>
      </c>
      <c r="G261" s="25">
        <f t="shared" si="4"/>
        <v>-1.6107852578131077E-3</v>
      </c>
      <c r="I261" s="64">
        <v>145.96</v>
      </c>
      <c r="J261" s="64">
        <v>155.85</v>
      </c>
      <c r="K261" s="64">
        <v>145.19999999999999</v>
      </c>
      <c r="L261" s="64">
        <v>155.19999999999999</v>
      </c>
      <c r="M261" s="64">
        <v>7033820</v>
      </c>
      <c r="N261" s="64" t="s">
        <v>199</v>
      </c>
      <c r="O261" s="25">
        <f t="shared" si="5"/>
        <v>-5.9536082474226704E-2</v>
      </c>
      <c r="Q261" s="76">
        <v>-0.11750000000000006</v>
      </c>
      <c r="R261">
        <v>0</v>
      </c>
      <c r="T261" s="60">
        <f t="shared" si="6"/>
        <v>-0.12000000000000006</v>
      </c>
      <c r="U261" s="1">
        <f t="shared" si="3"/>
        <v>0.18824551508494516</v>
      </c>
      <c r="X261" s="60">
        <f>($S$247*-1)+$S$245</f>
        <v>-4.1286300837552581E-2</v>
      </c>
      <c r="Y261" s="1">
        <v>5.5</v>
      </c>
    </row>
    <row r="262" spans="1:25" ht="15">
      <c r="A262" s="64">
        <v>570.61</v>
      </c>
      <c r="B262" s="64">
        <v>573.59</v>
      </c>
      <c r="C262" s="64">
        <v>567.98</v>
      </c>
      <c r="D262" s="64">
        <v>573</v>
      </c>
      <c r="E262" s="64">
        <v>6347907</v>
      </c>
      <c r="F262" s="64" t="s">
        <v>200</v>
      </c>
      <c r="G262" s="25">
        <f t="shared" si="4"/>
        <v>-4.1710296684118742E-3</v>
      </c>
      <c r="I262" s="64">
        <v>153.37</v>
      </c>
      <c r="J262" s="64">
        <v>155.38999999999999</v>
      </c>
      <c r="K262" s="64">
        <v>149.56</v>
      </c>
      <c r="L262" s="64">
        <v>154.94999999999999</v>
      </c>
      <c r="M262" s="64">
        <v>6284484</v>
      </c>
      <c r="N262" s="64" t="s">
        <v>200</v>
      </c>
      <c r="O262" s="25">
        <f t="shared" si="5"/>
        <v>-1.0196837689577132E-2</v>
      </c>
      <c r="Q262" s="76">
        <v>-0.11500000000000006</v>
      </c>
      <c r="R262">
        <v>0</v>
      </c>
      <c r="T262" s="60">
        <f t="shared" ref="T262:T277" si="7">T263-0.0025</f>
        <v>-0.11750000000000006</v>
      </c>
      <c r="U262" s="1">
        <f t="shared" si="3"/>
        <v>0.22000780063590697</v>
      </c>
      <c r="W262" s="1" t="s">
        <v>96</v>
      </c>
      <c r="X262" s="60">
        <f>($S$247*1)+$S$245</f>
        <v>4.7034880858260422E-2</v>
      </c>
      <c r="Y262" s="1">
        <v>0</v>
      </c>
    </row>
    <row r="263" spans="1:25" ht="15">
      <c r="A263" s="64">
        <v>575.22</v>
      </c>
      <c r="B263" s="64">
        <v>575.66999999999996</v>
      </c>
      <c r="C263" s="64">
        <v>572.13</v>
      </c>
      <c r="D263" s="64">
        <v>572.17999999999995</v>
      </c>
      <c r="E263" s="64">
        <v>4833973</v>
      </c>
      <c r="F263" s="64" t="s">
        <v>201</v>
      </c>
      <c r="G263" s="25">
        <f t="shared" si="4"/>
        <v>5.3130133873957597E-3</v>
      </c>
      <c r="I263" s="64">
        <v>157.03</v>
      </c>
      <c r="J263" s="64">
        <v>160.99</v>
      </c>
      <c r="K263" s="64">
        <v>155.4</v>
      </c>
      <c r="L263" s="64">
        <v>159</v>
      </c>
      <c r="M263" s="64">
        <v>4039595</v>
      </c>
      <c r="N263" s="64" t="s">
        <v>201</v>
      </c>
      <c r="O263" s="25">
        <f t="shared" si="5"/>
        <v>-1.238993710691827E-2</v>
      </c>
      <c r="Q263" s="76">
        <v>-0.11250000000000006</v>
      </c>
      <c r="R263">
        <v>0</v>
      </c>
      <c r="T263" s="60">
        <f t="shared" si="7"/>
        <v>-0.11500000000000006</v>
      </c>
      <c r="U263" s="1">
        <f t="shared" si="3"/>
        <v>0.25630652597308112</v>
      </c>
      <c r="X263" s="60">
        <f>($S$247*1)+$S$245</f>
        <v>4.7034880858260422E-2</v>
      </c>
      <c r="Y263" s="1">
        <v>5.5</v>
      </c>
    </row>
    <row r="264" spans="1:25" ht="15">
      <c r="A264" s="64">
        <v>570.29</v>
      </c>
      <c r="B264" s="64">
        <v>570.34</v>
      </c>
      <c r="C264" s="64">
        <v>566.80999999999995</v>
      </c>
      <c r="D264" s="64">
        <v>567.37</v>
      </c>
      <c r="E264" s="64">
        <v>6134026</v>
      </c>
      <c r="F264" s="64" t="s">
        <v>202</v>
      </c>
      <c r="G264" s="25">
        <f t="shared" si="4"/>
        <v>5.1465533954913045E-3</v>
      </c>
      <c r="I264" s="64">
        <v>159.34</v>
      </c>
      <c r="J264" s="64">
        <v>164.55</v>
      </c>
      <c r="K264" s="64">
        <v>151.80000000000001</v>
      </c>
      <c r="L264" s="64">
        <v>152</v>
      </c>
      <c r="M264" s="64">
        <v>10717398</v>
      </c>
      <c r="N264" s="64" t="s">
        <v>202</v>
      </c>
      <c r="O264" s="25">
        <f t="shared" si="5"/>
        <v>4.8289473684210549E-2</v>
      </c>
      <c r="Q264" s="76">
        <v>-0.11000000000000006</v>
      </c>
      <c r="R264">
        <v>0</v>
      </c>
      <c r="T264" s="60">
        <f t="shared" si="7"/>
        <v>-0.11250000000000006</v>
      </c>
      <c r="U264" s="1">
        <f t="shared" si="3"/>
        <v>0.29763869515119018</v>
      </c>
      <c r="W264" s="42" t="s">
        <v>97</v>
      </c>
      <c r="X264" s="60">
        <f>($S$247*2)+$S$245</f>
        <v>9.1195471706166931E-2</v>
      </c>
      <c r="Y264" s="1">
        <v>0</v>
      </c>
    </row>
    <row r="265" spans="1:25" ht="15">
      <c r="A265" s="64">
        <v>567.77</v>
      </c>
      <c r="B265" s="64">
        <v>568.79999999999995</v>
      </c>
      <c r="C265" s="64">
        <v>565.79999999999995</v>
      </c>
      <c r="D265" s="64">
        <v>566.55999999999995</v>
      </c>
      <c r="E265" s="64">
        <v>7369350</v>
      </c>
      <c r="F265" s="64" t="s">
        <v>203</v>
      </c>
      <c r="G265" s="25">
        <f t="shared" si="4"/>
        <v>2.1356961310365907E-3</v>
      </c>
      <c r="I265" s="64">
        <v>152.22999999999999</v>
      </c>
      <c r="J265" s="64">
        <v>156.37</v>
      </c>
      <c r="K265" s="64">
        <v>146.55000000000001</v>
      </c>
      <c r="L265" s="64">
        <v>151.82</v>
      </c>
      <c r="M265" s="64">
        <v>8668892</v>
      </c>
      <c r="N265" s="64" t="s">
        <v>203</v>
      </c>
      <c r="O265" s="25">
        <f t="shared" si="5"/>
        <v>2.700566460281939E-3</v>
      </c>
      <c r="Q265" s="76">
        <v>-0.10750000000000005</v>
      </c>
      <c r="R265">
        <v>0</v>
      </c>
      <c r="T265" s="60">
        <f t="shared" si="7"/>
        <v>-0.11000000000000006</v>
      </c>
      <c r="U265" s="1">
        <f t="shared" si="3"/>
        <v>0.3445301734737154</v>
      </c>
      <c r="X265" s="60">
        <f>($S$247*2)+$S$245</f>
        <v>9.1195471706166931E-2</v>
      </c>
      <c r="Y265" s="1">
        <v>1.25</v>
      </c>
    </row>
    <row r="266" spans="1:25" ht="15">
      <c r="A266" s="64">
        <v>568.03</v>
      </c>
      <c r="B266" s="64">
        <v>569.15</v>
      </c>
      <c r="C266" s="64">
        <v>565.375</v>
      </c>
      <c r="D266" s="64">
        <v>567.5</v>
      </c>
      <c r="E266" s="64">
        <v>5719188</v>
      </c>
      <c r="F266" s="64" t="s">
        <v>204</v>
      </c>
      <c r="G266" s="25">
        <f t="shared" si="4"/>
        <v>9.3392070484576983E-4</v>
      </c>
      <c r="I266" s="64">
        <v>150.57</v>
      </c>
      <c r="J266" s="64">
        <v>155</v>
      </c>
      <c r="K266" s="64">
        <v>146.78</v>
      </c>
      <c r="L266" s="64">
        <v>148.08000000000001</v>
      </c>
      <c r="M266" s="64">
        <v>9540705</v>
      </c>
      <c r="N266" s="64" t="s">
        <v>204</v>
      </c>
      <c r="O266" s="25">
        <f t="shared" si="5"/>
        <v>1.6815235008103668E-2</v>
      </c>
      <c r="Q266" s="76">
        <v>-0.10500000000000005</v>
      </c>
      <c r="R266">
        <v>0</v>
      </c>
      <c r="T266" s="60">
        <f t="shared" si="7"/>
        <v>-0.10750000000000005</v>
      </c>
      <c r="U266" s="1">
        <f t="shared" si="3"/>
        <v>0.397533083029534</v>
      </c>
      <c r="W266" s="42" t="s">
        <v>98</v>
      </c>
      <c r="X266" s="60">
        <f>($S$247*3)+$S$245</f>
        <v>0.13535606255407343</v>
      </c>
      <c r="Y266" s="1">
        <v>0</v>
      </c>
    </row>
    <row r="267" spans="1:25" ht="15">
      <c r="A267" s="64">
        <v>566.95000000000005</v>
      </c>
      <c r="B267" s="64">
        <v>568.33000000000004</v>
      </c>
      <c r="C267" s="64">
        <v>563.21</v>
      </c>
      <c r="D267" s="64">
        <v>565.11</v>
      </c>
      <c r="E267" s="64">
        <v>6056524</v>
      </c>
      <c r="F267" s="64" t="s">
        <v>205</v>
      </c>
      <c r="G267" s="25">
        <f t="shared" si="4"/>
        <v>3.2560032560033925E-3</v>
      </c>
      <c r="I267" s="64">
        <v>143.01</v>
      </c>
      <c r="J267" s="64">
        <v>145.5</v>
      </c>
      <c r="K267" s="64">
        <v>139.26</v>
      </c>
      <c r="L267" s="64">
        <v>143.51</v>
      </c>
      <c r="M267" s="64">
        <v>17684836</v>
      </c>
      <c r="N267" s="64" t="s">
        <v>205</v>
      </c>
      <c r="O267" s="25">
        <f t="shared" si="5"/>
        <v>-3.4840777646156784E-3</v>
      </c>
      <c r="Q267" s="76">
        <v>-0.10250000000000005</v>
      </c>
      <c r="R267">
        <v>0</v>
      </c>
      <c r="T267" s="60">
        <f t="shared" si="7"/>
        <v>-0.10500000000000005</v>
      </c>
      <c r="U267" s="1">
        <f t="shared" si="3"/>
        <v>0.4572223315894916</v>
      </c>
      <c r="W267" s="42"/>
      <c r="X267" s="60">
        <f>($S$247*3)+$S$245</f>
        <v>0.13535606255407343</v>
      </c>
      <c r="Y267" s="1">
        <v>0.5</v>
      </c>
    </row>
    <row r="268" spans="1:25" ht="15">
      <c r="A268" s="64">
        <v>564.15</v>
      </c>
      <c r="B268" s="64">
        <v>564.54999999999995</v>
      </c>
      <c r="C268" s="64">
        <v>560.96</v>
      </c>
      <c r="D268" s="64">
        <v>561.52</v>
      </c>
      <c r="E268" s="64">
        <v>6081444</v>
      </c>
      <c r="F268" s="64" t="s">
        <v>206</v>
      </c>
      <c r="G268" s="25">
        <f t="shared" si="4"/>
        <v>4.6837156290069348E-3</v>
      </c>
      <c r="I268" s="64">
        <v>143.94999999999999</v>
      </c>
      <c r="J268" s="64">
        <v>147</v>
      </c>
      <c r="K268" s="64">
        <v>140.75</v>
      </c>
      <c r="L268" s="64">
        <v>145.1</v>
      </c>
      <c r="M268" s="64">
        <v>6587070</v>
      </c>
      <c r="N268" s="64" t="s">
        <v>206</v>
      </c>
      <c r="O268" s="25">
        <f t="shared" si="5"/>
        <v>-7.9255685733976566E-3</v>
      </c>
      <c r="Q268" s="76">
        <v>-0.10000000000000005</v>
      </c>
      <c r="R268">
        <v>0</v>
      </c>
      <c r="T268" s="60">
        <f t="shared" si="7"/>
        <v>-0.10250000000000005</v>
      </c>
      <c r="U268" s="1">
        <f t="shared" si="3"/>
        <v>0.52419121018187509</v>
      </c>
    </row>
    <row r="269" spans="1:25" ht="15">
      <c r="A269" s="64">
        <v>559.72</v>
      </c>
      <c r="B269" s="64">
        <v>561.02</v>
      </c>
      <c r="C269" s="64">
        <v>558.34</v>
      </c>
      <c r="D269" s="64">
        <v>560.52</v>
      </c>
      <c r="E269" s="64">
        <v>16472305</v>
      </c>
      <c r="F269" s="64" t="s">
        <v>207</v>
      </c>
      <c r="G269" s="25">
        <f t="shared" si="4"/>
        <v>-1.4272461285947946E-3</v>
      </c>
      <c r="I269" s="64">
        <v>141.68</v>
      </c>
      <c r="J269" s="64">
        <v>153.94</v>
      </c>
      <c r="K269" s="64">
        <v>141.44</v>
      </c>
      <c r="L269" s="64">
        <v>150.91</v>
      </c>
      <c r="M269" s="64">
        <v>9090189</v>
      </c>
      <c r="N269" s="64" t="s">
        <v>207</v>
      </c>
      <c r="O269" s="25">
        <f t="shared" si="5"/>
        <v>-6.1162282154926695E-2</v>
      </c>
      <c r="Q269" s="76">
        <v>-9.7500000000000045E-2</v>
      </c>
      <c r="R269">
        <v>0</v>
      </c>
      <c r="T269" s="60">
        <f t="shared" si="7"/>
        <v>-0.10000000000000005</v>
      </c>
      <c r="U269" s="1">
        <f t="shared" si="3"/>
        <v>0.59904600700337707</v>
      </c>
    </row>
    <row r="270" spans="1:25" ht="15">
      <c r="A270" s="64">
        <v>559.44000000000005</v>
      </c>
      <c r="B270" s="64">
        <v>560.42999999999995</v>
      </c>
      <c r="C270" s="64">
        <v>556.37</v>
      </c>
      <c r="D270" s="64">
        <v>557.17999999999995</v>
      </c>
      <c r="E270" s="64">
        <v>6770036</v>
      </c>
      <c r="F270" s="64" t="s">
        <v>208</v>
      </c>
      <c r="G270" s="25">
        <f t="shared" si="4"/>
        <v>4.0561398470873034E-3</v>
      </c>
      <c r="I270" s="64">
        <v>140.79</v>
      </c>
      <c r="J270" s="64">
        <v>143.77000000000001</v>
      </c>
      <c r="K270" s="64">
        <v>136.03</v>
      </c>
      <c r="L270" s="64">
        <v>136.35</v>
      </c>
      <c r="M270" s="64">
        <v>6547750</v>
      </c>
      <c r="N270" s="64" t="s">
        <v>208</v>
      </c>
      <c r="O270" s="25">
        <f t="shared" si="5"/>
        <v>3.2563256325632617E-2</v>
      </c>
      <c r="Q270" s="76">
        <v>-9.5000000000000043E-2</v>
      </c>
      <c r="R270">
        <v>1</v>
      </c>
      <c r="T270" s="60">
        <f t="shared" si="7"/>
        <v>-9.7500000000000045E-2</v>
      </c>
      <c r="U270" s="1">
        <f t="shared" si="3"/>
        <v>0.68239960098952068</v>
      </c>
    </row>
    <row r="271" spans="1:25" ht="15">
      <c r="A271" s="64">
        <v>553.36</v>
      </c>
      <c r="B271" s="64">
        <v>553.70000000000005</v>
      </c>
      <c r="C271" s="64">
        <v>545.75</v>
      </c>
      <c r="D271" s="64">
        <v>548.66</v>
      </c>
      <c r="E271" s="64">
        <v>9691151</v>
      </c>
      <c r="F271" s="64" t="s">
        <v>209</v>
      </c>
      <c r="G271" s="25">
        <f t="shared" si="4"/>
        <v>8.5663252287391245E-3</v>
      </c>
      <c r="I271" s="64">
        <v>134.13999999999999</v>
      </c>
      <c r="J271" s="64">
        <v>141.66999999999999</v>
      </c>
      <c r="K271" s="64">
        <v>133.28</v>
      </c>
      <c r="L271" s="64">
        <v>135.77000000000001</v>
      </c>
      <c r="M271" s="64">
        <v>6964394</v>
      </c>
      <c r="N271" s="64" t="s">
        <v>209</v>
      </c>
      <c r="O271" s="25">
        <f t="shared" si="5"/>
        <v>-1.2005597701996162E-2</v>
      </c>
      <c r="Q271" s="76">
        <v>-9.2500000000000041E-2</v>
      </c>
      <c r="R271">
        <v>1</v>
      </c>
      <c r="T271" s="60">
        <f t="shared" si="7"/>
        <v>-9.5000000000000043E-2</v>
      </c>
      <c r="U271" s="1">
        <f t="shared" si="3"/>
        <v>0.77486401738751398</v>
      </c>
    </row>
    <row r="272" spans="1:25" ht="15">
      <c r="A272" s="64">
        <v>547.72</v>
      </c>
      <c r="B272" s="64">
        <v>552.72</v>
      </c>
      <c r="C272" s="64">
        <v>546.62</v>
      </c>
      <c r="D272" s="64">
        <v>551.72</v>
      </c>
      <c r="E272" s="64">
        <v>9942858</v>
      </c>
      <c r="F272" s="64" t="s">
        <v>210</v>
      </c>
      <c r="G272" s="25">
        <f t="shared" si="4"/>
        <v>-7.2500543754078217E-3</v>
      </c>
      <c r="I272" s="64">
        <v>139.15</v>
      </c>
      <c r="J272" s="64">
        <v>147.999</v>
      </c>
      <c r="K272" s="64">
        <v>138.09800000000001</v>
      </c>
      <c r="L272" s="64">
        <v>141.51</v>
      </c>
      <c r="M272" s="64">
        <v>8751504</v>
      </c>
      <c r="N272" s="64" t="s">
        <v>210</v>
      </c>
      <c r="O272" s="25">
        <f t="shared" si="5"/>
        <v>-1.6677266624266718E-2</v>
      </c>
      <c r="Q272" s="76">
        <v>-9.0000000000000038E-2</v>
      </c>
      <c r="R272">
        <v>0</v>
      </c>
      <c r="T272" s="60">
        <f t="shared" si="7"/>
        <v>-9.2500000000000041E-2</v>
      </c>
      <c r="U272" s="1">
        <f t="shared" si="3"/>
        <v>0.87704194995568541</v>
      </c>
    </row>
    <row r="273" spans="1:21" ht="15">
      <c r="A273" s="64">
        <v>549.24</v>
      </c>
      <c r="B273" s="64">
        <v>552.71</v>
      </c>
      <c r="C273" s="64">
        <v>548.39</v>
      </c>
      <c r="D273" s="64">
        <v>550.16</v>
      </c>
      <c r="E273" s="64">
        <v>4602329</v>
      </c>
      <c r="F273" s="64" t="s">
        <v>211</v>
      </c>
      <c r="G273" s="25">
        <f t="shared" si="4"/>
        <v>-1.6722408026754731E-3</v>
      </c>
      <c r="I273" s="64">
        <v>141.16</v>
      </c>
      <c r="J273" s="64">
        <v>143.88999999999999</v>
      </c>
      <c r="K273" s="64">
        <v>132.25</v>
      </c>
      <c r="L273" s="64">
        <v>132.32</v>
      </c>
      <c r="M273" s="64">
        <v>12180683</v>
      </c>
      <c r="N273" s="64" t="s">
        <v>211</v>
      </c>
      <c r="O273" s="25">
        <f t="shared" si="5"/>
        <v>6.6807738814993911E-2</v>
      </c>
      <c r="Q273" s="76">
        <v>-8.7500000000000036E-2</v>
      </c>
      <c r="R273">
        <v>1</v>
      </c>
      <c r="T273" s="60">
        <f t="shared" si="7"/>
        <v>-9.0000000000000038E-2</v>
      </c>
      <c r="U273" s="1">
        <f t="shared" si="3"/>
        <v>0.98951727974309944</v>
      </c>
    </row>
    <row r="274" spans="1:21" ht="15">
      <c r="A274" s="64">
        <v>549.35</v>
      </c>
      <c r="B274" s="64">
        <v>553.16</v>
      </c>
      <c r="C274" s="64">
        <v>548.63499999999999</v>
      </c>
      <c r="D274" s="64">
        <v>551.79</v>
      </c>
      <c r="E274" s="64">
        <v>4753344</v>
      </c>
      <c r="F274" s="64" t="s">
        <v>212</v>
      </c>
      <c r="G274" s="25">
        <f t="shared" si="4"/>
        <v>-4.4219721270771783E-3</v>
      </c>
      <c r="I274" s="64">
        <v>133.84</v>
      </c>
      <c r="J274" s="64">
        <v>146.16399999999999</v>
      </c>
      <c r="K274" s="64">
        <v>132.41</v>
      </c>
      <c r="L274" s="64">
        <v>133.65</v>
      </c>
      <c r="M274" s="64">
        <v>23521813</v>
      </c>
      <c r="N274" s="64" t="s">
        <v>212</v>
      </c>
      <c r="O274" s="25">
        <f t="shared" si="5"/>
        <v>1.421623643845793E-3</v>
      </c>
      <c r="Q274" s="76">
        <v>-8.5000000000000034E-2</v>
      </c>
      <c r="R274">
        <v>1</v>
      </c>
      <c r="T274" s="60">
        <f t="shared" si="7"/>
        <v>-8.7500000000000036E-2</v>
      </c>
      <c r="U274" s="1">
        <f t="shared" si="3"/>
        <v>1.1128446484323984</v>
      </c>
    </row>
    <row r="275" spans="1:21" ht="15">
      <c r="A275" s="64">
        <v>554.07000000000005</v>
      </c>
      <c r="B275" s="64">
        <v>555.69000000000005</v>
      </c>
      <c r="C275" s="64">
        <v>551.87</v>
      </c>
      <c r="D275" s="64">
        <v>551.94000000000005</v>
      </c>
      <c r="E275" s="64">
        <v>7421327</v>
      </c>
      <c r="F275" s="64" t="s">
        <v>213</v>
      </c>
      <c r="G275" s="25">
        <f t="shared" si="4"/>
        <v>3.8591151212088448E-3</v>
      </c>
      <c r="I275" s="64">
        <v>126.2</v>
      </c>
      <c r="J275" s="64">
        <v>126.59</v>
      </c>
      <c r="K275" s="64">
        <v>121.425</v>
      </c>
      <c r="L275" s="64">
        <v>121.425</v>
      </c>
      <c r="M275" s="64">
        <v>8405053</v>
      </c>
      <c r="N275" s="64" t="s">
        <v>213</v>
      </c>
      <c r="O275" s="25">
        <f t="shared" si="5"/>
        <v>3.9324686020177024E-2</v>
      </c>
      <c r="Q275" s="76">
        <v>-8.2500000000000032E-2</v>
      </c>
      <c r="R275">
        <v>1</v>
      </c>
      <c r="T275" s="60">
        <f t="shared" si="7"/>
        <v>-8.5000000000000034E-2</v>
      </c>
      <c r="U275" s="1">
        <f t="shared" si="3"/>
        <v>1.2475381744698641</v>
      </c>
    </row>
    <row r="276" spans="1:21" ht="15">
      <c r="A276" s="64">
        <v>548.77</v>
      </c>
      <c r="B276" s="64">
        <v>553.245</v>
      </c>
      <c r="C276" s="64">
        <v>547.41</v>
      </c>
      <c r="D276" s="64">
        <v>550.24</v>
      </c>
      <c r="E276" s="64">
        <v>7062316</v>
      </c>
      <c r="F276" s="64" t="s">
        <v>214</v>
      </c>
      <c r="G276" s="25">
        <f t="shared" si="4"/>
        <v>-2.671561500436237E-3</v>
      </c>
      <c r="I276" s="64">
        <v>118.18</v>
      </c>
      <c r="J276" s="64">
        <v>120.3</v>
      </c>
      <c r="K276" s="64">
        <v>112.3</v>
      </c>
      <c r="L276" s="64">
        <v>112.3</v>
      </c>
      <c r="M276" s="64">
        <v>6470578</v>
      </c>
      <c r="N276" s="64" t="s">
        <v>214</v>
      </c>
      <c r="O276" s="25">
        <f t="shared" si="5"/>
        <v>5.2359750667854144E-2</v>
      </c>
      <c r="Q276" s="76">
        <v>-8.0000000000000029E-2</v>
      </c>
      <c r="R276">
        <v>0</v>
      </c>
      <c r="T276" s="60">
        <f t="shared" si="7"/>
        <v>-8.2500000000000032E-2</v>
      </c>
      <c r="U276" s="1">
        <f t="shared" si="3"/>
        <v>1.3940594320295407</v>
      </c>
    </row>
    <row r="277" spans="1:21" ht="15">
      <c r="A277" s="64">
        <v>554.95000000000005</v>
      </c>
      <c r="B277" s="64">
        <v>555</v>
      </c>
      <c r="C277" s="64">
        <v>551.13220000000001</v>
      </c>
      <c r="D277" s="64">
        <v>551.6</v>
      </c>
      <c r="E277" s="64">
        <v>8422943</v>
      </c>
      <c r="F277" s="64" t="s">
        <v>215</v>
      </c>
      <c r="G277" s="25">
        <f t="shared" si="4"/>
        <v>6.0732414793329692E-3</v>
      </c>
      <c r="I277" s="64">
        <v>116.2</v>
      </c>
      <c r="J277" s="64">
        <v>118.12</v>
      </c>
      <c r="K277" s="64">
        <v>110.85</v>
      </c>
      <c r="L277" s="64">
        <v>113.02</v>
      </c>
      <c r="M277" s="64">
        <v>4824351</v>
      </c>
      <c r="N277" s="64" t="s">
        <v>215</v>
      </c>
      <c r="O277" s="25">
        <f t="shared" si="5"/>
        <v>2.8136612988851617E-2</v>
      </c>
      <c r="Q277" s="76">
        <v>-7.7500000000000027E-2</v>
      </c>
      <c r="R277">
        <v>1</v>
      </c>
      <c r="T277" s="60">
        <f t="shared" si="7"/>
        <v>-8.0000000000000029E-2</v>
      </c>
      <c r="U277" s="1">
        <f t="shared" si="3"/>
        <v>1.552804845496891</v>
      </c>
    </row>
    <row r="278" spans="1:21" ht="15">
      <c r="A278" s="64">
        <v>552.86</v>
      </c>
      <c r="B278" s="64">
        <v>556.22500000000002</v>
      </c>
      <c r="C278" s="64">
        <v>550.91</v>
      </c>
      <c r="D278" s="64">
        <v>555.41</v>
      </c>
      <c r="E278" s="64">
        <v>20800557</v>
      </c>
      <c r="F278" s="64" t="s">
        <v>216</v>
      </c>
      <c r="G278" s="25">
        <f t="shared" si="4"/>
        <v>-4.5912028951584638E-3</v>
      </c>
      <c r="I278" s="64">
        <v>115.03</v>
      </c>
      <c r="J278" s="64">
        <v>120.6215</v>
      </c>
      <c r="K278" s="64">
        <v>114.45</v>
      </c>
      <c r="L278" s="64">
        <v>117.4</v>
      </c>
      <c r="M278" s="64">
        <v>5988200</v>
      </c>
      <c r="N278" s="64" t="s">
        <v>216</v>
      </c>
      <c r="O278" s="25">
        <f t="shared" si="5"/>
        <v>-2.0187393526405528E-2</v>
      </c>
      <c r="Q278" s="76">
        <v>-7.5000000000000025E-2</v>
      </c>
      <c r="R278">
        <v>0</v>
      </c>
      <c r="T278" s="60">
        <f t="shared" ref="T278:T307" si="8">T279-0.0025</f>
        <v>-7.7500000000000027E-2</v>
      </c>
      <c r="U278" s="1">
        <f t="shared" si="3"/>
        <v>1.7240926847202132</v>
      </c>
    </row>
    <row r="279" spans="1:21" ht="15">
      <c r="A279" s="64">
        <v>554.39</v>
      </c>
      <c r="B279" s="64">
        <v>554.74</v>
      </c>
      <c r="C279" s="64">
        <v>550.74</v>
      </c>
      <c r="D279" s="64">
        <v>551.78</v>
      </c>
      <c r="E279" s="64">
        <v>5951290</v>
      </c>
      <c r="F279" s="64" t="s">
        <v>217</v>
      </c>
      <c r="G279" s="25">
        <f t="shared" si="4"/>
        <v>4.7301460727102729E-3</v>
      </c>
      <c r="I279" s="64">
        <v>117.09</v>
      </c>
      <c r="J279" s="64">
        <v>119.15</v>
      </c>
      <c r="K279" s="64">
        <v>115.26</v>
      </c>
      <c r="L279" s="64">
        <v>116.2</v>
      </c>
      <c r="M279" s="64">
        <v>5599617</v>
      </c>
      <c r="N279" s="64" t="s">
        <v>217</v>
      </c>
      <c r="O279" s="25">
        <f t="shared" si="5"/>
        <v>7.6592082616178114E-3</v>
      </c>
      <c r="Q279" s="76">
        <v>-7.2500000000000023E-2</v>
      </c>
      <c r="R279">
        <v>3</v>
      </c>
      <c r="T279" s="60">
        <f t="shared" si="8"/>
        <v>-7.5000000000000025E-2</v>
      </c>
      <c r="U279" s="1">
        <f t="shared" si="3"/>
        <v>1.9081498777650172</v>
      </c>
    </row>
    <row r="280" spans="1:21" ht="15">
      <c r="A280" s="64">
        <v>551.25</v>
      </c>
      <c r="B280" s="64">
        <v>552.70000000000005</v>
      </c>
      <c r="C280" s="64">
        <v>550.20000000000005</v>
      </c>
      <c r="D280" s="64">
        <v>551.29999999999995</v>
      </c>
      <c r="E280" s="64">
        <v>4482378</v>
      </c>
      <c r="F280" s="64" t="s">
        <v>218</v>
      </c>
      <c r="G280" s="25">
        <f t="shared" si="4"/>
        <v>-9.0694721567086134E-5</v>
      </c>
      <c r="I280" s="64">
        <v>117.53</v>
      </c>
      <c r="J280" s="64">
        <v>121.98</v>
      </c>
      <c r="K280" s="64">
        <v>116.3801</v>
      </c>
      <c r="L280" s="64">
        <v>119.65</v>
      </c>
      <c r="M280" s="64">
        <v>5564873</v>
      </c>
      <c r="N280" s="64" t="s">
        <v>218</v>
      </c>
      <c r="O280" s="25">
        <f t="shared" si="5"/>
        <v>-1.7718345173422523E-2</v>
      </c>
      <c r="Q280" s="76">
        <v>-7.0000000000000021E-2</v>
      </c>
      <c r="R280">
        <v>4</v>
      </c>
      <c r="T280" s="60">
        <f t="shared" si="8"/>
        <v>-7.2500000000000023E-2</v>
      </c>
      <c r="U280" s="1">
        <f t="shared" si="3"/>
        <v>2.1050988872334138</v>
      </c>
    </row>
    <row r="281" spans="1:21" ht="15">
      <c r="A281" s="64">
        <v>550.66</v>
      </c>
      <c r="B281" s="64">
        <v>552.32000000000005</v>
      </c>
      <c r="C281" s="64">
        <v>548.69989999999996</v>
      </c>
      <c r="D281" s="64">
        <v>550.29999999999995</v>
      </c>
      <c r="E281" s="64">
        <v>4712599</v>
      </c>
      <c r="F281" s="64" t="s">
        <v>219</v>
      </c>
      <c r="G281" s="25">
        <f t="shared" si="4"/>
        <v>6.5418862438670899E-4</v>
      </c>
      <c r="I281" s="64">
        <v>121.29</v>
      </c>
      <c r="J281" s="64">
        <v>121.29</v>
      </c>
      <c r="K281" s="64">
        <v>112.77</v>
      </c>
      <c r="L281" s="64">
        <v>113.63</v>
      </c>
      <c r="M281" s="64">
        <v>6681504</v>
      </c>
      <c r="N281" s="64" t="s">
        <v>219</v>
      </c>
      <c r="O281" s="25">
        <f t="shared" si="5"/>
        <v>6.7411775059403434E-2</v>
      </c>
      <c r="Q281" s="76">
        <v>-6.7500000000000018E-2</v>
      </c>
      <c r="R281">
        <v>2</v>
      </c>
      <c r="T281" s="60">
        <f t="shared" si="8"/>
        <v>-7.0000000000000021E-2</v>
      </c>
      <c r="U281" s="1">
        <f t="shared" si="3"/>
        <v>2.3149449222388232</v>
      </c>
    </row>
    <row r="282" spans="1:21" ht="15">
      <c r="A282" s="64">
        <v>545.09</v>
      </c>
      <c r="B282" s="64">
        <v>550.63</v>
      </c>
      <c r="C282" s="64">
        <v>543.33749999999998</v>
      </c>
      <c r="D282" s="64">
        <v>549.48</v>
      </c>
      <c r="E282" s="64">
        <v>6334538</v>
      </c>
      <c r="F282" s="64" t="s">
        <v>220</v>
      </c>
      <c r="G282" s="25">
        <f t="shared" si="4"/>
        <v>-7.9893717696730704E-3</v>
      </c>
      <c r="I282" s="64">
        <v>112.24</v>
      </c>
      <c r="J282" s="64">
        <v>119.23</v>
      </c>
      <c r="K282" s="64">
        <v>111.84990000000001</v>
      </c>
      <c r="L282" s="64">
        <v>118.76</v>
      </c>
      <c r="M282" s="64">
        <v>6094532</v>
      </c>
      <c r="N282" s="64" t="s">
        <v>220</v>
      </c>
      <c r="O282" s="25">
        <f t="shared" si="5"/>
        <v>-5.490063994610983E-2</v>
      </c>
      <c r="Q282" s="76">
        <v>-6.5000000000000016E-2</v>
      </c>
      <c r="R282">
        <v>3</v>
      </c>
      <c r="T282" s="60">
        <f t="shared" si="8"/>
        <v>-6.7500000000000018E-2</v>
      </c>
      <c r="U282" s="1">
        <f t="shared" si="3"/>
        <v>2.5375637796992061</v>
      </c>
    </row>
    <row r="283" spans="1:21" ht="15">
      <c r="A283" s="64">
        <v>547.65</v>
      </c>
      <c r="B283" s="64">
        <v>549.65</v>
      </c>
      <c r="C283" s="64">
        <v>547.44259999999997</v>
      </c>
      <c r="D283" s="64">
        <v>548.75</v>
      </c>
      <c r="E283" s="64">
        <v>4510272</v>
      </c>
      <c r="F283" s="64" t="s">
        <v>221</v>
      </c>
      <c r="G283" s="25">
        <f t="shared" si="4"/>
        <v>-2.0045558086561055E-3</v>
      </c>
      <c r="I283" s="64">
        <v>118.21</v>
      </c>
      <c r="J283" s="64">
        <v>119.69</v>
      </c>
      <c r="K283" s="64">
        <v>110.87</v>
      </c>
      <c r="L283" s="64">
        <v>110.87</v>
      </c>
      <c r="M283" s="64">
        <v>8630761</v>
      </c>
      <c r="N283" s="64" t="s">
        <v>221</v>
      </c>
      <c r="O283" s="25">
        <f t="shared" si="5"/>
        <v>6.6203661946423686E-2</v>
      </c>
      <c r="Q283" s="76">
        <v>-6.2500000000000014E-2</v>
      </c>
      <c r="R283">
        <v>1</v>
      </c>
      <c r="T283" s="60">
        <f t="shared" si="8"/>
        <v>-6.5000000000000016E-2</v>
      </c>
      <c r="U283" s="1">
        <f t="shared" si="3"/>
        <v>2.772690624595179</v>
      </c>
    </row>
    <row r="284" spans="1:21" ht="15">
      <c r="A284" s="64">
        <v>548</v>
      </c>
      <c r="B284" s="64">
        <v>548.87</v>
      </c>
      <c r="C284" s="64">
        <v>544.09</v>
      </c>
      <c r="D284" s="64">
        <v>544.53</v>
      </c>
      <c r="E284" s="64">
        <v>4968649</v>
      </c>
      <c r="F284" s="64" t="s">
        <v>222</v>
      </c>
      <c r="G284" s="25">
        <f t="shared" si="4"/>
        <v>6.3724679999266343E-3</v>
      </c>
      <c r="I284" s="64">
        <v>110.86</v>
      </c>
      <c r="J284" s="64">
        <v>115.38720000000001</v>
      </c>
      <c r="K284" s="64">
        <v>109.92</v>
      </c>
      <c r="L284" s="64">
        <v>112.46</v>
      </c>
      <c r="M284" s="64">
        <v>5413389</v>
      </c>
      <c r="N284" s="64" t="s">
        <v>222</v>
      </c>
      <c r="O284" s="25">
        <f t="shared" si="5"/>
        <v>-1.4227280810954923E-2</v>
      </c>
      <c r="Q284" s="76">
        <v>-6.0000000000000019E-2</v>
      </c>
      <c r="R284">
        <v>6</v>
      </c>
      <c r="T284" s="60">
        <f t="shared" si="8"/>
        <v>-6.2500000000000014E-2</v>
      </c>
      <c r="U284" s="1">
        <f t="shared" si="3"/>
        <v>3.0199100281651234</v>
      </c>
    </row>
    <row r="285" spans="1:21" ht="15">
      <c r="A285" s="64">
        <v>544.91</v>
      </c>
      <c r="B285" s="64">
        <v>544.91</v>
      </c>
      <c r="C285" s="64">
        <v>537.79999999999995</v>
      </c>
      <c r="D285" s="64">
        <v>540.25</v>
      </c>
      <c r="E285" s="64">
        <v>5900870</v>
      </c>
      <c r="F285" s="64" t="s">
        <v>223</v>
      </c>
      <c r="G285" s="25">
        <f t="shared" si="4"/>
        <v>8.6256362795000818E-3</v>
      </c>
      <c r="I285" s="64">
        <v>112.11</v>
      </c>
      <c r="J285" s="64">
        <v>113.66</v>
      </c>
      <c r="K285" s="64">
        <v>109.16</v>
      </c>
      <c r="L285" s="64">
        <v>109.16</v>
      </c>
      <c r="M285" s="64">
        <v>4495536</v>
      </c>
      <c r="N285" s="64" t="s">
        <v>223</v>
      </c>
      <c r="O285" s="25">
        <f t="shared" si="5"/>
        <v>2.7024551117625473E-2</v>
      </c>
      <c r="Q285" s="76">
        <v>-5.7500000000000016E-2</v>
      </c>
      <c r="R285">
        <v>2</v>
      </c>
      <c r="T285" s="60">
        <f t="shared" si="8"/>
        <v>-6.0000000000000019E-2</v>
      </c>
      <c r="U285" s="1">
        <f t="shared" si="3"/>
        <v>3.2786475847231453</v>
      </c>
    </row>
    <row r="286" spans="1:21" ht="15">
      <c r="A286" s="64">
        <v>541.76</v>
      </c>
      <c r="B286" s="64">
        <v>543.39</v>
      </c>
      <c r="C286" s="64">
        <v>536.16</v>
      </c>
      <c r="D286" s="64">
        <v>541.35</v>
      </c>
      <c r="E286" s="64">
        <v>6160101</v>
      </c>
      <c r="F286" s="64" t="s">
        <v>224</v>
      </c>
      <c r="G286" s="25">
        <f t="shared" si="4"/>
        <v>7.5736584464758394E-4</v>
      </c>
      <c r="I286" s="64">
        <v>112.35</v>
      </c>
      <c r="J286" s="64">
        <v>112.62</v>
      </c>
      <c r="K286" s="64">
        <v>106.3402</v>
      </c>
      <c r="L286" s="64">
        <v>107.31</v>
      </c>
      <c r="M286" s="64">
        <v>7482269</v>
      </c>
      <c r="N286" s="64" t="s">
        <v>224</v>
      </c>
      <c r="O286" s="25">
        <f t="shared" si="5"/>
        <v>4.6966731898238745E-2</v>
      </c>
      <c r="Q286" s="76">
        <v>-5.5000000000000014E-2</v>
      </c>
      <c r="R286">
        <v>1</v>
      </c>
      <c r="T286" s="60">
        <f t="shared" si="8"/>
        <v>-5.7500000000000016E-2</v>
      </c>
      <c r="U286" s="1">
        <f t="shared" si="3"/>
        <v>3.5481634210923554</v>
      </c>
    </row>
    <row r="287" spans="1:21" ht="15">
      <c r="A287" s="64">
        <v>542.32000000000005</v>
      </c>
      <c r="B287" s="64">
        <v>545.28</v>
      </c>
      <c r="C287" s="64">
        <v>538.74</v>
      </c>
      <c r="D287" s="64">
        <v>545.15</v>
      </c>
      <c r="E287" s="64">
        <v>4668939</v>
      </c>
      <c r="F287" s="64" t="s">
        <v>225</v>
      </c>
      <c r="G287" s="25">
        <f t="shared" si="4"/>
        <v>-5.1912317710720579E-3</v>
      </c>
      <c r="I287" s="64">
        <v>109.03</v>
      </c>
      <c r="J287" s="64">
        <v>113.79989999999999</v>
      </c>
      <c r="K287" s="64">
        <v>107.59399999999999</v>
      </c>
      <c r="L287" s="64">
        <v>108.19</v>
      </c>
      <c r="M287" s="64">
        <v>10701351</v>
      </c>
      <c r="N287" s="64" t="s">
        <v>225</v>
      </c>
      <c r="O287" s="25">
        <f t="shared" si="5"/>
        <v>7.7641186800998518E-3</v>
      </c>
      <c r="Q287" s="76">
        <v>-5.2500000000000012E-2</v>
      </c>
      <c r="R287">
        <v>4</v>
      </c>
      <c r="T287" s="60">
        <f t="shared" si="8"/>
        <v>-5.5000000000000014E-2</v>
      </c>
      <c r="U287" s="1">
        <f t="shared" si="3"/>
        <v>3.8275478969547891</v>
      </c>
    </row>
    <row r="288" spans="1:21" ht="15">
      <c r="A288" s="64">
        <v>540.24</v>
      </c>
      <c r="B288" s="64">
        <v>544.9</v>
      </c>
      <c r="C288" s="64">
        <v>539.61</v>
      </c>
      <c r="D288" s="64">
        <v>543.79</v>
      </c>
      <c r="E288" s="64">
        <v>4806244</v>
      </c>
      <c r="F288" s="64" t="s">
        <v>226</v>
      </c>
      <c r="G288" s="25">
        <f t="shared" si="4"/>
        <v>-6.5282553927066278E-3</v>
      </c>
      <c r="I288" s="64">
        <v>105.43</v>
      </c>
      <c r="J288" s="64">
        <v>106.7068</v>
      </c>
      <c r="K288" s="64">
        <v>103.09</v>
      </c>
      <c r="L288" s="64">
        <v>104.94</v>
      </c>
      <c r="M288" s="64">
        <v>5146585</v>
      </c>
      <c r="N288" s="64" t="s">
        <v>226</v>
      </c>
      <c r="O288" s="25">
        <f t="shared" si="5"/>
        <v>4.6693348580142402E-3</v>
      </c>
      <c r="Q288" s="76">
        <v>-5.000000000000001E-2</v>
      </c>
      <c r="R288">
        <v>3</v>
      </c>
      <c r="T288" s="60">
        <f t="shared" si="8"/>
        <v>-5.2500000000000012E-2</v>
      </c>
      <c r="U288" s="1">
        <f t="shared" si="3"/>
        <v>4.115719769384703</v>
      </c>
    </row>
    <row r="289" spans="1:21" ht="15">
      <c r="A289" s="64">
        <v>543.34</v>
      </c>
      <c r="B289" s="64">
        <v>543.52</v>
      </c>
      <c r="C289" s="64">
        <v>537.17999999999995</v>
      </c>
      <c r="D289" s="64">
        <v>538.72</v>
      </c>
      <c r="E289" s="64">
        <v>6086299</v>
      </c>
      <c r="F289" s="64" t="s">
        <v>227</v>
      </c>
      <c r="G289" s="25">
        <f t="shared" si="4"/>
        <v>8.5758835758835694E-3</v>
      </c>
      <c r="I289" s="64">
        <v>104.62</v>
      </c>
      <c r="J289" s="64">
        <v>104.9111</v>
      </c>
      <c r="K289" s="64">
        <v>99.140100000000004</v>
      </c>
      <c r="L289" s="64">
        <v>103</v>
      </c>
      <c r="M289" s="64">
        <v>6843860</v>
      </c>
      <c r="N289" s="64" t="s">
        <v>227</v>
      </c>
      <c r="O289" s="25">
        <f t="shared" si="5"/>
        <v>1.5728155339805872E-2</v>
      </c>
      <c r="Q289" s="76">
        <v>-4.7500000000000007E-2</v>
      </c>
      <c r="R289">
        <v>3</v>
      </c>
      <c r="T289" s="60">
        <f t="shared" si="8"/>
        <v>-5.000000000000001E-2</v>
      </c>
      <c r="U289" s="1">
        <f t="shared" si="3"/>
        <v>4.4114270603887737</v>
      </c>
    </row>
    <row r="290" spans="1:21" ht="15">
      <c r="A290" s="64">
        <v>532.4</v>
      </c>
      <c r="B290" s="64">
        <v>534.80989999999997</v>
      </c>
      <c r="C290" s="64">
        <v>529.11</v>
      </c>
      <c r="D290" s="64">
        <v>529.42999999999995</v>
      </c>
      <c r="E290" s="64">
        <v>6455875</v>
      </c>
      <c r="F290" s="64" t="s">
        <v>228</v>
      </c>
      <c r="G290" s="25">
        <f t="shared" si="4"/>
        <v>5.6098067733223456E-3</v>
      </c>
      <c r="I290" s="64">
        <v>100.76</v>
      </c>
      <c r="J290" s="64">
        <v>102.265</v>
      </c>
      <c r="K290" s="64">
        <v>95.23</v>
      </c>
      <c r="L290" s="64">
        <v>95.83</v>
      </c>
      <c r="M290" s="64">
        <v>6753505</v>
      </c>
      <c r="N290" s="64" t="s">
        <v>228</v>
      </c>
      <c r="O290" s="25">
        <f t="shared" si="5"/>
        <v>5.1445267661484051E-2</v>
      </c>
      <c r="Q290" s="76">
        <v>-4.5000000000000005E-2</v>
      </c>
      <c r="R290">
        <v>3</v>
      </c>
      <c r="T290" s="60">
        <f t="shared" si="8"/>
        <v>-4.7500000000000007E-2</v>
      </c>
      <c r="U290" s="1">
        <f t="shared" si="3"/>
        <v>4.7132508226661329</v>
      </c>
    </row>
    <row r="291" spans="1:21" ht="15">
      <c r="A291" s="64">
        <v>536.02</v>
      </c>
      <c r="B291" s="64">
        <v>539.22500000000002</v>
      </c>
      <c r="C291" s="64">
        <v>534.44000000000005</v>
      </c>
      <c r="D291" s="64">
        <v>535.6</v>
      </c>
      <c r="E291" s="64">
        <v>5816572</v>
      </c>
      <c r="F291" s="64" t="s">
        <v>229</v>
      </c>
      <c r="G291" s="25">
        <f t="shared" si="4"/>
        <v>7.8416728902164223E-4</v>
      </c>
      <c r="I291" s="64">
        <v>98.32</v>
      </c>
      <c r="J291" s="64">
        <v>100.4491</v>
      </c>
      <c r="K291" s="64">
        <v>95.697199999999995</v>
      </c>
      <c r="L291" s="64">
        <v>97.29</v>
      </c>
      <c r="M291" s="64">
        <v>8522905</v>
      </c>
      <c r="N291" s="64" t="s">
        <v>229</v>
      </c>
      <c r="O291" s="25">
        <f t="shared" si="5"/>
        <v>1.0586905128995738E-2</v>
      </c>
      <c r="Q291" s="76">
        <v>-4.2500000000000003E-2</v>
      </c>
      <c r="R291">
        <v>8</v>
      </c>
      <c r="T291" s="60">
        <f t="shared" si="8"/>
        <v>-4.5000000000000005E-2</v>
      </c>
      <c r="U291" s="1">
        <f t="shared" si="3"/>
        <v>5.0196119465887596</v>
      </c>
    </row>
    <row r="292" spans="1:21" ht="15">
      <c r="A292" s="64">
        <v>535.77</v>
      </c>
      <c r="B292" s="64">
        <v>544.69050000000004</v>
      </c>
      <c r="C292" s="64">
        <v>534.82000000000005</v>
      </c>
      <c r="D292" s="64">
        <v>540.91</v>
      </c>
      <c r="E292" s="64">
        <v>6339491</v>
      </c>
      <c r="F292" s="64" t="s">
        <v>230</v>
      </c>
      <c r="G292" s="25">
        <f t="shared" si="4"/>
        <v>-9.5025050378065856E-3</v>
      </c>
      <c r="I292" s="64">
        <v>95.85</v>
      </c>
      <c r="J292" s="64">
        <v>103.5</v>
      </c>
      <c r="K292" s="64">
        <v>94.89</v>
      </c>
      <c r="L292" s="64">
        <v>103.09</v>
      </c>
      <c r="M292" s="64">
        <v>17448231</v>
      </c>
      <c r="N292" s="64" t="s">
        <v>230</v>
      </c>
      <c r="O292" s="25">
        <f t="shared" si="5"/>
        <v>-7.0229896207197662E-2</v>
      </c>
      <c r="Q292" s="76">
        <v>-0.04</v>
      </c>
      <c r="R292">
        <v>4</v>
      </c>
      <c r="T292" s="60">
        <f t="shared" si="8"/>
        <v>-4.2500000000000003E-2</v>
      </c>
      <c r="U292" s="1">
        <f t="shared" si="3"/>
        <v>5.3287810914826537</v>
      </c>
    </row>
    <row r="293" spans="1:21" ht="15">
      <c r="A293" s="64">
        <v>544.88</v>
      </c>
      <c r="B293" s="64">
        <v>546.05999999999995</v>
      </c>
      <c r="C293" s="64">
        <v>541.99</v>
      </c>
      <c r="D293" s="64">
        <v>545.22</v>
      </c>
      <c r="E293" s="64">
        <v>7158205</v>
      </c>
      <c r="F293" s="64" t="s">
        <v>231</v>
      </c>
      <c r="G293" s="25">
        <f t="shared" si="4"/>
        <v>-6.2360148197060372E-4</v>
      </c>
      <c r="I293" s="64">
        <v>105.64</v>
      </c>
      <c r="J293" s="64">
        <v>107.98990000000001</v>
      </c>
      <c r="K293" s="64">
        <v>104.47</v>
      </c>
      <c r="L293" s="64">
        <v>107.35</v>
      </c>
      <c r="M293" s="64">
        <v>7178322</v>
      </c>
      <c r="N293" s="64" t="s">
        <v>231</v>
      </c>
      <c r="O293" s="25">
        <f t="shared" si="5"/>
        <v>-1.5929203539822967E-2</v>
      </c>
      <c r="Q293" s="76">
        <v>-3.7499999999999999E-2</v>
      </c>
      <c r="R293">
        <v>4</v>
      </c>
      <c r="T293" s="60">
        <f t="shared" si="8"/>
        <v>-0.04</v>
      </c>
      <c r="U293" s="1">
        <f t="shared" si="3"/>
        <v>5.6388917578789135</v>
      </c>
    </row>
    <row r="294" spans="1:21" ht="15">
      <c r="A294" s="64">
        <v>546.82000000000005</v>
      </c>
      <c r="B294" s="64">
        <v>547.45000000000005</v>
      </c>
      <c r="C294" s="64">
        <v>540.58000000000004</v>
      </c>
      <c r="D294" s="64">
        <v>540.63</v>
      </c>
      <c r="E294" s="64">
        <v>7766058</v>
      </c>
      <c r="F294" s="64" t="s">
        <v>232</v>
      </c>
      <c r="G294" s="25">
        <f t="shared" si="4"/>
        <v>1.144960509035764E-2</v>
      </c>
      <c r="I294" s="64">
        <v>107.99</v>
      </c>
      <c r="J294" s="64">
        <v>110.09</v>
      </c>
      <c r="K294" s="64">
        <v>104.8</v>
      </c>
      <c r="L294" s="64">
        <v>104.89</v>
      </c>
      <c r="M294" s="64">
        <v>10494178</v>
      </c>
      <c r="N294" s="64" t="s">
        <v>232</v>
      </c>
      <c r="O294" s="25">
        <f t="shared" si="5"/>
        <v>2.9554771665554425E-2</v>
      </c>
      <c r="Q294" s="76">
        <v>-3.4999999999999996E-2</v>
      </c>
      <c r="R294">
        <v>8</v>
      </c>
      <c r="T294" s="60">
        <f t="shared" si="8"/>
        <v>-3.7499999999999999E-2</v>
      </c>
      <c r="U294" s="1">
        <f t="shared" si="3"/>
        <v>5.9479564460190613</v>
      </c>
    </row>
    <row r="295" spans="1:21" ht="15">
      <c r="A295" s="64">
        <v>546.26</v>
      </c>
      <c r="B295" s="64">
        <v>546.47</v>
      </c>
      <c r="C295" s="64">
        <v>541.70000000000005</v>
      </c>
      <c r="D295" s="64">
        <v>543.47</v>
      </c>
      <c r="E295" s="64">
        <v>7255342</v>
      </c>
      <c r="F295" s="64" t="s">
        <v>233</v>
      </c>
      <c r="G295" s="25">
        <f t="shared" si="4"/>
        <v>5.1336780319060082E-3</v>
      </c>
      <c r="I295" s="64">
        <v>113.23</v>
      </c>
      <c r="J295" s="64">
        <v>117.59</v>
      </c>
      <c r="K295" s="64">
        <v>110.82</v>
      </c>
      <c r="L295" s="64">
        <v>117.5</v>
      </c>
      <c r="M295" s="64">
        <v>8626997</v>
      </c>
      <c r="N295" s="64" t="s">
        <v>233</v>
      </c>
      <c r="O295" s="25">
        <f t="shared" si="5"/>
        <v>-3.6340425531914855E-2</v>
      </c>
      <c r="Q295" s="76">
        <v>-3.2499999999999994E-2</v>
      </c>
      <c r="R295">
        <v>2</v>
      </c>
      <c r="T295" s="60">
        <f t="shared" si="8"/>
        <v>-3.4999999999999996E-2</v>
      </c>
      <c r="U295" s="1">
        <f t="shared" si="3"/>
        <v>6.2538857713255984</v>
      </c>
    </row>
    <row r="296" spans="1:21" ht="15">
      <c r="A296" s="64">
        <v>542.76</v>
      </c>
      <c r="B296" s="64">
        <v>543.24890000000005</v>
      </c>
      <c r="C296" s="64">
        <v>537.84</v>
      </c>
      <c r="D296" s="64">
        <v>538.26</v>
      </c>
      <c r="E296" s="64">
        <v>7362193</v>
      </c>
      <c r="F296" s="64" t="s">
        <v>234</v>
      </c>
      <c r="G296" s="25">
        <f t="shared" si="4"/>
        <v>8.360271987515322E-3</v>
      </c>
      <c r="I296" s="64">
        <v>113.59</v>
      </c>
      <c r="J296" s="64">
        <v>122.08</v>
      </c>
      <c r="K296" s="64">
        <v>112.85</v>
      </c>
      <c r="L296" s="64">
        <v>122.08</v>
      </c>
      <c r="M296" s="64">
        <v>13711046</v>
      </c>
      <c r="N296" s="64" t="s">
        <v>234</v>
      </c>
      <c r="O296" s="25">
        <f t="shared" si="5"/>
        <v>-6.9544560943643474E-2</v>
      </c>
      <c r="Q296" s="76">
        <v>-2.9999999999999995E-2</v>
      </c>
      <c r="R296">
        <v>10</v>
      </c>
      <c r="T296" s="60">
        <f t="shared" si="8"/>
        <v>-3.2499999999999994E-2</v>
      </c>
      <c r="U296" s="1">
        <f t="shared" si="3"/>
        <v>6.5545103317926676</v>
      </c>
    </row>
    <row r="297" spans="1:21" ht="15">
      <c r="A297" s="64">
        <v>540.11</v>
      </c>
      <c r="B297" s="64">
        <v>541.41999999999996</v>
      </c>
      <c r="C297" s="64">
        <v>538.24</v>
      </c>
      <c r="D297" s="64">
        <v>540.37</v>
      </c>
      <c r="E297" s="64">
        <v>5031301</v>
      </c>
      <c r="F297" s="64" t="s">
        <v>235</v>
      </c>
      <c r="G297" s="25">
        <f t="shared" si="4"/>
        <v>-4.8115180339391994E-4</v>
      </c>
      <c r="I297" s="64">
        <v>125.32</v>
      </c>
      <c r="J297" s="64">
        <v>130.11000000000001</v>
      </c>
      <c r="K297" s="64">
        <v>113.8</v>
      </c>
      <c r="L297" s="64">
        <v>114.72499999999999</v>
      </c>
      <c r="M297" s="64">
        <v>20753506</v>
      </c>
      <c r="N297" s="64" t="s">
        <v>235</v>
      </c>
      <c r="O297" s="25">
        <f t="shared" si="5"/>
        <v>9.2351274787535464E-2</v>
      </c>
      <c r="Q297" s="76">
        <v>-2.7499999999999997E-2</v>
      </c>
      <c r="R297">
        <v>7</v>
      </c>
      <c r="T297" s="60">
        <f t="shared" si="8"/>
        <v>-2.9999999999999995E-2</v>
      </c>
      <c r="U297" s="1">
        <f t="shared" si="3"/>
        <v>6.8476050474804762</v>
      </c>
    </row>
    <row r="298" spans="1:21" ht="15">
      <c r="A298" s="64">
        <v>539.44000000000005</v>
      </c>
      <c r="B298" s="64">
        <v>541.48</v>
      </c>
      <c r="C298" s="64">
        <v>535.78</v>
      </c>
      <c r="D298" s="64">
        <v>536.33000000000004</v>
      </c>
      <c r="E298" s="64">
        <v>7356804</v>
      </c>
      <c r="F298" s="64" t="s">
        <v>236</v>
      </c>
      <c r="G298" s="25">
        <f t="shared" si="4"/>
        <v>5.7986687300728423E-3</v>
      </c>
      <c r="I298" s="64">
        <v>112.84</v>
      </c>
      <c r="J298" s="64">
        <v>116.4</v>
      </c>
      <c r="K298" s="64">
        <v>111.5</v>
      </c>
      <c r="L298" s="64">
        <v>113.04</v>
      </c>
      <c r="M298" s="64">
        <v>6684765</v>
      </c>
      <c r="N298" s="64" t="s">
        <v>236</v>
      </c>
      <c r="O298" s="25">
        <f t="shared" si="5"/>
        <v>-1.7692852087757283E-3</v>
      </c>
      <c r="Q298" s="76">
        <v>-2.4999999999999998E-2</v>
      </c>
      <c r="R298">
        <v>6</v>
      </c>
      <c r="T298" s="60">
        <f t="shared" si="8"/>
        <v>-2.7499999999999997E-2</v>
      </c>
      <c r="U298" s="1">
        <f t="shared" si="3"/>
        <v>7.1309156207719901</v>
      </c>
    </row>
    <row r="299" spans="1:21" ht="15">
      <c r="A299" s="64">
        <v>535.91999999999996</v>
      </c>
      <c r="B299" s="64">
        <v>535.91999999999996</v>
      </c>
      <c r="C299" s="64">
        <v>530.39</v>
      </c>
      <c r="D299" s="64">
        <v>534.5</v>
      </c>
      <c r="E299" s="64">
        <v>7793576</v>
      </c>
      <c r="F299" s="64" t="s">
        <v>237</v>
      </c>
      <c r="G299" s="25">
        <f t="shared" si="4"/>
        <v>2.6566884939194235E-3</v>
      </c>
      <c r="I299" s="64">
        <v>111.21</v>
      </c>
      <c r="J299" s="64">
        <v>114.535</v>
      </c>
      <c r="K299" s="64">
        <v>109.60209999999999</v>
      </c>
      <c r="L299" s="64">
        <v>114.15</v>
      </c>
      <c r="M299" s="64">
        <v>7070511</v>
      </c>
      <c r="N299" s="64" t="s">
        <v>237</v>
      </c>
      <c r="O299" s="25">
        <f t="shared" si="5"/>
        <v>-2.5755584756898875E-2</v>
      </c>
      <c r="Q299" s="76">
        <v>-2.2499999999999999E-2</v>
      </c>
      <c r="R299">
        <v>9</v>
      </c>
      <c r="T299" s="60">
        <f t="shared" si="8"/>
        <v>-2.4999999999999998E-2</v>
      </c>
      <c r="U299" s="1">
        <f t="shared" si="3"/>
        <v>7.4021867000499482</v>
      </c>
    </row>
    <row r="300" spans="1:21" ht="15">
      <c r="A300" s="64">
        <v>518.65</v>
      </c>
      <c r="B300" s="64">
        <v>521.63059999999996</v>
      </c>
      <c r="C300" s="64">
        <v>517.36</v>
      </c>
      <c r="D300" s="64">
        <v>520.69000000000005</v>
      </c>
      <c r="E300" s="64">
        <v>4739506</v>
      </c>
      <c r="F300" s="64" t="s">
        <v>238</v>
      </c>
      <c r="G300" s="25">
        <f t="shared" si="4"/>
        <v>-3.9178782000808265E-3</v>
      </c>
      <c r="I300" s="64">
        <v>108.46</v>
      </c>
      <c r="J300" s="64">
        <v>112.35</v>
      </c>
      <c r="K300" s="64">
        <v>105.52</v>
      </c>
      <c r="L300" s="64">
        <v>109.85</v>
      </c>
      <c r="M300" s="64">
        <v>4836052</v>
      </c>
      <c r="N300" s="64" t="s">
        <v>238</v>
      </c>
      <c r="O300" s="25">
        <f t="shared" si="5"/>
        <v>-1.2653618570778291E-2</v>
      </c>
      <c r="Q300" s="76">
        <v>-0.02</v>
      </c>
      <c r="R300">
        <v>5</v>
      </c>
      <c r="T300" s="60">
        <f t="shared" si="8"/>
        <v>-2.2499999999999999E-2</v>
      </c>
      <c r="U300" s="1">
        <f t="shared" si="3"/>
        <v>7.6591912711913466</v>
      </c>
    </row>
    <row r="301" spans="1:21" ht="15">
      <c r="A301" s="64">
        <v>519.34</v>
      </c>
      <c r="B301" s="64">
        <v>524.23</v>
      </c>
      <c r="C301" s="64">
        <v>516.34500000000003</v>
      </c>
      <c r="D301" s="64">
        <v>519.54</v>
      </c>
      <c r="E301" s="64">
        <v>5088200</v>
      </c>
      <c r="F301" s="64" t="s">
        <v>239</v>
      </c>
      <c r="G301" s="25">
        <f t="shared" si="4"/>
        <v>-3.8495592254672584E-4</v>
      </c>
      <c r="I301" s="64">
        <v>107.83</v>
      </c>
      <c r="J301" s="64">
        <v>109.66</v>
      </c>
      <c r="K301" s="64">
        <v>105.2</v>
      </c>
      <c r="L301" s="64">
        <v>108.25</v>
      </c>
      <c r="M301" s="64">
        <v>5758976</v>
      </c>
      <c r="N301" s="64" t="s">
        <v>239</v>
      </c>
      <c r="O301" s="25">
        <f t="shared" si="5"/>
        <v>-3.8799076212471251E-3</v>
      </c>
      <c r="Q301" s="76">
        <v>-1.7500000000000002E-2</v>
      </c>
      <c r="R301">
        <v>10</v>
      </c>
      <c r="T301" s="60">
        <f t="shared" si="8"/>
        <v>-0.02</v>
      </c>
      <c r="U301" s="1">
        <f t="shared" si="3"/>
        <v>7.8997607528237124</v>
      </c>
    </row>
    <row r="302" spans="1:21" ht="15">
      <c r="A302" s="64">
        <v>515.9</v>
      </c>
      <c r="B302" s="64">
        <v>518.17999999999995</v>
      </c>
      <c r="C302" s="64">
        <v>511.1</v>
      </c>
      <c r="D302" s="64">
        <v>514.91999999999996</v>
      </c>
      <c r="E302" s="64">
        <v>5467344</v>
      </c>
      <c r="F302" s="64" t="s">
        <v>240</v>
      </c>
      <c r="G302" s="25">
        <f t="shared" si="4"/>
        <v>1.9032082653616111E-3</v>
      </c>
      <c r="I302" s="64">
        <v>105.53</v>
      </c>
      <c r="J302" s="64">
        <v>111.58</v>
      </c>
      <c r="K302" s="64">
        <v>102.8</v>
      </c>
      <c r="L302" s="64">
        <v>109.33</v>
      </c>
      <c r="M302" s="64">
        <v>9219438</v>
      </c>
      <c r="N302" s="64" t="s">
        <v>240</v>
      </c>
      <c r="O302" s="25">
        <f t="shared" si="5"/>
        <v>-3.4757157230403291E-2</v>
      </c>
      <c r="Q302" s="76">
        <v>-1.5000000000000001E-2</v>
      </c>
      <c r="R302">
        <v>15</v>
      </c>
      <c r="T302" s="60">
        <f t="shared" si="8"/>
        <v>-1.7500000000000002E-2</v>
      </c>
      <c r="U302" s="1">
        <f t="shared" si="3"/>
        <v>8.1218152344840036</v>
      </c>
    </row>
    <row r="303" spans="1:21" ht="15">
      <c r="A303" s="64">
        <v>513.58000000000004</v>
      </c>
      <c r="B303" s="64">
        <v>517.82500000000005</v>
      </c>
      <c r="C303" s="64">
        <v>511.94</v>
      </c>
      <c r="D303" s="64">
        <v>512.89</v>
      </c>
      <c r="E303" s="64">
        <v>4694270</v>
      </c>
      <c r="F303" s="64" t="s">
        <v>241</v>
      </c>
      <c r="G303" s="25">
        <f t="shared" si="4"/>
        <v>1.3453177094504554E-3</v>
      </c>
      <c r="I303" s="64">
        <v>109.99</v>
      </c>
      <c r="J303" s="64">
        <v>114.78</v>
      </c>
      <c r="K303" s="64">
        <v>108.6301</v>
      </c>
      <c r="L303" s="64">
        <v>113.65</v>
      </c>
      <c r="M303" s="64">
        <v>8954682</v>
      </c>
      <c r="N303" s="64" t="s">
        <v>241</v>
      </c>
      <c r="O303" s="25">
        <f t="shared" si="5"/>
        <v>-3.2204135503739684E-2</v>
      </c>
      <c r="Q303" s="76">
        <v>-1.2500000000000001E-2</v>
      </c>
      <c r="R303">
        <v>10</v>
      </c>
      <c r="T303" s="60">
        <f t="shared" si="8"/>
        <v>-1.5000000000000001E-2</v>
      </c>
      <c r="U303" s="1">
        <f t="shared" si="3"/>
        <v>8.3233932732053422</v>
      </c>
    </row>
    <row r="304" spans="1:21" ht="15">
      <c r="A304" s="64">
        <v>517.99</v>
      </c>
      <c r="B304" s="64">
        <v>520.85</v>
      </c>
      <c r="C304" s="64">
        <v>516.27</v>
      </c>
      <c r="D304" s="64">
        <v>517.08000000000004</v>
      </c>
      <c r="E304" s="64">
        <v>4793497</v>
      </c>
      <c r="F304" s="64" t="s">
        <v>242</v>
      </c>
      <c r="G304" s="25">
        <f t="shared" si="4"/>
        <v>1.7598824166473737E-3</v>
      </c>
      <c r="I304" s="64">
        <v>116.33</v>
      </c>
      <c r="J304" s="64">
        <v>120.87</v>
      </c>
      <c r="K304" s="64">
        <v>111.63</v>
      </c>
      <c r="L304" s="64">
        <v>113.09</v>
      </c>
      <c r="M304" s="64">
        <v>11529504</v>
      </c>
      <c r="N304" s="64" t="s">
        <v>242</v>
      </c>
      <c r="O304" s="25">
        <f t="shared" si="5"/>
        <v>2.8649747988327867E-2</v>
      </c>
      <c r="Q304" s="76">
        <v>-0.01</v>
      </c>
      <c r="R304">
        <v>17</v>
      </c>
      <c r="T304" s="60">
        <f t="shared" si="8"/>
        <v>-1.2500000000000001E-2</v>
      </c>
      <c r="U304" s="1">
        <f t="shared" si="3"/>
        <v>8.5026806547973575</v>
      </c>
    </row>
    <row r="305" spans="1:21" ht="15">
      <c r="A305" s="64">
        <v>520.71</v>
      </c>
      <c r="B305" s="64">
        <v>522.41</v>
      </c>
      <c r="C305" s="64">
        <v>516.89</v>
      </c>
      <c r="D305" s="64">
        <v>519.12</v>
      </c>
      <c r="E305" s="64">
        <v>6285390</v>
      </c>
      <c r="F305" s="64" t="s">
        <v>243</v>
      </c>
      <c r="G305" s="25">
        <f t="shared" si="4"/>
        <v>3.0628756356911868E-3</v>
      </c>
      <c r="I305" s="64">
        <v>113.83</v>
      </c>
      <c r="J305" s="64">
        <v>125.3899</v>
      </c>
      <c r="K305" s="64">
        <v>111.62</v>
      </c>
      <c r="L305" s="64">
        <v>120.25</v>
      </c>
      <c r="M305" s="64">
        <v>29599202</v>
      </c>
      <c r="N305" s="64" t="s">
        <v>243</v>
      </c>
      <c r="O305" s="25">
        <f t="shared" si="5"/>
        <v>-5.3388773388773458E-2</v>
      </c>
      <c r="Q305" s="76">
        <v>-7.4999999999999997E-3</v>
      </c>
      <c r="R305">
        <v>8</v>
      </c>
      <c r="T305" s="60">
        <f t="shared" si="8"/>
        <v>-0.01</v>
      </c>
      <c r="U305" s="1">
        <f t="shared" si="3"/>
        <v>8.6580375319264764</v>
      </c>
    </row>
    <row r="306" spans="1:21" ht="15">
      <c r="A306" s="64">
        <v>513.35</v>
      </c>
      <c r="B306" s="64">
        <v>518.44000000000005</v>
      </c>
      <c r="C306" s="64">
        <v>512.77</v>
      </c>
      <c r="D306" s="64">
        <v>515.13</v>
      </c>
      <c r="E306" s="64">
        <v>5784483</v>
      </c>
      <c r="F306" s="64" t="s">
        <v>244</v>
      </c>
      <c r="G306" s="25">
        <f t="shared" si="4"/>
        <v>-3.4554384330168775E-3</v>
      </c>
      <c r="I306" s="64">
        <v>118.79</v>
      </c>
      <c r="J306" s="64">
        <v>126.1</v>
      </c>
      <c r="K306" s="64">
        <v>117.49</v>
      </c>
      <c r="L306" s="64">
        <v>125.63500000000001</v>
      </c>
      <c r="M306" s="64">
        <v>14328186</v>
      </c>
      <c r="N306" s="64" t="s">
        <v>244</v>
      </c>
      <c r="O306" s="25">
        <f t="shared" si="5"/>
        <v>-5.4483225215903208E-2</v>
      </c>
      <c r="Q306" s="76">
        <v>-5.0000000000000001E-3</v>
      </c>
      <c r="R306">
        <v>7</v>
      </c>
      <c r="T306" s="60">
        <f t="shared" si="8"/>
        <v>-7.4999999999999997E-3</v>
      </c>
      <c r="U306" s="1">
        <f t="shared" si="3"/>
        <v>8.7880233723210086</v>
      </c>
    </row>
    <row r="307" spans="1:21" ht="15">
      <c r="A307" s="64">
        <v>509.74</v>
      </c>
      <c r="B307" s="64">
        <v>511.5</v>
      </c>
      <c r="C307" s="64">
        <v>497.76</v>
      </c>
      <c r="D307" s="64">
        <v>503.26</v>
      </c>
      <c r="E307" s="64">
        <v>7873686</v>
      </c>
      <c r="F307" s="64" t="s">
        <v>245</v>
      </c>
      <c r="G307" s="25">
        <f t="shared" si="4"/>
        <v>1.2876048165957998E-2</v>
      </c>
      <c r="I307" s="64">
        <v>116.57</v>
      </c>
      <c r="J307" s="64">
        <v>116.94</v>
      </c>
      <c r="K307" s="64">
        <v>108.5</v>
      </c>
      <c r="L307" s="64">
        <v>113.875</v>
      </c>
      <c r="M307" s="64">
        <v>8008405</v>
      </c>
      <c r="N307" s="64" t="s">
        <v>245</v>
      </c>
      <c r="O307" s="25">
        <f t="shared" si="5"/>
        <v>2.3666300768386384E-2</v>
      </c>
      <c r="Q307" s="76">
        <v>-2.5000000000000001E-3</v>
      </c>
      <c r="R307">
        <v>10</v>
      </c>
      <c r="T307" s="60">
        <f t="shared" si="8"/>
        <v>-5.0000000000000001E-3</v>
      </c>
      <c r="U307" s="1">
        <f t="shared" si="3"/>
        <v>8.891419186811623</v>
      </c>
    </row>
    <row r="308" spans="1:21" ht="15">
      <c r="A308" s="64">
        <v>509.49</v>
      </c>
      <c r="B308" s="64">
        <v>510.54969999999997</v>
      </c>
      <c r="C308" s="64">
        <v>504.26</v>
      </c>
      <c r="D308" s="64">
        <v>504.54</v>
      </c>
      <c r="E308" s="64">
        <v>6525457</v>
      </c>
      <c r="F308" s="64" t="s">
        <v>246</v>
      </c>
      <c r="G308" s="25">
        <f t="shared" si="4"/>
        <v>9.810916874777087E-3</v>
      </c>
      <c r="I308" s="64">
        <v>122.14</v>
      </c>
      <c r="J308" s="64">
        <v>123.29</v>
      </c>
      <c r="K308" s="64">
        <v>118.2</v>
      </c>
      <c r="L308" s="64">
        <v>119.57</v>
      </c>
      <c r="M308" s="64">
        <v>3766968</v>
      </c>
      <c r="N308" s="64" t="s">
        <v>246</v>
      </c>
      <c r="O308" s="25">
        <f t="shared" si="5"/>
        <v>2.1493685707117294E-2</v>
      </c>
      <c r="Q308" s="76">
        <v>0</v>
      </c>
      <c r="R308">
        <v>12</v>
      </c>
      <c r="T308" s="60">
        <f>T309-0.0025</f>
        <v>-2.5000000000000001E-3</v>
      </c>
      <c r="U308" s="1">
        <f t="shared" si="3"/>
        <v>8.9672465577649323</v>
      </c>
    </row>
    <row r="309" spans="1:21" ht="15">
      <c r="A309" s="64">
        <v>506.42</v>
      </c>
      <c r="B309" s="64">
        <v>508.74</v>
      </c>
      <c r="C309" s="64">
        <v>500.96</v>
      </c>
      <c r="D309" s="64">
        <v>506.81</v>
      </c>
      <c r="E309" s="64">
        <v>4210016</v>
      </c>
      <c r="F309" s="64" t="s">
        <v>247</v>
      </c>
      <c r="G309" s="25">
        <f t="shared" si="4"/>
        <v>-7.6951914918799158E-4</v>
      </c>
      <c r="I309" s="64">
        <v>121.21</v>
      </c>
      <c r="J309" s="64">
        <v>123</v>
      </c>
      <c r="K309" s="64">
        <v>116.3</v>
      </c>
      <c r="L309" s="64">
        <v>118.58</v>
      </c>
      <c r="M309" s="64">
        <v>8891410</v>
      </c>
      <c r="N309" s="64" t="s">
        <v>247</v>
      </c>
      <c r="O309" s="25">
        <f t="shared" si="5"/>
        <v>2.2179119581716922E-2</v>
      </c>
      <c r="Q309" s="76">
        <v>2.5000000000000001E-3</v>
      </c>
      <c r="R309">
        <v>13</v>
      </c>
      <c r="T309" s="60">
        <v>0</v>
      </c>
      <c r="U309" s="1">
        <f t="shared" si="3"/>
        <v>9.0147830525901895</v>
      </c>
    </row>
    <row r="310" spans="1:21" ht="15">
      <c r="A310" s="64">
        <v>506.11</v>
      </c>
      <c r="B310" s="64">
        <v>506.52</v>
      </c>
      <c r="C310" s="64">
        <v>499.75</v>
      </c>
      <c r="D310" s="64">
        <v>502.44</v>
      </c>
      <c r="E310" s="64">
        <v>6933423</v>
      </c>
      <c r="F310" s="64" t="s">
        <v>248</v>
      </c>
      <c r="G310" s="25">
        <f t="shared" si="4"/>
        <v>7.3043547488258476E-3</v>
      </c>
      <c r="I310" s="64">
        <v>118.1</v>
      </c>
      <c r="J310" s="64">
        <v>120.56</v>
      </c>
      <c r="K310" s="64">
        <v>114.2556</v>
      </c>
      <c r="L310" s="64">
        <v>115.03</v>
      </c>
      <c r="M310" s="64">
        <v>8702704</v>
      </c>
      <c r="N310" s="64" t="s">
        <v>248</v>
      </c>
      <c r="O310" s="25">
        <f t="shared" si="5"/>
        <v>2.66886899069807E-2</v>
      </c>
      <c r="Q310" s="76">
        <v>5.0000000000000001E-3</v>
      </c>
      <c r="R310">
        <v>12</v>
      </c>
      <c r="T310" s="25">
        <f>T309+0.0025</f>
        <v>2.5000000000000001E-3</v>
      </c>
      <c r="U310" s="1">
        <f t="shared" si="3"/>
        <v>9.033573682761423</v>
      </c>
    </row>
    <row r="311" spans="1:21" ht="15">
      <c r="A311" s="64">
        <v>502.41</v>
      </c>
      <c r="B311" s="64">
        <v>503</v>
      </c>
      <c r="C311" s="64">
        <v>492.22309999999999</v>
      </c>
      <c r="D311" s="64">
        <v>493.26</v>
      </c>
      <c r="E311" s="64">
        <v>6184333</v>
      </c>
      <c r="F311" s="64" t="s">
        <v>249</v>
      </c>
      <c r="G311" s="25">
        <f t="shared" si="4"/>
        <v>1.8550054737866528E-2</v>
      </c>
      <c r="I311" s="64">
        <v>112.25</v>
      </c>
      <c r="J311" s="64">
        <v>112.96</v>
      </c>
      <c r="K311" s="64">
        <v>106.16</v>
      </c>
      <c r="L311" s="64">
        <v>106.9</v>
      </c>
      <c r="M311" s="64">
        <v>4141140</v>
      </c>
      <c r="N311" s="64" t="s">
        <v>249</v>
      </c>
      <c r="O311" s="25">
        <f t="shared" si="5"/>
        <v>5.0046772684751994E-2</v>
      </c>
      <c r="Q311" s="76">
        <v>7.4999999999999997E-3</v>
      </c>
      <c r="R311">
        <v>7</v>
      </c>
      <c r="T311" s="25">
        <f t="shared" ref="T311:T364" si="9">T310+0.0025</f>
        <v>5.0000000000000001E-3</v>
      </c>
      <c r="U311" s="1">
        <f t="shared" si="3"/>
        <v>9.0234381541663033</v>
      </c>
    </row>
    <row r="312" spans="1:21" ht="15">
      <c r="A312" s="64">
        <v>492.07</v>
      </c>
      <c r="B312" s="64">
        <v>501.18</v>
      </c>
      <c r="C312" s="64">
        <v>490.7</v>
      </c>
      <c r="D312" s="64">
        <v>496.69</v>
      </c>
      <c r="E312" s="64">
        <v>8047601</v>
      </c>
      <c r="F312" s="64" t="s">
        <v>250</v>
      </c>
      <c r="G312" s="25">
        <f t="shared" si="4"/>
        <v>-9.3015764360063757E-3</v>
      </c>
      <c r="I312" s="64">
        <v>107.17</v>
      </c>
      <c r="J312" s="64">
        <v>113.55</v>
      </c>
      <c r="K312" s="64">
        <v>105.82</v>
      </c>
      <c r="L312" s="64">
        <v>109.51</v>
      </c>
      <c r="M312" s="64">
        <v>5873665</v>
      </c>
      <c r="N312" s="64" t="s">
        <v>250</v>
      </c>
      <c r="O312" s="25">
        <f t="shared" si="5"/>
        <v>-2.1367911606246071E-2</v>
      </c>
      <c r="Q312" s="76">
        <v>0.01</v>
      </c>
      <c r="R312">
        <v>11</v>
      </c>
      <c r="T312" s="25">
        <f t="shared" si="9"/>
        <v>7.4999999999999997E-3</v>
      </c>
      <c r="U312" s="1">
        <f t="shared" si="3"/>
        <v>8.9844737472037668</v>
      </c>
    </row>
    <row r="313" spans="1:21" ht="15">
      <c r="A313" s="64">
        <v>484.29</v>
      </c>
      <c r="B313" s="64">
        <v>486.48</v>
      </c>
      <c r="C313" s="64">
        <v>477.19</v>
      </c>
      <c r="D313" s="64">
        <v>478.07</v>
      </c>
      <c r="E313" s="64">
        <v>6236319</v>
      </c>
      <c r="F313" s="64" t="s">
        <v>251</v>
      </c>
      <c r="G313" s="25">
        <f t="shared" si="4"/>
        <v>1.301064697638421E-2</v>
      </c>
      <c r="I313" s="64">
        <v>101.66</v>
      </c>
      <c r="J313" s="64">
        <v>101.9</v>
      </c>
      <c r="K313" s="64">
        <v>95.4</v>
      </c>
      <c r="L313" s="64">
        <v>96.24</v>
      </c>
      <c r="M313" s="64">
        <v>5108777</v>
      </c>
      <c r="N313" s="64" t="s">
        <v>251</v>
      </c>
      <c r="O313" s="25">
        <f t="shared" si="5"/>
        <v>5.6317539484621815E-2</v>
      </c>
      <c r="Q313" s="76">
        <v>1.2500000000000001E-2</v>
      </c>
      <c r="R313">
        <v>6</v>
      </c>
      <c r="T313" s="25">
        <f t="shared" si="9"/>
        <v>0.01</v>
      </c>
      <c r="U313" s="1">
        <f t="shared" si="3"/>
        <v>8.9170537622879333</v>
      </c>
    </row>
    <row r="314" spans="1:21" ht="15">
      <c r="A314" s="64">
        <v>472.37</v>
      </c>
      <c r="B314" s="64">
        <v>479.49</v>
      </c>
      <c r="C314" s="64">
        <v>467.33</v>
      </c>
      <c r="D314" s="64">
        <v>479.02</v>
      </c>
      <c r="E314" s="64">
        <v>7762501</v>
      </c>
      <c r="F314" s="64" t="s">
        <v>252</v>
      </c>
      <c r="G314" s="25">
        <f t="shared" si="4"/>
        <v>-1.388251012483821E-2</v>
      </c>
      <c r="I314" s="64">
        <v>94.15</v>
      </c>
      <c r="J314" s="64">
        <v>95.41</v>
      </c>
      <c r="K314" s="64">
        <v>90.78</v>
      </c>
      <c r="L314" s="64">
        <v>94</v>
      </c>
      <c r="M314" s="64">
        <v>3090751</v>
      </c>
      <c r="N314" s="64" t="s">
        <v>252</v>
      </c>
      <c r="O314" s="25">
        <f t="shared" si="5"/>
        <v>1.5957446808512188E-3</v>
      </c>
      <c r="Q314" s="76">
        <v>1.5000000000000001E-2</v>
      </c>
      <c r="R314">
        <v>7</v>
      </c>
      <c r="T314" s="25">
        <f t="shared" si="9"/>
        <v>1.2500000000000001E-2</v>
      </c>
      <c r="U314" s="1">
        <f t="shared" si="3"/>
        <v>8.8218215654974195</v>
      </c>
    </row>
    <row r="315" spans="1:21" ht="15">
      <c r="A315" s="64">
        <v>483.9</v>
      </c>
      <c r="B315" s="64">
        <v>488.16</v>
      </c>
      <c r="C315" s="64">
        <v>481.5</v>
      </c>
      <c r="D315" s="64">
        <v>484.79</v>
      </c>
      <c r="E315" s="64">
        <v>5638939</v>
      </c>
      <c r="F315" s="64" t="s">
        <v>253</v>
      </c>
      <c r="G315" s="25">
        <f t="shared" si="4"/>
        <v>-1.8358464489780513E-3</v>
      </c>
      <c r="I315" s="64">
        <v>96.16</v>
      </c>
      <c r="J315" s="64">
        <v>96.87</v>
      </c>
      <c r="K315" s="64">
        <v>93.080100000000002</v>
      </c>
      <c r="L315" s="64">
        <v>94.52</v>
      </c>
      <c r="M315" s="64">
        <v>2858279</v>
      </c>
      <c r="N315" s="64" t="s">
        <v>253</v>
      </c>
      <c r="O315" s="25">
        <f t="shared" si="5"/>
        <v>1.7350825222175237E-2</v>
      </c>
      <c r="Q315" s="76">
        <v>1.7500000000000002E-2</v>
      </c>
      <c r="R315">
        <v>12</v>
      </c>
      <c r="T315" s="25">
        <f t="shared" si="9"/>
        <v>1.5000000000000001E-2</v>
      </c>
      <c r="U315" s="1">
        <f t="shared" si="3"/>
        <v>8.6996803671937251</v>
      </c>
    </row>
    <row r="316" spans="1:21" ht="15">
      <c r="A316" s="64">
        <v>483.23</v>
      </c>
      <c r="B316" s="64">
        <v>491.76499999999999</v>
      </c>
      <c r="C316" s="64">
        <v>478.23</v>
      </c>
      <c r="D316" s="64">
        <v>488.65</v>
      </c>
      <c r="E316" s="64">
        <v>6374869</v>
      </c>
      <c r="F316" s="64" t="s">
        <v>254</v>
      </c>
      <c r="G316" s="25">
        <f t="shared" si="4"/>
        <v>-1.1091783485111972E-2</v>
      </c>
      <c r="I316" s="64">
        <v>95.38</v>
      </c>
      <c r="J316" s="64">
        <v>95.49</v>
      </c>
      <c r="K316" s="64">
        <v>91.61</v>
      </c>
      <c r="L316" s="64">
        <v>93.07</v>
      </c>
      <c r="M316" s="64">
        <v>3685336</v>
      </c>
      <c r="N316" s="64" t="s">
        <v>254</v>
      </c>
      <c r="O316" s="25">
        <f t="shared" si="5"/>
        <v>2.4820027935962274E-2</v>
      </c>
      <c r="Q316" s="76">
        <v>0.02</v>
      </c>
      <c r="R316">
        <v>4</v>
      </c>
      <c r="T316" s="25">
        <f t="shared" si="9"/>
        <v>1.7500000000000002E-2</v>
      </c>
      <c r="U316" s="1">
        <f t="shared" si="3"/>
        <v>8.5517789607115002</v>
      </c>
    </row>
    <row r="317" spans="1:21" ht="15">
      <c r="A317" s="64">
        <v>494.09</v>
      </c>
      <c r="B317" s="64">
        <v>499.27</v>
      </c>
      <c r="C317" s="64">
        <v>493.42</v>
      </c>
      <c r="D317" s="64">
        <v>496.03</v>
      </c>
      <c r="E317" s="64">
        <v>8200583</v>
      </c>
      <c r="F317" s="64" t="s">
        <v>255</v>
      </c>
      <c r="G317" s="25">
        <f t="shared" si="4"/>
        <v>-3.911053766909256E-3</v>
      </c>
      <c r="I317" s="64">
        <v>96.46</v>
      </c>
      <c r="J317" s="64">
        <v>99.79</v>
      </c>
      <c r="K317" s="64">
        <v>94.56</v>
      </c>
      <c r="L317" s="64">
        <v>98.66</v>
      </c>
      <c r="M317" s="64">
        <v>4061699</v>
      </c>
      <c r="N317" s="64" t="s">
        <v>255</v>
      </c>
      <c r="O317" s="25">
        <f t="shared" si="5"/>
        <v>-2.2298803973241466E-2</v>
      </c>
      <c r="Q317" s="76">
        <v>2.2499999999999999E-2</v>
      </c>
      <c r="R317">
        <v>9</v>
      </c>
      <c r="T317" s="25">
        <f t="shared" si="9"/>
        <v>0.02</v>
      </c>
      <c r="U317" s="1">
        <f t="shared" si="3"/>
        <v>8.3794937360221358</v>
      </c>
    </row>
    <row r="318" spans="1:21" ht="15">
      <c r="A318" s="64">
        <v>495.48</v>
      </c>
      <c r="B318" s="64">
        <v>500.26</v>
      </c>
      <c r="C318" s="64">
        <v>490.69</v>
      </c>
      <c r="D318" s="64">
        <v>500.05</v>
      </c>
      <c r="E318" s="64">
        <v>7701488</v>
      </c>
      <c r="F318" s="64" t="s">
        <v>256</v>
      </c>
      <c r="G318" s="25">
        <f t="shared" si="4"/>
        <v>-9.1390860913908023E-3</v>
      </c>
      <c r="I318" s="64">
        <v>98.26</v>
      </c>
      <c r="J318" s="64">
        <v>106.5</v>
      </c>
      <c r="K318" s="64">
        <v>97.500100000000003</v>
      </c>
      <c r="L318" s="64">
        <v>105.75</v>
      </c>
      <c r="M318" s="64">
        <v>3943375</v>
      </c>
      <c r="N318" s="64" t="s">
        <v>256</v>
      </c>
      <c r="O318" s="25">
        <f t="shared" si="5"/>
        <v>-7.0827423167848624E-2</v>
      </c>
      <c r="Q318" s="76">
        <v>2.4999999999999998E-2</v>
      </c>
      <c r="R318">
        <v>10</v>
      </c>
      <c r="T318" s="25">
        <f t="shared" si="9"/>
        <v>2.2499999999999999E-2</v>
      </c>
      <c r="U318" s="1">
        <f t="shared" si="3"/>
        <v>8.1844073621406555</v>
      </c>
    </row>
    <row r="319" spans="1:21" ht="15">
      <c r="A319" s="64">
        <v>490.55</v>
      </c>
      <c r="B319" s="64">
        <v>493</v>
      </c>
      <c r="C319" s="64">
        <v>478</v>
      </c>
      <c r="D319" s="64">
        <v>480.69</v>
      </c>
      <c r="E319" s="64">
        <v>11541195</v>
      </c>
      <c r="F319" s="64" t="s">
        <v>257</v>
      </c>
      <c r="G319" s="25">
        <f t="shared" si="4"/>
        <v>2.051218040733116E-2</v>
      </c>
      <c r="I319" s="64">
        <v>101.15</v>
      </c>
      <c r="J319" s="64">
        <v>101.81</v>
      </c>
      <c r="K319" s="64">
        <v>96.43</v>
      </c>
      <c r="L319" s="64">
        <v>101</v>
      </c>
      <c r="M319" s="64">
        <v>4217575</v>
      </c>
      <c r="N319" s="64" t="s">
        <v>257</v>
      </c>
      <c r="O319" s="25">
        <f t="shared" si="5"/>
        <v>1.4851485148514865E-3</v>
      </c>
      <c r="Q319" s="76">
        <v>2.7499999999999997E-2</v>
      </c>
      <c r="R319">
        <v>14</v>
      </c>
      <c r="T319" s="25">
        <f t="shared" si="9"/>
        <v>2.4999999999999998E-2</v>
      </c>
      <c r="U319" s="1">
        <f t="shared" ref="U319:U364" si="10">_xlfn.NORM.DIST(T319,$S$245,$S$247,FALSE)</f>
        <v>7.9682845998442611</v>
      </c>
    </row>
    <row r="320" spans="1:21" ht="15">
      <c r="A320" s="64">
        <v>482.06</v>
      </c>
      <c r="B320" s="64">
        <v>490.3</v>
      </c>
      <c r="C320" s="64">
        <v>468.33</v>
      </c>
      <c r="D320" s="64">
        <v>489.15</v>
      </c>
      <c r="E320" s="64">
        <v>16651303</v>
      </c>
      <c r="F320" s="64" t="s">
        <v>258</v>
      </c>
      <c r="G320" s="25">
        <f t="shared" si="4"/>
        <v>-1.4494531329857896E-2</v>
      </c>
      <c r="I320" s="64">
        <v>102.01</v>
      </c>
      <c r="J320" s="64">
        <v>107.46</v>
      </c>
      <c r="K320" s="64">
        <v>98.77</v>
      </c>
      <c r="L320" s="64">
        <v>103.98</v>
      </c>
      <c r="M320" s="64">
        <v>7351305</v>
      </c>
      <c r="N320" s="64" t="s">
        <v>258</v>
      </c>
      <c r="O320" s="25">
        <f t="shared" si="5"/>
        <v>-1.8945951144450857E-2</v>
      </c>
      <c r="Q320" s="76">
        <v>2.9999999999999995E-2</v>
      </c>
      <c r="R320">
        <v>10</v>
      </c>
      <c r="T320" s="25">
        <f t="shared" si="9"/>
        <v>2.7499999999999997E-2</v>
      </c>
      <c r="U320" s="1">
        <f t="shared" si="10"/>
        <v>7.7330457612387704</v>
      </c>
    </row>
    <row r="321" spans="1:21" ht="15">
      <c r="A321" s="64">
        <v>499.1</v>
      </c>
      <c r="B321" s="64">
        <v>502.06119999999999</v>
      </c>
      <c r="C321" s="64">
        <v>453.16</v>
      </c>
      <c r="D321" s="64">
        <v>453.49</v>
      </c>
      <c r="E321" s="64">
        <v>29286594</v>
      </c>
      <c r="F321" s="64" t="s">
        <v>259</v>
      </c>
      <c r="G321" s="25">
        <f t="shared" si="4"/>
        <v>0.10057553639551031</v>
      </c>
      <c r="I321" s="64">
        <v>110.86</v>
      </c>
      <c r="J321" s="64">
        <v>113.9</v>
      </c>
      <c r="K321" s="64">
        <v>87.124200000000002</v>
      </c>
      <c r="L321" s="64">
        <v>88.74</v>
      </c>
      <c r="M321" s="64">
        <v>13906473</v>
      </c>
      <c r="N321" s="64" t="s">
        <v>259</v>
      </c>
      <c r="O321" s="25">
        <f t="shared" si="5"/>
        <v>0.24926752310119449</v>
      </c>
      <c r="Q321" s="76">
        <v>3.2499999999999994E-2</v>
      </c>
      <c r="R321">
        <v>6</v>
      </c>
      <c r="T321" s="25">
        <f t="shared" si="9"/>
        <v>2.9999999999999995E-2</v>
      </c>
      <c r="U321" s="1">
        <f t="shared" si="10"/>
        <v>7.480738373521195</v>
      </c>
    </row>
    <row r="322" spans="1:21" ht="15">
      <c r="A322" s="64">
        <v>456.74</v>
      </c>
      <c r="B322" s="64">
        <v>482.49</v>
      </c>
      <c r="C322" s="64">
        <v>449.6</v>
      </c>
      <c r="D322" s="64">
        <v>479.68</v>
      </c>
      <c r="E322" s="64">
        <v>19002684</v>
      </c>
      <c r="F322" s="64" t="s">
        <v>260</v>
      </c>
      <c r="G322" s="25">
        <f t="shared" ref="G322:G385" si="11">A322/D322-1</f>
        <v>-4.7823549032688484E-2</v>
      </c>
      <c r="I322" s="64">
        <v>88.89</v>
      </c>
      <c r="J322" s="64">
        <v>97.899900000000002</v>
      </c>
      <c r="K322" s="64">
        <v>86.88</v>
      </c>
      <c r="L322" s="64">
        <v>97.14</v>
      </c>
      <c r="M322" s="64">
        <v>9633597</v>
      </c>
      <c r="N322" s="64" t="s">
        <v>260</v>
      </c>
      <c r="O322" s="25">
        <f t="shared" ref="O322:O385" si="12">I322/L322-1</f>
        <v>-8.4928968499073498E-2</v>
      </c>
      <c r="Q322" s="76">
        <v>3.4999999999999996E-2</v>
      </c>
      <c r="R322">
        <v>4</v>
      </c>
      <c r="T322" s="25">
        <f t="shared" si="9"/>
        <v>3.2499999999999994E-2</v>
      </c>
      <c r="U322" s="1">
        <f t="shared" si="10"/>
        <v>7.2135076300916339</v>
      </c>
    </row>
    <row r="323" spans="1:21" ht="15">
      <c r="A323" s="64">
        <v>463.56</v>
      </c>
      <c r="B323" s="64">
        <v>480.76</v>
      </c>
      <c r="C323" s="64">
        <v>442.8</v>
      </c>
      <c r="D323" s="64">
        <v>449.54</v>
      </c>
      <c r="E323" s="64">
        <v>31285267</v>
      </c>
      <c r="F323" s="64" t="s">
        <v>261</v>
      </c>
      <c r="G323" s="25">
        <f t="shared" si="11"/>
        <v>3.1187436045735595E-2</v>
      </c>
      <c r="I323" s="64">
        <v>93</v>
      </c>
      <c r="J323" s="64">
        <v>97</v>
      </c>
      <c r="K323" s="64">
        <v>79.749899999999997</v>
      </c>
      <c r="L323" s="64">
        <v>81.010000000000005</v>
      </c>
      <c r="M323" s="64">
        <v>11772338</v>
      </c>
      <c r="N323" s="64" t="s">
        <v>261</v>
      </c>
      <c r="O323" s="25">
        <f t="shared" si="12"/>
        <v>0.14800641896062205</v>
      </c>
      <c r="Q323" s="76">
        <v>3.7499999999999999E-2</v>
      </c>
      <c r="R323">
        <v>5</v>
      </c>
      <c r="T323" s="25">
        <f t="shared" si="9"/>
        <v>3.4999999999999996E-2</v>
      </c>
      <c r="U323" s="1">
        <f t="shared" si="10"/>
        <v>6.9335662226055073</v>
      </c>
    </row>
    <row r="324" spans="1:21" ht="15">
      <c r="A324" s="64">
        <v>465.52</v>
      </c>
      <c r="B324" s="64">
        <v>483.3</v>
      </c>
      <c r="C324" s="64">
        <v>464.24</v>
      </c>
      <c r="D324" s="64">
        <v>481.28</v>
      </c>
      <c r="E324" s="64">
        <v>30966508</v>
      </c>
      <c r="F324" s="64" t="s">
        <v>262</v>
      </c>
      <c r="G324" s="25">
        <f t="shared" si="11"/>
        <v>-3.2746010638297851E-2</v>
      </c>
      <c r="I324" s="64">
        <v>86.91</v>
      </c>
      <c r="J324" s="64">
        <v>92.91</v>
      </c>
      <c r="K324" s="64">
        <v>82.8</v>
      </c>
      <c r="L324" s="64">
        <v>92.18</v>
      </c>
      <c r="M324" s="64">
        <v>13290250</v>
      </c>
      <c r="N324" s="64" t="s">
        <v>262</v>
      </c>
      <c r="O324" s="25">
        <f t="shared" si="12"/>
        <v>-5.7170752874810216E-2</v>
      </c>
      <c r="Q324" s="76">
        <v>0.04</v>
      </c>
      <c r="R324">
        <v>4</v>
      </c>
      <c r="T324" s="25">
        <f t="shared" si="9"/>
        <v>3.7499999999999999E-2</v>
      </c>
      <c r="U324" s="1">
        <f t="shared" si="10"/>
        <v>6.6431641427616874</v>
      </c>
    </row>
    <row r="325" spans="1:21" ht="15">
      <c r="A325" s="64">
        <v>494.16</v>
      </c>
      <c r="B325" s="64">
        <v>503.66</v>
      </c>
      <c r="C325" s="64">
        <v>493.5</v>
      </c>
      <c r="D325" s="64">
        <v>501</v>
      </c>
      <c r="E325" s="64">
        <v>16226023</v>
      </c>
      <c r="F325" s="64" t="s">
        <v>263</v>
      </c>
      <c r="G325" s="25">
        <f t="shared" si="11"/>
        <v>-1.3652694610778449E-2</v>
      </c>
      <c r="I325" s="64">
        <v>96.9</v>
      </c>
      <c r="J325" s="64">
        <v>100.5</v>
      </c>
      <c r="K325" s="64">
        <v>93.63</v>
      </c>
      <c r="L325" s="64">
        <v>99.5</v>
      </c>
      <c r="M325" s="64">
        <v>11840669</v>
      </c>
      <c r="N325" s="64" t="s">
        <v>263</v>
      </c>
      <c r="O325" s="25">
        <f t="shared" si="12"/>
        <v>-2.6130653266331572E-2</v>
      </c>
      <c r="Q325" s="76">
        <v>4.2500000000000003E-2</v>
      </c>
      <c r="R325">
        <v>5</v>
      </c>
      <c r="T325" s="25">
        <f t="shared" si="9"/>
        <v>0.04</v>
      </c>
      <c r="U325" s="1">
        <f t="shared" si="10"/>
        <v>6.3445590232009543</v>
      </c>
    </row>
    <row r="326" spans="1:21" ht="15">
      <c r="A326" s="64">
        <v>518.91</v>
      </c>
      <c r="B326" s="64">
        <v>521.49</v>
      </c>
      <c r="C326" s="64">
        <v>509.9298</v>
      </c>
      <c r="D326" s="64">
        <v>510.14</v>
      </c>
      <c r="E326" s="64">
        <v>6308643</v>
      </c>
      <c r="F326" s="64" t="s">
        <v>264</v>
      </c>
      <c r="G326" s="25">
        <f t="shared" si="11"/>
        <v>1.7191359234719927E-2</v>
      </c>
      <c r="I326" s="64">
        <v>109.5</v>
      </c>
      <c r="J326" s="64">
        <v>113.75</v>
      </c>
      <c r="K326" s="64">
        <v>104.85</v>
      </c>
      <c r="L326" s="64">
        <v>104.85</v>
      </c>
      <c r="M326" s="64">
        <v>10073457</v>
      </c>
      <c r="N326" s="64" t="s">
        <v>264</v>
      </c>
      <c r="O326" s="25">
        <f t="shared" si="12"/>
        <v>4.4349070100143217E-2</v>
      </c>
      <c r="Q326" s="76">
        <v>4.5000000000000005E-2</v>
      </c>
      <c r="R326">
        <v>3</v>
      </c>
      <c r="T326" s="25">
        <f t="shared" si="9"/>
        <v>4.2500000000000003E-2</v>
      </c>
      <c r="U326" s="1">
        <f t="shared" si="10"/>
        <v>6.0399875538888255</v>
      </c>
    </row>
    <row r="327" spans="1:21" ht="15">
      <c r="A327" s="64">
        <v>515.79999999999995</v>
      </c>
      <c r="B327" s="64">
        <v>517.35</v>
      </c>
      <c r="C327" s="64">
        <v>508.88</v>
      </c>
      <c r="D327" s="64">
        <v>512.36</v>
      </c>
      <c r="E327" s="64">
        <v>7697017</v>
      </c>
      <c r="F327" s="64" t="s">
        <v>265</v>
      </c>
      <c r="G327" s="25">
        <f t="shared" si="11"/>
        <v>6.7140291982199507E-3</v>
      </c>
      <c r="I327" s="64">
        <v>110.05</v>
      </c>
      <c r="J327" s="64">
        <v>111.6</v>
      </c>
      <c r="K327" s="64">
        <v>104.34910000000001</v>
      </c>
      <c r="L327" s="64">
        <v>105.795</v>
      </c>
      <c r="M327" s="64">
        <v>6568167</v>
      </c>
      <c r="N327" s="64" t="s">
        <v>265</v>
      </c>
      <c r="O327" s="25">
        <f t="shared" si="12"/>
        <v>4.0219292027033449E-2</v>
      </c>
      <c r="Q327" s="76">
        <v>4.7500000000000007E-2</v>
      </c>
      <c r="R327">
        <v>4</v>
      </c>
      <c r="T327" s="25">
        <f t="shared" si="9"/>
        <v>4.5000000000000005E-2</v>
      </c>
      <c r="U327" s="1">
        <f t="shared" si="10"/>
        <v>5.7316384652114225</v>
      </c>
    </row>
    <row r="328" spans="1:21" ht="15">
      <c r="A328" s="64">
        <v>513.91</v>
      </c>
      <c r="B328" s="64">
        <v>515.33000000000004</v>
      </c>
      <c r="C328" s="64">
        <v>502.64</v>
      </c>
      <c r="D328" s="64">
        <v>505.31</v>
      </c>
      <c r="E328" s="64">
        <v>8196668</v>
      </c>
      <c r="F328" s="64" t="s">
        <v>266</v>
      </c>
      <c r="G328" s="25">
        <f t="shared" si="11"/>
        <v>1.7019255506520725E-2</v>
      </c>
      <c r="I328" s="64">
        <v>104.9</v>
      </c>
      <c r="J328" s="64">
        <v>106.59</v>
      </c>
      <c r="K328" s="64">
        <v>97.61</v>
      </c>
      <c r="L328" s="64">
        <v>102.295</v>
      </c>
      <c r="M328" s="64">
        <v>9511550</v>
      </c>
      <c r="N328" s="64" t="s">
        <v>266</v>
      </c>
      <c r="O328" s="25">
        <f t="shared" si="12"/>
        <v>2.5465565276895363E-2</v>
      </c>
      <c r="Q328" s="76">
        <v>5.000000000000001E-2</v>
      </c>
      <c r="R328">
        <v>4</v>
      </c>
      <c r="T328" s="25">
        <f t="shared" si="9"/>
        <v>4.7500000000000007E-2</v>
      </c>
      <c r="U328" s="1">
        <f t="shared" si="10"/>
        <v>5.4216275134808178</v>
      </c>
    </row>
    <row r="329" spans="1:21" ht="15">
      <c r="A329" s="64">
        <v>510.8</v>
      </c>
      <c r="B329" s="64">
        <v>520.46</v>
      </c>
      <c r="C329" s="64">
        <v>510.16</v>
      </c>
      <c r="D329" s="64">
        <v>519.76</v>
      </c>
      <c r="E329" s="64">
        <v>5831793</v>
      </c>
      <c r="F329" s="64" t="s">
        <v>267</v>
      </c>
      <c r="G329" s="25">
        <f t="shared" si="11"/>
        <v>-1.7238725565645652E-2</v>
      </c>
      <c r="I329" s="64">
        <v>107.71</v>
      </c>
      <c r="J329" s="64">
        <v>112.78</v>
      </c>
      <c r="K329" s="64">
        <v>103.74</v>
      </c>
      <c r="L329" s="64">
        <v>110.25</v>
      </c>
      <c r="M329" s="64">
        <v>8001920</v>
      </c>
      <c r="N329" s="64" t="s">
        <v>267</v>
      </c>
      <c r="O329" s="25">
        <f t="shared" si="12"/>
        <v>-2.3038548752834509E-2</v>
      </c>
      <c r="Q329" s="76">
        <v>5.2500000000000012E-2</v>
      </c>
      <c r="R329">
        <v>7</v>
      </c>
      <c r="T329" s="25">
        <f t="shared" si="9"/>
        <v>5.000000000000001E-2</v>
      </c>
      <c r="U329" s="1">
        <f t="shared" si="10"/>
        <v>5.1119748406360204</v>
      </c>
    </row>
    <row r="330" spans="1:21" ht="15">
      <c r="A330" s="64">
        <v>521.21</v>
      </c>
      <c r="B330" s="64">
        <v>524.678</v>
      </c>
      <c r="C330" s="64">
        <v>519.23</v>
      </c>
      <c r="D330" s="64">
        <v>521.29</v>
      </c>
      <c r="E330" s="64">
        <v>5534928</v>
      </c>
      <c r="F330" s="64" t="s">
        <v>268</v>
      </c>
      <c r="G330" s="25">
        <f t="shared" si="11"/>
        <v>-1.5346544150074415E-4</v>
      </c>
      <c r="I330" s="64">
        <v>110.23</v>
      </c>
      <c r="J330" s="64">
        <v>117.5</v>
      </c>
      <c r="K330" s="64">
        <v>110.05</v>
      </c>
      <c r="L330" s="64">
        <v>117.5</v>
      </c>
      <c r="M330" s="64">
        <v>6775399</v>
      </c>
      <c r="N330" s="64" t="s">
        <v>268</v>
      </c>
      <c r="O330" s="25">
        <f t="shared" si="12"/>
        <v>-6.1872340425531913E-2</v>
      </c>
      <c r="Q330" s="76">
        <v>5.5000000000000014E-2</v>
      </c>
      <c r="R330">
        <v>0</v>
      </c>
      <c r="T330" s="25">
        <f t="shared" si="9"/>
        <v>5.2500000000000012E-2</v>
      </c>
      <c r="U330" s="1">
        <f t="shared" si="10"/>
        <v>4.8045850098172513</v>
      </c>
    </row>
    <row r="331" spans="1:21" ht="15">
      <c r="A331" s="64">
        <v>522.64789999999982</v>
      </c>
      <c r="B331" s="64">
        <v>529.57388654806823</v>
      </c>
      <c r="C331" s="64">
        <v>521.2925990351979</v>
      </c>
      <c r="D331" s="64">
        <v>528.72682344506711</v>
      </c>
      <c r="E331" s="64">
        <v>4444984.1890879134</v>
      </c>
      <c r="F331" s="64" t="s">
        <v>269</v>
      </c>
      <c r="G331" s="25">
        <f t="shared" si="11"/>
        <v>-1.1497285886610364E-2</v>
      </c>
      <c r="I331" s="64">
        <v>120.2</v>
      </c>
      <c r="J331" s="64">
        <v>125.6</v>
      </c>
      <c r="K331" s="64">
        <v>117.17</v>
      </c>
      <c r="L331" s="64">
        <v>124.6</v>
      </c>
      <c r="M331" s="64">
        <v>4869412</v>
      </c>
      <c r="N331" s="64" t="s">
        <v>269</v>
      </c>
      <c r="O331" s="25">
        <f t="shared" si="12"/>
        <v>-3.5313001605136396E-2</v>
      </c>
      <c r="Q331" s="76">
        <v>5.7500000000000016E-2</v>
      </c>
      <c r="R331">
        <v>5</v>
      </c>
      <c r="T331" s="25">
        <f t="shared" si="9"/>
        <v>5.5000000000000014E-2</v>
      </c>
      <c r="U331" s="1">
        <f t="shared" si="10"/>
        <v>4.5012299444524064</v>
      </c>
    </row>
    <row r="332" spans="1:21" ht="15">
      <c r="A332" s="64">
        <v>528.81651247950253</v>
      </c>
      <c r="B332" s="64">
        <v>529.76323006520977</v>
      </c>
      <c r="C332" s="64">
        <v>527.28183344582988</v>
      </c>
      <c r="D332" s="64">
        <v>528.75671978987896</v>
      </c>
      <c r="E332" s="64">
        <v>6281904.064935497</v>
      </c>
      <c r="F332" s="64" t="s">
        <v>270</v>
      </c>
      <c r="G332" s="25">
        <f t="shared" si="11"/>
        <v>1.1308166380818996E-4</v>
      </c>
      <c r="I332" s="64">
        <v>125.43</v>
      </c>
      <c r="J332" s="64">
        <v>127.27</v>
      </c>
      <c r="K332" s="64">
        <v>120.02</v>
      </c>
      <c r="L332" s="64">
        <v>124</v>
      </c>
      <c r="M332" s="64">
        <v>5815589</v>
      </c>
      <c r="N332" s="64" t="s">
        <v>270</v>
      </c>
      <c r="O332" s="25">
        <f t="shared" si="12"/>
        <v>1.1532258064516077E-2</v>
      </c>
      <c r="Q332" s="76">
        <v>6.0000000000000019E-2</v>
      </c>
      <c r="R332">
        <v>6</v>
      </c>
      <c r="T332" s="25">
        <f t="shared" si="9"/>
        <v>5.7500000000000016E-2</v>
      </c>
      <c r="U332" s="1">
        <f t="shared" si="10"/>
        <v>4.2035349228003493</v>
      </c>
    </row>
    <row r="333" spans="1:21" ht="15">
      <c r="A333" s="64">
        <v>527.56086599740661</v>
      </c>
      <c r="B333" s="64">
        <v>528.55741082446684</v>
      </c>
      <c r="C333" s="64">
        <v>524.06299365442533</v>
      </c>
      <c r="D333" s="64">
        <v>524.66092055066144</v>
      </c>
      <c r="E333" s="64">
        <v>22453848.931221198</v>
      </c>
      <c r="F333" s="64" t="s">
        <v>271</v>
      </c>
      <c r="G333" s="25">
        <f t="shared" si="11"/>
        <v>5.5272754900470566E-3</v>
      </c>
      <c r="I333" s="64">
        <v>124.94</v>
      </c>
      <c r="J333" s="64">
        <v>126.5</v>
      </c>
      <c r="K333" s="64">
        <v>119.76</v>
      </c>
      <c r="L333" s="64">
        <v>119.81</v>
      </c>
      <c r="M333" s="64">
        <v>9012069</v>
      </c>
      <c r="N333" s="64" t="s">
        <v>271</v>
      </c>
      <c r="O333" s="25">
        <f t="shared" si="12"/>
        <v>4.2817794841832901E-2</v>
      </c>
      <c r="Q333" s="76">
        <v>6.2500000000000014E-2</v>
      </c>
      <c r="R333">
        <v>3</v>
      </c>
      <c r="T333" s="25">
        <f t="shared" si="9"/>
        <v>6.0000000000000019E-2</v>
      </c>
      <c r="U333" s="1">
        <f t="shared" si="10"/>
        <v>3.9129677047493234</v>
      </c>
    </row>
    <row r="334" spans="1:21" ht="15">
      <c r="A334" s="64">
        <v>518.46241172634689</v>
      </c>
      <c r="B334" s="64">
        <v>519.15002765701854</v>
      </c>
      <c r="C334" s="64">
        <v>512.87677797067442</v>
      </c>
      <c r="D334" s="64">
        <v>514.00785634938768</v>
      </c>
      <c r="E334" s="64">
        <v>5076551.3628965141</v>
      </c>
      <c r="F334" s="64" t="s">
        <v>272</v>
      </c>
      <c r="G334" s="25">
        <f t="shared" si="11"/>
        <v>8.666317687431091E-3</v>
      </c>
      <c r="I334" s="64">
        <v>115.7</v>
      </c>
      <c r="J334" s="64">
        <v>116.29</v>
      </c>
      <c r="K334" s="64">
        <v>106</v>
      </c>
      <c r="L334" s="64">
        <v>107.8</v>
      </c>
      <c r="M334" s="64">
        <v>7987117</v>
      </c>
      <c r="N334" s="64" t="s">
        <v>272</v>
      </c>
      <c r="O334" s="25">
        <f t="shared" si="12"/>
        <v>7.3283858998144824E-2</v>
      </c>
      <c r="Q334" s="76">
        <v>6.5000000000000016E-2</v>
      </c>
      <c r="R334">
        <v>2</v>
      </c>
      <c r="T334" s="25">
        <f t="shared" si="9"/>
        <v>6.2500000000000014E-2</v>
      </c>
      <c r="U334" s="1">
        <f t="shared" si="10"/>
        <v>3.6308307951308136</v>
      </c>
    </row>
    <row r="335" spans="1:21" ht="15">
      <c r="A335" s="64">
        <v>518.33286089882904</v>
      </c>
      <c r="B335" s="64">
        <v>522.80236444819411</v>
      </c>
      <c r="C335" s="64">
        <v>515.53256993478999</v>
      </c>
      <c r="D335" s="64">
        <v>516.17035862410842</v>
      </c>
      <c r="E335" s="64">
        <v>6050643.0180241829</v>
      </c>
      <c r="F335" s="64" t="s">
        <v>273</v>
      </c>
      <c r="G335" s="25">
        <f t="shared" si="11"/>
        <v>4.1895127036835067E-3</v>
      </c>
      <c r="I335" s="64">
        <v>108.75</v>
      </c>
      <c r="J335" s="64">
        <v>112.99</v>
      </c>
      <c r="K335" s="64">
        <v>107.04</v>
      </c>
      <c r="L335" s="64">
        <v>109.18</v>
      </c>
      <c r="M335" s="64">
        <v>7803443</v>
      </c>
      <c r="N335" s="64" t="s">
        <v>273</v>
      </c>
      <c r="O335" s="25">
        <f t="shared" si="12"/>
        <v>-3.9384502656164555E-3</v>
      </c>
      <c r="Q335" s="76">
        <v>6.7500000000000018E-2</v>
      </c>
      <c r="R335">
        <v>4</v>
      </c>
      <c r="T335" s="25">
        <f t="shared" si="9"/>
        <v>6.5000000000000016E-2</v>
      </c>
      <c r="U335" s="1">
        <f t="shared" si="10"/>
        <v>3.358256779736672</v>
      </c>
    </row>
    <row r="336" spans="1:21" ht="15">
      <c r="A336" s="64">
        <v>519.52871469130139</v>
      </c>
      <c r="B336" s="64">
        <v>523.14617241352994</v>
      </c>
      <c r="C336" s="64">
        <v>514.63478270009125</v>
      </c>
      <c r="D336" s="64">
        <v>515.75180979674315</v>
      </c>
      <c r="E336" s="64">
        <v>5392581.3009867659</v>
      </c>
      <c r="F336" s="64" t="s">
        <v>274</v>
      </c>
      <c r="G336" s="25">
        <f t="shared" si="11"/>
        <v>7.3231054604474544E-3</v>
      </c>
      <c r="I336" s="64">
        <v>109.91</v>
      </c>
      <c r="J336" s="64">
        <v>113.48</v>
      </c>
      <c r="K336" s="64">
        <v>105.5</v>
      </c>
      <c r="L336" s="64">
        <v>110.1</v>
      </c>
      <c r="M336" s="64">
        <v>9529586</v>
      </c>
      <c r="N336" s="64" t="s">
        <v>274</v>
      </c>
      <c r="O336" s="25">
        <f t="shared" si="12"/>
        <v>-1.7257039055403878E-3</v>
      </c>
      <c r="Q336" s="76">
        <v>7.0000000000000021E-2</v>
      </c>
      <c r="R336">
        <v>2</v>
      </c>
      <c r="T336" s="25">
        <f t="shared" si="9"/>
        <v>6.7500000000000018E-2</v>
      </c>
      <c r="U336" s="1">
        <f t="shared" si="10"/>
        <v>3.0962066082217539</v>
      </c>
    </row>
    <row r="337" spans="1:21" ht="15">
      <c r="A337" s="64">
        <v>514.12744172863495</v>
      </c>
      <c r="B337" s="64">
        <v>517.72496855432234</v>
      </c>
      <c r="C337" s="64">
        <v>512.29459648270586</v>
      </c>
      <c r="D337" s="64">
        <v>517.52565958891034</v>
      </c>
      <c r="E337" s="64">
        <v>6031437.6601914996</v>
      </c>
      <c r="F337" s="64" t="s">
        <v>275</v>
      </c>
      <c r="G337" s="25">
        <f t="shared" si="11"/>
        <v>-6.5662789802050092E-3</v>
      </c>
      <c r="I337" s="64">
        <v>110.1</v>
      </c>
      <c r="J337" s="64">
        <v>121.94</v>
      </c>
      <c r="K337" s="64">
        <v>108.1285</v>
      </c>
      <c r="L337" s="64">
        <v>120.57</v>
      </c>
      <c r="M337" s="64">
        <v>13232158</v>
      </c>
      <c r="N337" s="64" t="s">
        <v>275</v>
      </c>
      <c r="O337" s="25">
        <f t="shared" si="12"/>
        <v>-8.6837521771584991E-2</v>
      </c>
      <c r="Q337" s="76">
        <v>7.2500000000000023E-2</v>
      </c>
      <c r="R337">
        <v>1</v>
      </c>
      <c r="T337" s="25">
        <f t="shared" si="9"/>
        <v>7.0000000000000021E-2</v>
      </c>
      <c r="U337" s="1">
        <f t="shared" si="10"/>
        <v>2.8454706434452213</v>
      </c>
    </row>
    <row r="338" spans="1:21" ht="15">
      <c r="A338" s="64">
        <v>519.60843827746612</v>
      </c>
      <c r="B338" s="64">
        <v>522.03004220722255</v>
      </c>
      <c r="C338" s="64">
        <v>515.29339917629545</v>
      </c>
      <c r="D338" s="64">
        <v>515.66212076230772</v>
      </c>
      <c r="E338" s="64">
        <v>6291581.5021547033</v>
      </c>
      <c r="F338" s="64" t="s">
        <v>276</v>
      </c>
      <c r="G338" s="25">
        <f t="shared" si="11"/>
        <v>7.6529133249587655E-3</v>
      </c>
      <c r="I338" s="64">
        <v>125.56</v>
      </c>
      <c r="J338" s="64">
        <v>142</v>
      </c>
      <c r="K338" s="64">
        <v>119.92</v>
      </c>
      <c r="L338" s="64">
        <v>123.62</v>
      </c>
      <c r="M338" s="64">
        <v>19261720</v>
      </c>
      <c r="N338" s="64" t="s">
        <v>276</v>
      </c>
      <c r="O338" s="25">
        <f t="shared" si="12"/>
        <v>1.5693253518848094E-2</v>
      </c>
      <c r="Q338" s="76">
        <v>7.5000000000000025E-2</v>
      </c>
      <c r="R338">
        <v>2</v>
      </c>
      <c r="T338" s="25">
        <f t="shared" si="9"/>
        <v>7.2500000000000023E-2</v>
      </c>
      <c r="U338" s="1">
        <f t="shared" si="10"/>
        <v>2.6066722505432365</v>
      </c>
    </row>
    <row r="339" spans="1:21" ht="15">
      <c r="A339" s="64">
        <v>515.6720862105783</v>
      </c>
      <c r="B339" s="64">
        <v>516.62876924455611</v>
      </c>
      <c r="C339" s="64">
        <v>509.07495945543968</v>
      </c>
      <c r="D339" s="64">
        <v>509.51343917934616</v>
      </c>
      <c r="E339" s="64">
        <v>7437960.4396382375</v>
      </c>
      <c r="F339" s="64" t="s">
        <v>277</v>
      </c>
      <c r="G339" s="25">
        <f t="shared" si="11"/>
        <v>1.2087310280081365E-2</v>
      </c>
      <c r="I339" s="64">
        <v>128.21</v>
      </c>
      <c r="J339" s="64">
        <v>130.83000000000001</v>
      </c>
      <c r="K339" s="64">
        <v>123.45</v>
      </c>
      <c r="L339" s="64">
        <v>126.51</v>
      </c>
      <c r="M339" s="64">
        <v>6818919</v>
      </c>
      <c r="N339" s="64" t="s">
        <v>277</v>
      </c>
      <c r="O339" s="25">
        <f t="shared" si="12"/>
        <v>1.3437672911232434E-2</v>
      </c>
      <c r="Q339" s="76">
        <v>7.7500000000000027E-2</v>
      </c>
      <c r="R339">
        <v>2</v>
      </c>
      <c r="T339" s="25">
        <f t="shared" si="9"/>
        <v>7.5000000000000025E-2</v>
      </c>
      <c r="U339" s="1">
        <f t="shared" si="10"/>
        <v>2.3802736617976876</v>
      </c>
    </row>
    <row r="340" spans="1:21" ht="15">
      <c r="A340" s="64">
        <v>505.2980545608815</v>
      </c>
      <c r="B340" s="64">
        <v>512.28383379857348</v>
      </c>
      <c r="C340" s="64">
        <v>503.67368649277336</v>
      </c>
      <c r="D340" s="64">
        <v>511.73573414369048</v>
      </c>
      <c r="E340" s="64">
        <v>21725060.842337649</v>
      </c>
      <c r="F340" s="64" t="s">
        <v>278</v>
      </c>
      <c r="G340" s="25">
        <f t="shared" si="11"/>
        <v>-1.2580086074273189E-2</v>
      </c>
      <c r="I340" s="64">
        <v>121.53</v>
      </c>
      <c r="J340" s="64">
        <v>131.68</v>
      </c>
      <c r="K340" s="64">
        <v>118.57</v>
      </c>
      <c r="L340" s="64">
        <v>130</v>
      </c>
      <c r="M340" s="64">
        <v>7288624</v>
      </c>
      <c r="N340" s="64" t="s">
        <v>278</v>
      </c>
      <c r="O340" s="25">
        <f t="shared" si="12"/>
        <v>-6.5153846153846118E-2</v>
      </c>
      <c r="Q340" s="76">
        <v>8.0000000000000029E-2</v>
      </c>
      <c r="R340">
        <v>0</v>
      </c>
      <c r="T340" s="25">
        <f t="shared" si="9"/>
        <v>7.7500000000000027E-2</v>
      </c>
      <c r="U340" s="1">
        <f t="shared" si="10"/>
        <v>2.1665838255071677</v>
      </c>
    </row>
    <row r="341" spans="1:21" ht="15">
      <c r="A341" s="64">
        <v>511.98487035045554</v>
      </c>
      <c r="B341" s="64">
        <v>515.95111876215515</v>
      </c>
      <c r="C341" s="64">
        <v>507.34097145635496</v>
      </c>
      <c r="D341" s="64">
        <v>515.10405565915403</v>
      </c>
      <c r="E341" s="64">
        <v>8620339.7646867074</v>
      </c>
      <c r="F341" s="64" t="s">
        <v>279</v>
      </c>
      <c r="G341" s="25">
        <f t="shared" si="11"/>
        <v>-6.0554470003288952E-3</v>
      </c>
      <c r="I341" s="64">
        <v>130.68</v>
      </c>
      <c r="J341" s="64">
        <v>136.47</v>
      </c>
      <c r="K341" s="64">
        <v>126.12</v>
      </c>
      <c r="L341" s="64">
        <v>134.79</v>
      </c>
      <c r="M341" s="64">
        <v>11368675</v>
      </c>
      <c r="N341" s="64" t="s">
        <v>279</v>
      </c>
      <c r="O341" s="25">
        <f t="shared" si="12"/>
        <v>-3.0491876251947381E-2</v>
      </c>
      <c r="Q341" s="76">
        <v>8.2500000000000032E-2</v>
      </c>
      <c r="R341">
        <v>1</v>
      </c>
      <c r="T341" s="25">
        <f t="shared" si="9"/>
        <v>8.0000000000000029E-2</v>
      </c>
      <c r="U341" s="1">
        <f t="shared" si="10"/>
        <v>1.965767928601623</v>
      </c>
    </row>
    <row r="342" spans="1:21" ht="15">
      <c r="A342" s="64">
        <v>509.51343917934616</v>
      </c>
      <c r="B342" s="64">
        <v>515.74174469398986</v>
      </c>
      <c r="C342" s="64">
        <v>505.77639607787034</v>
      </c>
      <c r="D342" s="64">
        <v>512.55290090187987</v>
      </c>
      <c r="E342" s="64">
        <v>11247777.014774196</v>
      </c>
      <c r="F342" s="64" t="s">
        <v>280</v>
      </c>
      <c r="G342" s="25">
        <f t="shared" si="11"/>
        <v>-5.9300449127992483E-3</v>
      </c>
      <c r="I342" s="64">
        <v>122.73</v>
      </c>
      <c r="J342" s="64">
        <v>123.49</v>
      </c>
      <c r="K342" s="64">
        <v>110</v>
      </c>
      <c r="L342" s="64">
        <v>111</v>
      </c>
      <c r="M342" s="64">
        <v>14629574</v>
      </c>
      <c r="N342" s="64" t="s">
        <v>280</v>
      </c>
      <c r="O342" s="25">
        <f t="shared" si="12"/>
        <v>0.10567567567567582</v>
      </c>
      <c r="Q342" s="76">
        <v>8.5000000000000034E-2</v>
      </c>
      <c r="R342">
        <v>0</v>
      </c>
      <c r="T342" s="25">
        <f t="shared" si="9"/>
        <v>8.2500000000000032E-2</v>
      </c>
      <c r="U342" s="1">
        <f t="shared" si="10"/>
        <v>1.7778582734060944</v>
      </c>
    </row>
    <row r="343" spans="1:21" ht="15">
      <c r="A343" s="64">
        <v>513.72882379781095</v>
      </c>
      <c r="B343" s="64">
        <v>521.89052593143413</v>
      </c>
      <c r="C343" s="64">
        <v>509.0649940071691</v>
      </c>
      <c r="D343" s="64">
        <v>520.09674524272566</v>
      </c>
      <c r="E343" s="64">
        <v>11215642.986148039</v>
      </c>
      <c r="F343" s="64" t="s">
        <v>281</v>
      </c>
      <c r="G343" s="25">
        <f t="shared" si="11"/>
        <v>-1.2243724851504045E-2</v>
      </c>
      <c r="I343" s="64">
        <v>107.29</v>
      </c>
      <c r="J343" s="64">
        <v>127.75</v>
      </c>
      <c r="K343" s="64">
        <v>105.51</v>
      </c>
      <c r="L343" s="64">
        <v>127.75</v>
      </c>
      <c r="M343" s="64">
        <v>20956740</v>
      </c>
      <c r="N343" s="64" t="s">
        <v>281</v>
      </c>
      <c r="O343" s="25">
        <f t="shared" si="12"/>
        <v>-0.16015655577299404</v>
      </c>
      <c r="Q343" s="76">
        <v>8.7500000000000036E-2</v>
      </c>
      <c r="R343">
        <v>1</v>
      </c>
      <c r="T343" s="25">
        <f t="shared" si="9"/>
        <v>8.5000000000000034E-2</v>
      </c>
      <c r="U343" s="1">
        <f t="shared" si="10"/>
        <v>1.6027661882302617</v>
      </c>
    </row>
    <row r="344" spans="1:21" ht="15">
      <c r="A344" s="64">
        <v>527.68045137665388</v>
      </c>
      <c r="B344" s="64">
        <v>529.04571778972638</v>
      </c>
      <c r="C344" s="64">
        <v>518.33286089882904</v>
      </c>
      <c r="D344" s="64">
        <v>523.08637972390625</v>
      </c>
      <c r="E344" s="64">
        <v>7333618.9216487836</v>
      </c>
      <c r="F344" s="64" t="s">
        <v>282</v>
      </c>
      <c r="G344" s="25">
        <f t="shared" si="11"/>
        <v>8.782625261954724E-3</v>
      </c>
      <c r="I344" s="64">
        <v>133.97999999999999</v>
      </c>
      <c r="J344" s="64">
        <v>148.30000000000001</v>
      </c>
      <c r="K344" s="64">
        <v>131.26</v>
      </c>
      <c r="L344" s="64">
        <v>147.02000000000001</v>
      </c>
      <c r="M344" s="64">
        <v>13834948</v>
      </c>
      <c r="N344" s="64" t="s">
        <v>282</v>
      </c>
      <c r="O344" s="25">
        <f t="shared" si="12"/>
        <v>-8.8695415589715831E-2</v>
      </c>
      <c r="Q344" s="76">
        <v>9.0000000000000038E-2</v>
      </c>
      <c r="R344">
        <v>0</v>
      </c>
      <c r="T344" s="25">
        <f t="shared" si="9"/>
        <v>8.7500000000000036E-2</v>
      </c>
      <c r="U344" s="1">
        <f t="shared" si="10"/>
        <v>1.4402946586007903</v>
      </c>
    </row>
    <row r="345" spans="1:21" ht="15">
      <c r="A345" s="64">
        <v>524.85026406780287</v>
      </c>
      <c r="B345" s="64">
        <v>531.58690709872985</v>
      </c>
      <c r="C345" s="64">
        <v>522.4087292415054</v>
      </c>
      <c r="D345" s="64">
        <v>527.36155703199472</v>
      </c>
      <c r="E345" s="64">
        <v>7253989.7892252151</v>
      </c>
      <c r="F345" s="64" t="s">
        <v>283</v>
      </c>
      <c r="G345" s="25">
        <f t="shared" si="11"/>
        <v>-4.7619947466885915E-3</v>
      </c>
      <c r="I345" s="64">
        <v>150.72</v>
      </c>
      <c r="J345" s="64">
        <v>166.11</v>
      </c>
      <c r="K345" s="64">
        <v>150.53</v>
      </c>
      <c r="L345" s="64">
        <v>160.5</v>
      </c>
      <c r="M345" s="64">
        <v>5336036</v>
      </c>
      <c r="N345" s="64" t="s">
        <v>283</v>
      </c>
      <c r="O345" s="25">
        <f t="shared" si="12"/>
        <v>-6.093457943925229E-2</v>
      </c>
      <c r="Q345" s="76">
        <v>9.2500000000000041E-2</v>
      </c>
      <c r="R345">
        <v>1</v>
      </c>
      <c r="T345" s="25">
        <f t="shared" si="9"/>
        <v>9.0000000000000038E-2</v>
      </c>
      <c r="U345" s="1">
        <f t="shared" si="10"/>
        <v>1.2901513800508955</v>
      </c>
    </row>
    <row r="346" spans="1:21" ht="15">
      <c r="A346" s="64">
        <v>534.54664523509871</v>
      </c>
      <c r="B346" s="64">
        <v>535.93194219919519</v>
      </c>
      <c r="C346" s="64">
        <v>525.10936572283845</v>
      </c>
      <c r="D346" s="64">
        <v>528.41789454867842</v>
      </c>
      <c r="E346" s="64">
        <v>6243316.7390512833</v>
      </c>
      <c r="F346" s="64" t="s">
        <v>284</v>
      </c>
      <c r="G346" s="25">
        <f t="shared" si="11"/>
        <v>1.1598302687411577E-2</v>
      </c>
      <c r="I346" s="64">
        <v>168.52</v>
      </c>
      <c r="J346" s="64">
        <v>169.99</v>
      </c>
      <c r="K346" s="64">
        <v>158.31729999999999</v>
      </c>
      <c r="L346" s="64">
        <v>161</v>
      </c>
      <c r="M346" s="64">
        <v>4355851</v>
      </c>
      <c r="N346" s="64" t="s">
        <v>284</v>
      </c>
      <c r="O346" s="25">
        <f t="shared" si="12"/>
        <v>4.6708074534161481E-2</v>
      </c>
      <c r="Q346" s="76">
        <v>9.5000000000000043E-2</v>
      </c>
      <c r="R346">
        <v>0</v>
      </c>
      <c r="T346" s="25">
        <f t="shared" si="9"/>
        <v>9.2500000000000041E-2</v>
      </c>
      <c r="U346" s="1">
        <f t="shared" si="10"/>
        <v>1.1519619533975662</v>
      </c>
    </row>
    <row r="347" spans="1:21" ht="15">
      <c r="A347" s="64">
        <v>528.61720351409053</v>
      </c>
      <c r="B347" s="64">
        <v>536.42004985548931</v>
      </c>
      <c r="C347" s="64">
        <v>524.34202620600217</v>
      </c>
      <c r="D347" s="64">
        <v>531.21818551271758</v>
      </c>
      <c r="E347" s="64">
        <v>10513761.865493005</v>
      </c>
      <c r="F347" s="64" t="s">
        <v>285</v>
      </c>
      <c r="G347" s="25">
        <f t="shared" si="11"/>
        <v>-4.8962593329079374E-3</v>
      </c>
      <c r="I347" s="64">
        <v>159.16999999999999</v>
      </c>
      <c r="J347" s="64">
        <v>164.65</v>
      </c>
      <c r="K347" s="64">
        <v>148.26509999999999</v>
      </c>
      <c r="L347" s="64">
        <v>157.86000000000001</v>
      </c>
      <c r="M347" s="64">
        <v>7780740</v>
      </c>
      <c r="N347" s="64" t="s">
        <v>285</v>
      </c>
      <c r="O347" s="25">
        <f t="shared" si="12"/>
        <v>8.2984923349802564E-3</v>
      </c>
      <c r="Q347" s="76">
        <v>9.7500000000000045E-2</v>
      </c>
      <c r="R347">
        <v>1</v>
      </c>
      <c r="T347" s="25">
        <f t="shared" si="9"/>
        <v>9.5000000000000043E-2</v>
      </c>
      <c r="U347" s="1">
        <f t="shared" si="10"/>
        <v>1.0252829682521625</v>
      </c>
    </row>
    <row r="348" spans="1:21" ht="15">
      <c r="A348" s="64">
        <v>535.06484854517009</v>
      </c>
      <c r="B348" s="64">
        <v>547.39210805590494</v>
      </c>
      <c r="C348" s="64">
        <v>531.40852557468611</v>
      </c>
      <c r="D348" s="64">
        <v>546.3058741944094</v>
      </c>
      <c r="E348" s="64">
        <v>7315273.535165838</v>
      </c>
      <c r="F348" s="64" t="s">
        <v>286</v>
      </c>
      <c r="G348" s="25">
        <f t="shared" si="11"/>
        <v>-2.0576431959139163E-2</v>
      </c>
      <c r="I348" s="64">
        <v>162.44999999999999</v>
      </c>
      <c r="J348" s="64">
        <v>174.22</v>
      </c>
      <c r="K348" s="64">
        <v>160.4</v>
      </c>
      <c r="L348" s="64">
        <v>165.45500000000001</v>
      </c>
      <c r="M348" s="64">
        <v>7176780</v>
      </c>
      <c r="N348" s="64" t="s">
        <v>286</v>
      </c>
      <c r="O348" s="25">
        <f t="shared" si="12"/>
        <v>-1.8162038016379167E-2</v>
      </c>
      <c r="Q348" s="76">
        <v>0.10000000000000005</v>
      </c>
      <c r="R348">
        <v>0</v>
      </c>
      <c r="T348" s="25">
        <f t="shared" si="9"/>
        <v>9.7500000000000045E-2</v>
      </c>
      <c r="U348" s="1">
        <f t="shared" si="10"/>
        <v>0.90961474897026795</v>
      </c>
    </row>
    <row r="349" spans="1:21" ht="15">
      <c r="A349" s="64">
        <v>544.44233536780678</v>
      </c>
      <c r="B349" s="64">
        <v>545.00040047096036</v>
      </c>
      <c r="C349" s="64">
        <v>533.72947847690943</v>
      </c>
      <c r="D349" s="64">
        <v>536.55966578576033</v>
      </c>
      <c r="E349" s="64">
        <v>7353458.470721879</v>
      </c>
      <c r="F349" s="64" t="s">
        <v>287</v>
      </c>
      <c r="G349" s="25">
        <f t="shared" si="11"/>
        <v>1.4691133315998917E-2</v>
      </c>
      <c r="I349" s="64">
        <v>161.78</v>
      </c>
      <c r="J349" s="64">
        <v>163.38</v>
      </c>
      <c r="K349" s="64">
        <v>155.44999999999999</v>
      </c>
      <c r="L349" s="64">
        <v>156.9</v>
      </c>
      <c r="M349" s="64">
        <v>9356938</v>
      </c>
      <c r="N349" s="64" t="s">
        <v>287</v>
      </c>
      <c r="O349" s="25">
        <f t="shared" si="12"/>
        <v>3.1102613129381673E-2</v>
      </c>
      <c r="Q349" s="76">
        <v>0.10250000000000005</v>
      </c>
      <c r="R349">
        <v>0</v>
      </c>
      <c r="T349" s="25">
        <f t="shared" si="9"/>
        <v>0.10000000000000005</v>
      </c>
      <c r="U349" s="1">
        <f t="shared" si="10"/>
        <v>0.80441356820364152</v>
      </c>
    </row>
    <row r="350" spans="1:21" ht="15">
      <c r="A350" s="64">
        <v>536.11122061358333</v>
      </c>
      <c r="B350" s="64">
        <v>547.98006950387048</v>
      </c>
      <c r="C350" s="64">
        <v>535.74249902757106</v>
      </c>
      <c r="D350" s="64">
        <v>546.93369743545725</v>
      </c>
      <c r="E350" s="64">
        <v>5540494.3662071563</v>
      </c>
      <c r="F350" s="64" t="s">
        <v>288</v>
      </c>
      <c r="G350" s="25">
        <f t="shared" si="11"/>
        <v>-1.9787548056775295E-2</v>
      </c>
      <c r="I350" s="64">
        <v>159.78</v>
      </c>
      <c r="J350" s="64">
        <v>172.14</v>
      </c>
      <c r="K350" s="64">
        <v>156</v>
      </c>
      <c r="L350" s="64">
        <v>170.41</v>
      </c>
      <c r="M350" s="64">
        <v>5342560</v>
      </c>
      <c r="N350" s="64" t="s">
        <v>288</v>
      </c>
      <c r="O350" s="25">
        <f t="shared" si="12"/>
        <v>-6.23789683704008E-2</v>
      </c>
      <c r="Q350" s="76">
        <v>0.10500000000000005</v>
      </c>
      <c r="R350">
        <v>0</v>
      </c>
      <c r="T350" s="25">
        <f t="shared" si="9"/>
        <v>0.10250000000000005</v>
      </c>
      <c r="U350" s="1">
        <f t="shared" si="10"/>
        <v>0.70910316556697739</v>
      </c>
    </row>
    <row r="351" spans="1:21" ht="15">
      <c r="A351" s="64">
        <v>544.86088419517193</v>
      </c>
      <c r="B351" s="64">
        <v>549.4400076755137</v>
      </c>
      <c r="C351" s="64">
        <v>542.36952212752146</v>
      </c>
      <c r="D351" s="64">
        <v>546.11653067726786</v>
      </c>
      <c r="E351" s="64">
        <v>4195298.4817886017</v>
      </c>
      <c r="F351" s="64" t="s">
        <v>289</v>
      </c>
      <c r="G351" s="25">
        <f t="shared" si="11"/>
        <v>-2.2992281162753647E-3</v>
      </c>
      <c r="I351" s="64">
        <v>168.1</v>
      </c>
      <c r="J351" s="64">
        <v>170.3</v>
      </c>
      <c r="K351" s="64">
        <v>161.22</v>
      </c>
      <c r="L351" s="64">
        <v>161.96</v>
      </c>
      <c r="M351" s="64">
        <v>6358362</v>
      </c>
      <c r="N351" s="64" t="s">
        <v>289</v>
      </c>
      <c r="O351" s="25">
        <f t="shared" si="12"/>
        <v>3.7910595208693332E-2</v>
      </c>
      <c r="Q351" s="76">
        <v>0.10750000000000005</v>
      </c>
      <c r="R351">
        <v>2</v>
      </c>
      <c r="T351" s="25">
        <f t="shared" si="9"/>
        <v>0.10500000000000005</v>
      </c>
      <c r="U351" s="1">
        <f t="shared" si="10"/>
        <v>0.62308544164695556</v>
      </c>
    </row>
    <row r="352" spans="1:21" ht="15">
      <c r="A352" s="64">
        <v>544.52205895397151</v>
      </c>
      <c r="B352" s="64">
        <v>547.87044957289379</v>
      </c>
      <c r="C352" s="64">
        <v>540.2951144155129</v>
      </c>
      <c r="D352" s="64">
        <v>547.28248812492825</v>
      </c>
      <c r="E352" s="64">
        <v>5510533.8474334273</v>
      </c>
      <c r="F352" s="64" t="s">
        <v>290</v>
      </c>
      <c r="G352" s="25">
        <f t="shared" si="11"/>
        <v>-5.0438836082886684E-3</v>
      </c>
      <c r="I352" s="64">
        <v>159.99</v>
      </c>
      <c r="J352" s="64">
        <v>166.99</v>
      </c>
      <c r="K352" s="64">
        <v>154.74</v>
      </c>
      <c r="L352" s="64">
        <v>164</v>
      </c>
      <c r="M352" s="64">
        <v>6115769</v>
      </c>
      <c r="N352" s="64" t="s">
        <v>290</v>
      </c>
      <c r="O352" s="25">
        <f t="shared" si="12"/>
        <v>-2.4451219512195088E-2</v>
      </c>
      <c r="Q352" s="76">
        <v>0.11000000000000006</v>
      </c>
      <c r="R352">
        <v>1</v>
      </c>
      <c r="T352" s="25">
        <f t="shared" si="9"/>
        <v>0.10750000000000005</v>
      </c>
      <c r="U352" s="1">
        <f t="shared" si="10"/>
        <v>0.5457502297344704</v>
      </c>
    </row>
    <row r="353" spans="1:21" ht="15">
      <c r="A353" s="64">
        <v>547.24262633184594</v>
      </c>
      <c r="B353" s="64">
        <v>552.59407205315927</v>
      </c>
      <c r="C353" s="64">
        <v>546.61809168872719</v>
      </c>
      <c r="D353" s="64">
        <v>551.69718170880503</v>
      </c>
      <c r="E353" s="64">
        <v>4788801.1360994671</v>
      </c>
      <c r="F353" s="64" t="s">
        <v>291</v>
      </c>
      <c r="G353" s="25">
        <f t="shared" si="11"/>
        <v>-8.0742761149544817E-3</v>
      </c>
      <c r="I353" s="64">
        <v>165.57</v>
      </c>
      <c r="J353" s="64">
        <v>166.38</v>
      </c>
      <c r="K353" s="64">
        <v>154.19999999999999</v>
      </c>
      <c r="L353" s="64">
        <v>164.77</v>
      </c>
      <c r="M353" s="64">
        <v>7908151</v>
      </c>
      <c r="N353" s="64" t="s">
        <v>291</v>
      </c>
      <c r="O353" s="25">
        <f t="shared" si="12"/>
        <v>4.8552527765974851E-3</v>
      </c>
      <c r="Q353" s="76">
        <v>0.11250000000000006</v>
      </c>
      <c r="R353">
        <v>0</v>
      </c>
      <c r="T353" s="25">
        <f t="shared" si="9"/>
        <v>0.11000000000000006</v>
      </c>
      <c r="U353" s="1">
        <f t="shared" si="10"/>
        <v>0.47648407844795027</v>
      </c>
    </row>
    <row r="354" spans="1:21" ht="15">
      <c r="A354" s="64">
        <v>549.8436083304731</v>
      </c>
      <c r="B354" s="64">
        <v>559.2609569461921</v>
      </c>
      <c r="C354" s="64">
        <v>549.36028408934885</v>
      </c>
      <c r="D354" s="64">
        <v>559.16130246348609</v>
      </c>
      <c r="E354" s="64">
        <v>6170012.4600902461</v>
      </c>
      <c r="F354" s="64" t="s">
        <v>292</v>
      </c>
      <c r="G354" s="25">
        <f t="shared" si="11"/>
        <v>-1.6663696310817988E-2</v>
      </c>
      <c r="I354" s="64">
        <v>166.4</v>
      </c>
      <c r="J354" s="64">
        <v>176.505</v>
      </c>
      <c r="K354" s="64">
        <v>161.88300000000001</v>
      </c>
      <c r="L354" s="64">
        <v>175.5</v>
      </c>
      <c r="M354" s="64">
        <v>9938974</v>
      </c>
      <c r="N354" s="64" t="s">
        <v>292</v>
      </c>
      <c r="O354" s="25">
        <f t="shared" si="12"/>
        <v>-5.1851851851851816E-2</v>
      </c>
      <c r="Q354" s="76">
        <v>0.11500000000000006</v>
      </c>
      <c r="R354">
        <v>1</v>
      </c>
      <c r="T354" s="25">
        <f t="shared" si="9"/>
        <v>0.11250000000000006</v>
      </c>
      <c r="U354" s="1">
        <f t="shared" si="10"/>
        <v>0.41467800716499609</v>
      </c>
    </row>
    <row r="355" spans="1:21" ht="15">
      <c r="A355" s="64">
        <v>559.3606114288981</v>
      </c>
      <c r="B355" s="64">
        <v>560.54101877655091</v>
      </c>
      <c r="C355" s="64">
        <v>556.29125336155266</v>
      </c>
      <c r="D355" s="64">
        <v>560.44684529039375</v>
      </c>
      <c r="E355" s="64">
        <v>4462199.6715570865</v>
      </c>
      <c r="F355" s="64" t="s">
        <v>293</v>
      </c>
      <c r="G355" s="25">
        <f t="shared" si="11"/>
        <v>-1.9381567951066714E-3</v>
      </c>
      <c r="I355" s="64">
        <v>175.44</v>
      </c>
      <c r="J355" s="64">
        <v>187.75</v>
      </c>
      <c r="K355" s="64">
        <v>170.6</v>
      </c>
      <c r="L355" s="64">
        <v>187.7</v>
      </c>
      <c r="M355" s="64">
        <v>10625813</v>
      </c>
      <c r="N355" s="64" t="s">
        <v>293</v>
      </c>
      <c r="O355" s="25">
        <f t="shared" si="12"/>
        <v>-6.531699520511447E-2</v>
      </c>
      <c r="Q355" s="76">
        <v>0.11750000000000006</v>
      </c>
      <c r="R355">
        <v>0</v>
      </c>
      <c r="T355" s="25">
        <f t="shared" si="9"/>
        <v>0.11500000000000006</v>
      </c>
      <c r="U355" s="1">
        <f t="shared" si="10"/>
        <v>0.35973422236029917</v>
      </c>
    </row>
    <row r="356" spans="1:21" ht="15">
      <c r="A356" s="64">
        <v>561.72242266903072</v>
      </c>
      <c r="B356" s="64">
        <v>561.97155887579584</v>
      </c>
      <c r="C356" s="64">
        <v>558.5942684568887</v>
      </c>
      <c r="D356" s="64">
        <v>559.08157887732125</v>
      </c>
      <c r="E356" s="64">
        <v>3870935.7524635624</v>
      </c>
      <c r="F356" s="64" t="s">
        <v>294</v>
      </c>
      <c r="G356" s="25">
        <f t="shared" si="11"/>
        <v>4.7235392677620336E-3</v>
      </c>
      <c r="I356" s="64">
        <v>189.66</v>
      </c>
      <c r="J356" s="64">
        <v>190.91739999999999</v>
      </c>
      <c r="K356" s="64">
        <v>183.96</v>
      </c>
      <c r="L356" s="64">
        <v>185.5</v>
      </c>
      <c r="M356" s="64">
        <v>4444134</v>
      </c>
      <c r="N356" s="64" t="s">
        <v>294</v>
      </c>
      <c r="O356" s="25">
        <f t="shared" si="12"/>
        <v>2.2425876010781609E-2</v>
      </c>
      <c r="Q356" s="76">
        <v>0.12000000000000006</v>
      </c>
      <c r="R356">
        <v>2</v>
      </c>
      <c r="T356" s="25">
        <f t="shared" si="9"/>
        <v>0.11750000000000006</v>
      </c>
      <c r="U356" s="1">
        <f t="shared" si="10"/>
        <v>0.3110718061701202</v>
      </c>
    </row>
    <row r="357" spans="1:21" ht="15">
      <c r="A357" s="64">
        <v>560.36712170422891</v>
      </c>
      <c r="B357" s="64">
        <v>560.36712170422891</v>
      </c>
      <c r="C357" s="64">
        <v>557.55686529191917</v>
      </c>
      <c r="D357" s="64">
        <v>559.85888384242821</v>
      </c>
      <c r="E357" s="64">
        <v>3858235.8721808712</v>
      </c>
      <c r="F357" s="64" t="s">
        <v>295</v>
      </c>
      <c r="G357" s="25">
        <f t="shared" si="11"/>
        <v>9.077963688144397E-4</v>
      </c>
      <c r="I357" s="64">
        <v>187.13</v>
      </c>
      <c r="J357" s="64">
        <v>196.75800000000001</v>
      </c>
      <c r="K357" s="64">
        <v>183.8</v>
      </c>
      <c r="L357" s="64">
        <v>193.4</v>
      </c>
      <c r="M357" s="64">
        <v>9020178</v>
      </c>
      <c r="N357" s="64" t="s">
        <v>295</v>
      </c>
      <c r="O357" s="25">
        <f t="shared" si="12"/>
        <v>-3.2419855222337146E-2</v>
      </c>
      <c r="Q357" s="76">
        <v>0.12250000000000007</v>
      </c>
      <c r="R357">
        <v>0</v>
      </c>
      <c r="T357" s="25">
        <f t="shared" si="9"/>
        <v>0.12000000000000006</v>
      </c>
      <c r="U357" s="1">
        <f t="shared" si="10"/>
        <v>0.26813140851421263</v>
      </c>
    </row>
    <row r="358" spans="1:21" ht="15">
      <c r="A358" s="64">
        <v>558.7527190843914</v>
      </c>
      <c r="B358" s="64">
        <v>559.91867653205179</v>
      </c>
      <c r="C358" s="64">
        <v>558.13486129161413</v>
      </c>
      <c r="D358" s="64">
        <v>558.96199349807398</v>
      </c>
      <c r="E358" s="64">
        <v>3392290.9519008892</v>
      </c>
      <c r="F358" s="64" t="s">
        <v>296</v>
      </c>
      <c r="G358" s="25">
        <f t="shared" si="11"/>
        <v>-3.7439828846486112E-4</v>
      </c>
      <c r="I358" s="64">
        <v>196.38</v>
      </c>
      <c r="J358" s="64">
        <v>203.95</v>
      </c>
      <c r="K358" s="64">
        <v>192.5701</v>
      </c>
      <c r="L358" s="64">
        <v>202</v>
      </c>
      <c r="M358" s="64">
        <v>8424934</v>
      </c>
      <c r="N358" s="64" t="s">
        <v>296</v>
      </c>
      <c r="O358" s="25">
        <f t="shared" si="12"/>
        <v>-2.7821782178217846E-2</v>
      </c>
      <c r="Q358" s="76">
        <v>0.12500000000000006</v>
      </c>
      <c r="R358">
        <v>0</v>
      </c>
      <c r="T358" s="25">
        <f t="shared" si="9"/>
        <v>0.12250000000000007</v>
      </c>
      <c r="U358" s="1">
        <f t="shared" si="10"/>
        <v>0.23037899077952292</v>
      </c>
    </row>
    <row r="359" spans="1:21" ht="15">
      <c r="A359" s="64">
        <v>558.73278818785013</v>
      </c>
      <c r="B359" s="64">
        <v>558.94206260153283</v>
      </c>
      <c r="C359" s="64">
        <v>552.7784328461654</v>
      </c>
      <c r="D359" s="64">
        <v>553.94937301796119</v>
      </c>
      <c r="E359" s="64">
        <v>3400246.4394863169</v>
      </c>
      <c r="F359" s="64" t="s">
        <v>297</v>
      </c>
      <c r="G359" s="25">
        <f t="shared" si="11"/>
        <v>8.6351125263099959E-3</v>
      </c>
      <c r="I359" s="64">
        <v>204.95</v>
      </c>
      <c r="J359" s="64">
        <v>214.3</v>
      </c>
      <c r="K359" s="64">
        <v>195.98</v>
      </c>
      <c r="L359" s="64">
        <v>203.91499999999999</v>
      </c>
      <c r="M359" s="64">
        <v>21066721</v>
      </c>
      <c r="N359" s="64" t="s">
        <v>297</v>
      </c>
      <c r="O359" s="25">
        <f t="shared" si="12"/>
        <v>5.0756442635411236E-3</v>
      </c>
      <c r="Q359" s="76">
        <v>0.12750000000000006</v>
      </c>
      <c r="R359">
        <v>0</v>
      </c>
      <c r="T359" s="25">
        <f t="shared" si="9"/>
        <v>0.12500000000000006</v>
      </c>
      <c r="U359" s="1">
        <f t="shared" si="10"/>
        <v>0.19730868239634261</v>
      </c>
    </row>
    <row r="360" spans="1:21" ht="15">
      <c r="A360" s="64">
        <v>552.89303550127727</v>
      </c>
      <c r="B360" s="64">
        <v>553.99421753517879</v>
      </c>
      <c r="C360" s="64">
        <v>548.48830736567118</v>
      </c>
      <c r="D360" s="64">
        <v>549.09619971017787</v>
      </c>
      <c r="E360" s="64">
        <v>3591893.6136163576</v>
      </c>
      <c r="F360" s="64" t="s">
        <v>298</v>
      </c>
      <c r="G360" s="25">
        <f t="shared" si="11"/>
        <v>6.9147005444645249E-3</v>
      </c>
      <c r="I360" s="64">
        <v>216.47</v>
      </c>
      <c r="J360" s="64">
        <v>220.75</v>
      </c>
      <c r="K360" s="64">
        <v>211</v>
      </c>
      <c r="L360" s="64">
        <v>213.6</v>
      </c>
      <c r="M360" s="64">
        <v>11245549</v>
      </c>
      <c r="N360" s="64" t="s">
        <v>298</v>
      </c>
      <c r="O360" s="25">
        <f t="shared" si="12"/>
        <v>1.3436329588015106E-2</v>
      </c>
      <c r="Q360" s="76">
        <v>0.13000000000000006</v>
      </c>
      <c r="R360">
        <v>0</v>
      </c>
      <c r="T360" s="25">
        <f t="shared" si="9"/>
        <v>0.12750000000000006</v>
      </c>
      <c r="U360" s="1">
        <f t="shared" si="10"/>
        <v>0.16844482170768363</v>
      </c>
    </row>
    <row r="361" spans="1:21" ht="15">
      <c r="A361" s="64">
        <v>554.72667798306804</v>
      </c>
      <c r="B361" s="64">
        <v>555.19007132765114</v>
      </c>
      <c r="C361" s="64">
        <v>552.07586874308799</v>
      </c>
      <c r="D361" s="64">
        <v>552.18548867406457</v>
      </c>
      <c r="E361" s="64">
        <v>2762467.8040034226</v>
      </c>
      <c r="F361" s="64" t="s">
        <v>299</v>
      </c>
      <c r="G361" s="25">
        <f t="shared" si="11"/>
        <v>4.6020573903626794E-3</v>
      </c>
      <c r="I361" s="64">
        <v>213.76</v>
      </c>
      <c r="J361" s="64">
        <v>222.48</v>
      </c>
      <c r="K361" s="64">
        <v>211.33</v>
      </c>
      <c r="L361" s="64">
        <v>222.03</v>
      </c>
      <c r="M361" s="64">
        <v>6210474</v>
      </c>
      <c r="N361" s="64" t="s">
        <v>299</v>
      </c>
      <c r="O361" s="25">
        <f t="shared" si="12"/>
        <v>-3.7247218844300378E-2</v>
      </c>
      <c r="Q361" s="76">
        <v>0.13250000000000006</v>
      </c>
      <c r="R361">
        <v>0</v>
      </c>
      <c r="T361" s="25">
        <f t="shared" si="9"/>
        <v>0.13000000000000006</v>
      </c>
      <c r="U361" s="1">
        <f t="shared" si="10"/>
        <v>0.14334325952169372</v>
      </c>
    </row>
    <row r="362" spans="1:21" ht="15">
      <c r="A362" s="64">
        <v>554.22840556953793</v>
      </c>
      <c r="B362" s="64">
        <v>554.85174435886415</v>
      </c>
      <c r="C362" s="64">
        <v>552.325004949853</v>
      </c>
      <c r="D362" s="64">
        <v>553.52085874232534</v>
      </c>
      <c r="E362" s="64">
        <v>3529747.8893916928</v>
      </c>
      <c r="F362" s="64" t="s">
        <v>300</v>
      </c>
      <c r="G362" s="25">
        <f t="shared" si="11"/>
        <v>1.2782658793026869E-3</v>
      </c>
      <c r="I362" s="64">
        <v>224.93</v>
      </c>
      <c r="J362" s="64">
        <v>230.41</v>
      </c>
      <c r="K362" s="64">
        <v>221.5001</v>
      </c>
      <c r="L362" s="64">
        <v>228.8</v>
      </c>
      <c r="M362" s="64">
        <v>4314758</v>
      </c>
      <c r="N362" s="64" t="s">
        <v>300</v>
      </c>
      <c r="O362" s="25">
        <f t="shared" si="12"/>
        <v>-1.6914335664335645E-2</v>
      </c>
      <c r="Q362" s="76">
        <v>0.13500000000000006</v>
      </c>
      <c r="R362">
        <v>0</v>
      </c>
      <c r="T362" s="25">
        <f t="shared" si="9"/>
        <v>0.13250000000000006</v>
      </c>
      <c r="U362" s="1">
        <f t="shared" si="10"/>
        <v>0.12159200788724792</v>
      </c>
    </row>
    <row r="363" spans="1:21" ht="15.75" thickBot="1">
      <c r="A363" s="64">
        <v>550.29205350265022</v>
      </c>
      <c r="B363" s="64">
        <v>557.26786729207174</v>
      </c>
      <c r="C363" s="64">
        <v>549.8884528476907</v>
      </c>
      <c r="D363" s="64">
        <v>556.17166798230539</v>
      </c>
      <c r="E363" s="64">
        <v>10196785.657877898</v>
      </c>
      <c r="F363" s="64" t="s">
        <v>301</v>
      </c>
      <c r="G363" s="25">
        <f t="shared" si="11"/>
        <v>-1.057158215373577E-2</v>
      </c>
      <c r="I363" s="64">
        <v>225.23</v>
      </c>
      <c r="J363" s="64">
        <v>227.05</v>
      </c>
      <c r="K363" s="64">
        <v>218.20009999999999</v>
      </c>
      <c r="L363" s="64">
        <v>218.59</v>
      </c>
      <c r="M363" s="64">
        <v>5448021</v>
      </c>
      <c r="N363" s="64" t="s">
        <v>301</v>
      </c>
      <c r="O363" s="25">
        <f t="shared" si="12"/>
        <v>3.0376503957179946E-2</v>
      </c>
      <c r="Q363" s="77" t="s">
        <v>587</v>
      </c>
      <c r="R363" s="77">
        <v>3</v>
      </c>
      <c r="T363" s="25">
        <f t="shared" si="9"/>
        <v>0.13500000000000006</v>
      </c>
      <c r="U363" s="1">
        <f t="shared" si="10"/>
        <v>0.10281131823668721</v>
      </c>
    </row>
    <row r="364" spans="1:21">
      <c r="A364" s="64">
        <v>555.69332646531655</v>
      </c>
      <c r="B364" s="64">
        <v>555.72322281012828</v>
      </c>
      <c r="C364" s="64">
        <v>552.2751777085</v>
      </c>
      <c r="D364" s="64">
        <v>555.36446667238658</v>
      </c>
      <c r="E364" s="64">
        <v>3618802.5887791775</v>
      </c>
      <c r="F364" s="64" t="s">
        <v>302</v>
      </c>
      <c r="G364" s="25">
        <f t="shared" si="11"/>
        <v>5.9215130363021728E-4</v>
      </c>
      <c r="I364" s="64">
        <v>216.51</v>
      </c>
      <c r="J364" s="64">
        <v>222.44</v>
      </c>
      <c r="K364" s="64">
        <v>209</v>
      </c>
      <c r="L364" s="64">
        <v>222.44</v>
      </c>
      <c r="M364" s="64">
        <v>6409250</v>
      </c>
      <c r="N364" s="64" t="s">
        <v>302</v>
      </c>
      <c r="O364" s="25">
        <f t="shared" si="12"/>
        <v>-2.6658874303182922E-2</v>
      </c>
      <c r="T364" s="25">
        <f t="shared" si="9"/>
        <v>0.13750000000000007</v>
      </c>
      <c r="U364" s="1">
        <f t="shared" si="10"/>
        <v>8.6653272422666613E-2</v>
      </c>
    </row>
    <row r="365" spans="1:21">
      <c r="A365" s="64">
        <v>553.70023681119608</v>
      </c>
      <c r="B365" s="64">
        <v>553.80985674217277</v>
      </c>
      <c r="C365" s="64">
        <v>548.50823826221233</v>
      </c>
      <c r="D365" s="64">
        <v>550.43156977843864</v>
      </c>
      <c r="E365" s="64">
        <v>3436056.1682922682</v>
      </c>
      <c r="F365" s="64" t="s">
        <v>303</v>
      </c>
      <c r="G365" s="25">
        <f t="shared" si="11"/>
        <v>5.9383712930440868E-3</v>
      </c>
      <c r="I365" s="64">
        <v>221.16</v>
      </c>
      <c r="J365" s="64">
        <v>221.18</v>
      </c>
      <c r="K365" s="64">
        <v>211</v>
      </c>
      <c r="L365" s="64">
        <v>213.5</v>
      </c>
      <c r="M365" s="64">
        <v>3563599</v>
      </c>
      <c r="N365" s="64" t="s">
        <v>303</v>
      </c>
      <c r="O365" s="25">
        <f t="shared" si="12"/>
        <v>3.5878220140515227E-2</v>
      </c>
    </row>
    <row r="366" spans="1:21">
      <c r="A366" s="64">
        <v>551.43808005376945</v>
      </c>
      <c r="B366" s="64">
        <v>551.9164215707583</v>
      </c>
      <c r="C366" s="64">
        <v>547.33231536628136</v>
      </c>
      <c r="D366" s="64">
        <v>547.80069143499964</v>
      </c>
      <c r="E366" s="64">
        <v>4195910.5967516582</v>
      </c>
      <c r="F366" s="64" t="s">
        <v>304</v>
      </c>
      <c r="G366" s="25">
        <f t="shared" si="11"/>
        <v>6.6399854466072661E-3</v>
      </c>
      <c r="I366" s="64">
        <v>215.31</v>
      </c>
      <c r="J366" s="64">
        <v>218.25</v>
      </c>
      <c r="K366" s="64">
        <v>207.143</v>
      </c>
      <c r="L366" s="64">
        <v>208.86500000000001</v>
      </c>
      <c r="M366" s="64">
        <v>5509422</v>
      </c>
      <c r="N366" s="64" t="s">
        <v>304</v>
      </c>
      <c r="O366" s="25">
        <f t="shared" si="12"/>
        <v>3.0857252292150417E-2</v>
      </c>
    </row>
    <row r="367" spans="1:21">
      <c r="A367" s="64">
        <v>547.80069143499964</v>
      </c>
      <c r="B367" s="64">
        <v>550.05278308967297</v>
      </c>
      <c r="C367" s="64">
        <v>541.10391019715496</v>
      </c>
      <c r="D367" s="64">
        <v>543.106965299546</v>
      </c>
      <c r="E367" s="64">
        <v>7851164.1298472667</v>
      </c>
      <c r="F367" s="64" t="s">
        <v>305</v>
      </c>
      <c r="G367" s="25">
        <f t="shared" si="11"/>
        <v>8.6423604102827678E-3</v>
      </c>
      <c r="I367" s="64">
        <v>202.31</v>
      </c>
      <c r="J367" s="64">
        <v>205.5</v>
      </c>
      <c r="K367" s="64">
        <v>188.95</v>
      </c>
      <c r="L367" s="64">
        <v>189.12</v>
      </c>
      <c r="M367" s="64">
        <v>3611053</v>
      </c>
      <c r="N367" s="64" t="s">
        <v>305</v>
      </c>
      <c r="O367" s="25">
        <f t="shared" si="12"/>
        <v>6.9744077834179352E-2</v>
      </c>
    </row>
    <row r="368" spans="1:21">
      <c r="A368" s="64">
        <v>551.41814915722819</v>
      </c>
      <c r="B368" s="64">
        <v>558.9520280498034</v>
      </c>
      <c r="C368" s="64">
        <v>550.80029136445091</v>
      </c>
      <c r="D368" s="64">
        <v>556.68987129237678</v>
      </c>
      <c r="E368" s="64">
        <v>6264968.5498018861</v>
      </c>
      <c r="F368" s="64" t="s">
        <v>306</v>
      </c>
      <c r="G368" s="25">
        <f t="shared" si="11"/>
        <v>-9.4697647774875104E-3</v>
      </c>
      <c r="I368" s="64">
        <v>199.55</v>
      </c>
      <c r="J368" s="64">
        <v>206.6</v>
      </c>
      <c r="K368" s="64">
        <v>197.05</v>
      </c>
      <c r="L368" s="64">
        <v>201.84</v>
      </c>
      <c r="M368" s="64">
        <v>3248356</v>
      </c>
      <c r="N368" s="64" t="s">
        <v>306</v>
      </c>
      <c r="O368" s="25">
        <f t="shared" si="12"/>
        <v>-1.134562029330155E-2</v>
      </c>
    </row>
    <row r="369" spans="1:15">
      <c r="A369" s="64">
        <v>554.37788729359704</v>
      </c>
      <c r="B369" s="64">
        <v>555.85277363764612</v>
      </c>
      <c r="C369" s="64">
        <v>550.47143157152095</v>
      </c>
      <c r="D369" s="64">
        <v>553.45110060443108</v>
      </c>
      <c r="E369" s="64">
        <v>4311434.7526891446</v>
      </c>
      <c r="F369" s="64" t="s">
        <v>307</v>
      </c>
      <c r="G369" s="25">
        <f t="shared" si="11"/>
        <v>1.6745593028071326E-3</v>
      </c>
      <c r="I369" s="64">
        <v>198.93</v>
      </c>
      <c r="J369" s="64">
        <v>208.62</v>
      </c>
      <c r="K369" s="64">
        <v>195.69</v>
      </c>
      <c r="L369" s="64">
        <v>204.99</v>
      </c>
      <c r="M369" s="64">
        <v>4168870</v>
      </c>
      <c r="N369" s="64" t="s">
        <v>307</v>
      </c>
      <c r="O369" s="25">
        <f t="shared" si="12"/>
        <v>-2.9562417678911213E-2</v>
      </c>
    </row>
    <row r="370" spans="1:15">
      <c r="A370" s="64">
        <v>551.49787274339303</v>
      </c>
      <c r="B370" s="64">
        <v>553.58065143194881</v>
      </c>
      <c r="C370" s="64">
        <v>549.06640301984885</v>
      </c>
      <c r="D370" s="64">
        <v>553.25179163901896</v>
      </c>
      <c r="E370" s="64">
        <v>4188944.5277786455</v>
      </c>
      <c r="F370" s="64" t="s">
        <v>308</v>
      </c>
      <c r="G370" s="25">
        <f t="shared" si="11"/>
        <v>-3.1702001188824713E-3</v>
      </c>
      <c r="I370" s="64">
        <v>202</v>
      </c>
      <c r="J370" s="64">
        <v>205.57</v>
      </c>
      <c r="K370" s="64">
        <v>195.67099999999999</v>
      </c>
      <c r="L370" s="64">
        <v>201</v>
      </c>
      <c r="M370" s="64">
        <v>5863404</v>
      </c>
      <c r="N370" s="64" t="s">
        <v>308</v>
      </c>
      <c r="O370" s="25">
        <f t="shared" si="12"/>
        <v>4.9751243781095411E-3</v>
      </c>
    </row>
    <row r="371" spans="1:15">
      <c r="A371" s="64">
        <v>553.92944212141992</v>
      </c>
      <c r="B371" s="64">
        <v>554.72667798306804</v>
      </c>
      <c r="C371" s="64">
        <v>547.32234991801079</v>
      </c>
      <c r="D371" s="64">
        <v>550.39170798535611</v>
      </c>
      <c r="E371" s="64">
        <v>4179113.5600850987</v>
      </c>
      <c r="F371" s="64" t="s">
        <v>309</v>
      </c>
      <c r="G371" s="25">
        <f t="shared" si="11"/>
        <v>6.4276661234836663E-3</v>
      </c>
      <c r="I371" s="64">
        <v>194.75</v>
      </c>
      <c r="J371" s="64">
        <v>196.83</v>
      </c>
      <c r="K371" s="64">
        <v>181.81</v>
      </c>
      <c r="L371" s="64">
        <v>184</v>
      </c>
      <c r="M371" s="64">
        <v>5422760</v>
      </c>
      <c r="N371" s="64" t="s">
        <v>309</v>
      </c>
      <c r="O371" s="25">
        <f t="shared" si="12"/>
        <v>5.8423913043478271E-2</v>
      </c>
    </row>
    <row r="372" spans="1:15">
      <c r="A372" s="64">
        <v>549.32540502040172</v>
      </c>
      <c r="B372" s="64">
        <v>549.48485219273141</v>
      </c>
      <c r="C372" s="64">
        <v>544.94060778133689</v>
      </c>
      <c r="D372" s="64">
        <v>545.04026226404278</v>
      </c>
      <c r="E372" s="64">
        <v>7643795.6358382031</v>
      </c>
      <c r="F372" s="64" t="s">
        <v>310</v>
      </c>
      <c r="G372" s="25">
        <f t="shared" si="11"/>
        <v>7.8620664436033216E-3</v>
      </c>
      <c r="I372" s="64">
        <v>180.83</v>
      </c>
      <c r="J372" s="64">
        <v>183.59</v>
      </c>
      <c r="K372" s="64">
        <v>170.2</v>
      </c>
      <c r="L372" s="64">
        <v>174.22</v>
      </c>
      <c r="M372" s="64">
        <v>4068590</v>
      </c>
      <c r="N372" s="64" t="s">
        <v>310</v>
      </c>
      <c r="O372" s="25">
        <f t="shared" si="12"/>
        <v>3.7940534955803074E-2</v>
      </c>
    </row>
    <row r="373" spans="1:15">
      <c r="A373" s="64">
        <v>557.0785237749302</v>
      </c>
      <c r="B373" s="64">
        <v>559.71936756663979</v>
      </c>
      <c r="C373" s="64">
        <v>556.09194439614055</v>
      </c>
      <c r="D373" s="64">
        <v>558.82247722228556</v>
      </c>
      <c r="E373" s="64">
        <v>3624664.8438843829</v>
      </c>
      <c r="F373" s="64" t="s">
        <v>311</v>
      </c>
      <c r="G373" s="25">
        <f t="shared" si="11"/>
        <v>-3.1207646765104569E-3</v>
      </c>
      <c r="I373" s="64">
        <v>182.4</v>
      </c>
      <c r="J373" s="64">
        <v>190.5</v>
      </c>
      <c r="K373" s="64">
        <v>180</v>
      </c>
      <c r="L373" s="64">
        <v>183.63</v>
      </c>
      <c r="M373" s="64">
        <v>3923229</v>
      </c>
      <c r="N373" s="64" t="s">
        <v>311</v>
      </c>
      <c r="O373" s="25">
        <f t="shared" si="12"/>
        <v>-6.6982519196209234E-3</v>
      </c>
    </row>
    <row r="374" spans="1:15">
      <c r="A374" s="64">
        <v>558.76268453266198</v>
      </c>
      <c r="B374" s="64">
        <v>558.76268453266198</v>
      </c>
      <c r="C374" s="64">
        <v>554.87615970712704</v>
      </c>
      <c r="D374" s="64">
        <v>555.11533046562158</v>
      </c>
      <c r="E374" s="64">
        <v>6239436.3315723669</v>
      </c>
      <c r="F374" s="64" t="s">
        <v>312</v>
      </c>
      <c r="G374" s="25">
        <f t="shared" si="11"/>
        <v>6.5704437742353239E-3</v>
      </c>
      <c r="I374" s="64">
        <v>181.99</v>
      </c>
      <c r="J374" s="64">
        <v>187.7</v>
      </c>
      <c r="K374" s="64">
        <v>178.5</v>
      </c>
      <c r="L374" s="64">
        <v>182</v>
      </c>
      <c r="M374" s="64">
        <v>3568417</v>
      </c>
      <c r="N374" s="64" t="s">
        <v>312</v>
      </c>
      <c r="O374" s="25">
        <f t="shared" si="12"/>
        <v>-5.4945054944965932E-5</v>
      </c>
    </row>
    <row r="375" spans="1:15">
      <c r="A375" s="64">
        <v>555.68336101704597</v>
      </c>
      <c r="B375" s="64">
        <v>556.99870053428265</v>
      </c>
      <c r="C375" s="64">
        <v>554.80640156923289</v>
      </c>
      <c r="D375" s="64">
        <v>555.2648121896807</v>
      </c>
      <c r="E375" s="64">
        <v>4796609.1140134707</v>
      </c>
      <c r="F375" s="64" t="s">
        <v>313</v>
      </c>
      <c r="G375" s="25">
        <f t="shared" si="11"/>
        <v>7.5378237226075839E-4</v>
      </c>
      <c r="I375" s="64">
        <v>183.74</v>
      </c>
      <c r="J375" s="64">
        <v>188.19</v>
      </c>
      <c r="K375" s="64">
        <v>181.52</v>
      </c>
      <c r="L375" s="64">
        <v>187.47</v>
      </c>
      <c r="M375" s="64">
        <v>4999437</v>
      </c>
      <c r="N375" s="64" t="s">
        <v>313</v>
      </c>
      <c r="O375" s="25">
        <f t="shared" si="12"/>
        <v>-1.9896516776017448E-2</v>
      </c>
    </row>
    <row r="376" spans="1:15">
      <c r="A376" s="64">
        <v>552.54424481180627</v>
      </c>
      <c r="B376" s="64">
        <v>552.54424481180627</v>
      </c>
      <c r="C376" s="64">
        <v>548.59792729664775</v>
      </c>
      <c r="D376" s="64">
        <v>550.41163888189737</v>
      </c>
      <c r="E376" s="64">
        <v>5320059.7264047191</v>
      </c>
      <c r="F376" s="64" t="s">
        <v>314</v>
      </c>
      <c r="G376" s="25">
        <f t="shared" si="11"/>
        <v>3.8745654692933229E-3</v>
      </c>
      <c r="I376" s="64">
        <v>188.32</v>
      </c>
      <c r="J376" s="64">
        <v>191</v>
      </c>
      <c r="K376" s="64">
        <v>175.6</v>
      </c>
      <c r="L376" s="64">
        <v>177.5</v>
      </c>
      <c r="M376" s="64">
        <v>7475493</v>
      </c>
      <c r="N376" s="64" t="s">
        <v>314</v>
      </c>
      <c r="O376" s="25">
        <f t="shared" si="12"/>
        <v>6.0957746478873309E-2</v>
      </c>
    </row>
    <row r="377" spans="1:15">
      <c r="A377" s="64">
        <v>547.56152067650521</v>
      </c>
      <c r="B377" s="64">
        <v>549.21578508942514</v>
      </c>
      <c r="C377" s="64">
        <v>545.7876708843379</v>
      </c>
      <c r="D377" s="64">
        <v>547.02338646989256</v>
      </c>
      <c r="E377" s="64">
        <v>6581390.843548785</v>
      </c>
      <c r="F377" s="64" t="s">
        <v>315</v>
      </c>
      <c r="G377" s="25">
        <f t="shared" si="11"/>
        <v>9.83749908912257E-4</v>
      </c>
      <c r="I377" s="64">
        <v>175.33</v>
      </c>
      <c r="J377" s="64">
        <v>179.87</v>
      </c>
      <c r="K377" s="64">
        <v>172.15</v>
      </c>
      <c r="L377" s="64">
        <v>178.28</v>
      </c>
      <c r="M377" s="64">
        <v>3375496</v>
      </c>
      <c r="N377" s="64" t="s">
        <v>315</v>
      </c>
      <c r="O377" s="25">
        <f t="shared" si="12"/>
        <v>-1.6547004711689461E-2</v>
      </c>
    </row>
    <row r="378" spans="1:15">
      <c r="A378" s="64">
        <v>542.35955667925089</v>
      </c>
      <c r="B378" s="64">
        <v>544.62171343667751</v>
      </c>
      <c r="C378" s="64">
        <v>541.51249357624965</v>
      </c>
      <c r="D378" s="64">
        <v>544.46226626434793</v>
      </c>
      <c r="E378" s="64">
        <v>3645347.3053656211</v>
      </c>
      <c r="F378" s="64" t="s">
        <v>316</v>
      </c>
      <c r="G378" s="25">
        <f t="shared" si="11"/>
        <v>-3.8619932277843549E-3</v>
      </c>
      <c r="I378" s="64">
        <v>174.87</v>
      </c>
      <c r="J378" s="64">
        <v>176.8193</v>
      </c>
      <c r="K378" s="64">
        <v>169.73</v>
      </c>
      <c r="L378" s="64">
        <v>171.76</v>
      </c>
      <c r="M378" s="64">
        <v>3341636</v>
      </c>
      <c r="N378" s="64" t="s">
        <v>316</v>
      </c>
      <c r="O378" s="25">
        <f t="shared" si="12"/>
        <v>1.810666045645104E-2</v>
      </c>
    </row>
    <row r="379" spans="1:15">
      <c r="A379" s="64">
        <v>543.16675798916958</v>
      </c>
      <c r="B379" s="64">
        <v>544.24302640239466</v>
      </c>
      <c r="C379" s="64">
        <v>539.88812550814146</v>
      </c>
      <c r="D379" s="64">
        <v>540.96439392136654</v>
      </c>
      <c r="E379" s="64">
        <v>5325719.2811451089</v>
      </c>
      <c r="F379" s="64" t="s">
        <v>317</v>
      </c>
      <c r="G379" s="25">
        <f t="shared" si="11"/>
        <v>4.0711811951956722E-3</v>
      </c>
      <c r="I379" s="64">
        <v>170.69</v>
      </c>
      <c r="J379" s="64">
        <v>178.83</v>
      </c>
      <c r="K379" s="64">
        <v>167.5</v>
      </c>
      <c r="L379" s="64">
        <v>170.09</v>
      </c>
      <c r="M379" s="64">
        <v>5164845</v>
      </c>
      <c r="N379" s="64" t="s">
        <v>317</v>
      </c>
      <c r="O379" s="25">
        <f t="shared" si="12"/>
        <v>3.5275442412840974E-3</v>
      </c>
    </row>
    <row r="380" spans="1:15">
      <c r="A380" s="64">
        <v>533.41058413225016</v>
      </c>
      <c r="B380" s="64">
        <v>536.04784036258229</v>
      </c>
      <c r="C380" s="64">
        <v>529.97738754854493</v>
      </c>
      <c r="D380" s="64">
        <v>535.46346647599421</v>
      </c>
      <c r="E380" s="64">
        <v>8850583.2959053349</v>
      </c>
      <c r="F380" s="64" t="s">
        <v>318</v>
      </c>
      <c r="G380" s="25">
        <f t="shared" si="11"/>
        <v>-3.8338420308196008E-3</v>
      </c>
      <c r="I380" s="64">
        <v>164.82</v>
      </c>
      <c r="J380" s="64">
        <v>172.18879999999999</v>
      </c>
      <c r="K380" s="64">
        <v>161.06</v>
      </c>
      <c r="L380" s="64">
        <v>169.6</v>
      </c>
      <c r="M380" s="64">
        <v>4913996</v>
      </c>
      <c r="N380" s="64" t="s">
        <v>318</v>
      </c>
      <c r="O380" s="25">
        <f t="shared" si="12"/>
        <v>-2.8183962264150986E-2</v>
      </c>
    </row>
    <row r="381" spans="1:15">
      <c r="A381" s="64">
        <v>532.7329336498492</v>
      </c>
      <c r="B381" s="64">
        <v>533.06179344277905</v>
      </c>
      <c r="C381" s="64">
        <v>527.19214441139434</v>
      </c>
      <c r="D381" s="64">
        <v>527.5708314456773</v>
      </c>
      <c r="E381" s="64">
        <v>5640499.9026304344</v>
      </c>
      <c r="F381" s="64" t="s">
        <v>319</v>
      </c>
      <c r="G381" s="25">
        <f t="shared" si="11"/>
        <v>9.7846618813750563E-3</v>
      </c>
      <c r="I381" s="64">
        <v>164.65</v>
      </c>
      <c r="J381" s="64">
        <v>165.5</v>
      </c>
      <c r="K381" s="64">
        <v>156.58000000000001</v>
      </c>
      <c r="L381" s="64">
        <v>160.44</v>
      </c>
      <c r="M381" s="64">
        <v>4368150</v>
      </c>
      <c r="N381" s="64" t="s">
        <v>319</v>
      </c>
      <c r="O381" s="25">
        <f t="shared" si="12"/>
        <v>2.6240339067564289E-2</v>
      </c>
    </row>
    <row r="382" spans="1:15">
      <c r="A382" s="64">
        <v>532.04531771917766</v>
      </c>
      <c r="B382" s="64">
        <v>536.88852557869029</v>
      </c>
      <c r="C382" s="64">
        <v>530.16184799603388</v>
      </c>
      <c r="D382" s="64">
        <v>536.84866378560787</v>
      </c>
      <c r="E382" s="64">
        <v>7962714.5558606498</v>
      </c>
      <c r="F382" s="64" t="s">
        <v>320</v>
      </c>
      <c r="G382" s="25">
        <f t="shared" si="11"/>
        <v>-8.9473000315568596E-3</v>
      </c>
      <c r="I382" s="64">
        <v>167.08</v>
      </c>
      <c r="J382" s="64">
        <v>169.69990000000001</v>
      </c>
      <c r="K382" s="64">
        <v>159.80000000000001</v>
      </c>
      <c r="L382" s="64">
        <v>169</v>
      </c>
      <c r="M382" s="64">
        <v>4003804</v>
      </c>
      <c r="N382" s="64" t="s">
        <v>320</v>
      </c>
      <c r="O382" s="25">
        <f t="shared" si="12"/>
        <v>-1.1360946745562095E-2</v>
      </c>
    </row>
    <row r="383" spans="1:15">
      <c r="A383" s="64">
        <v>540.26681254242442</v>
      </c>
      <c r="B383" s="64">
        <v>541.12384109369623</v>
      </c>
      <c r="C383" s="64">
        <v>536.22084054456002</v>
      </c>
      <c r="D383" s="64">
        <v>539.44964578423503</v>
      </c>
      <c r="E383" s="64">
        <v>4331966.6940975003</v>
      </c>
      <c r="F383" s="64" t="s">
        <v>321</v>
      </c>
      <c r="G383" s="25">
        <f t="shared" si="11"/>
        <v>1.5148156358530951E-3</v>
      </c>
      <c r="I383" s="64">
        <v>172.01</v>
      </c>
      <c r="J383" s="64">
        <v>174.34</v>
      </c>
      <c r="K383" s="64">
        <v>166</v>
      </c>
      <c r="L383" s="64">
        <v>167.59</v>
      </c>
      <c r="M383" s="64">
        <v>4202606</v>
      </c>
      <c r="N383" s="64" t="s">
        <v>321</v>
      </c>
      <c r="O383" s="25">
        <f t="shared" si="12"/>
        <v>2.6373888656840982E-2</v>
      </c>
    </row>
    <row r="384" spans="1:15">
      <c r="A384" s="64">
        <v>539.53933481867045</v>
      </c>
      <c r="B384" s="64">
        <v>547.70103695229363</v>
      </c>
      <c r="C384" s="64">
        <v>537.69572688860899</v>
      </c>
      <c r="D384" s="64">
        <v>547.42200440071679</v>
      </c>
      <c r="E384" s="64">
        <v>5401899.496965358</v>
      </c>
      <c r="F384" s="64" t="s">
        <v>322</v>
      </c>
      <c r="G384" s="25">
        <f t="shared" si="11"/>
        <v>-1.439962135003281E-2</v>
      </c>
      <c r="I384" s="64">
        <v>172.32</v>
      </c>
      <c r="J384" s="64">
        <v>183.12</v>
      </c>
      <c r="K384" s="64">
        <v>171.1078</v>
      </c>
      <c r="L384" s="64">
        <v>180.25</v>
      </c>
      <c r="M384" s="64">
        <v>4201077</v>
      </c>
      <c r="N384" s="64" t="s">
        <v>322</v>
      </c>
      <c r="O384" s="25">
        <f t="shared" si="12"/>
        <v>-4.3994452149792029E-2</v>
      </c>
    </row>
    <row r="385" spans="1:15">
      <c r="A385" s="64">
        <v>545.67805095336143</v>
      </c>
      <c r="B385" s="64">
        <v>549.52471398581372</v>
      </c>
      <c r="C385" s="64">
        <v>543.93409750600608</v>
      </c>
      <c r="D385" s="64">
        <v>546.38559778057413</v>
      </c>
      <c r="E385" s="64">
        <v>6004180.4819267448</v>
      </c>
      <c r="F385" s="64" t="s">
        <v>323</v>
      </c>
      <c r="G385" s="25">
        <f t="shared" si="11"/>
        <v>-1.2949587801851514E-3</v>
      </c>
      <c r="I385" s="64">
        <v>179.49</v>
      </c>
      <c r="J385" s="64">
        <v>187.69</v>
      </c>
      <c r="K385" s="64">
        <v>174.5</v>
      </c>
      <c r="L385" s="64">
        <v>182</v>
      </c>
      <c r="M385" s="64">
        <v>5416360</v>
      </c>
      <c r="N385" s="64" t="s">
        <v>323</v>
      </c>
      <c r="O385" s="25">
        <f t="shared" si="12"/>
        <v>-1.3791208791208764E-2</v>
      </c>
    </row>
    <row r="386" spans="1:15">
      <c r="A386" s="64">
        <v>542.51900385158046</v>
      </c>
      <c r="B386" s="64">
        <v>542.99734536856943</v>
      </c>
      <c r="C386" s="64">
        <v>537.33697075086741</v>
      </c>
      <c r="D386" s="64">
        <v>538.32355012965706</v>
      </c>
      <c r="E386" s="64">
        <v>6441920.9509499632</v>
      </c>
      <c r="F386" s="64" t="s">
        <v>324</v>
      </c>
      <c r="G386" s="25">
        <f t="shared" ref="G386:G449" si="13">A386/D386-1</f>
        <v>7.7935541198466129E-3</v>
      </c>
      <c r="I386" s="64">
        <v>177.74</v>
      </c>
      <c r="J386" s="64">
        <v>181.22</v>
      </c>
      <c r="K386" s="64">
        <v>166.965</v>
      </c>
      <c r="L386" s="64">
        <v>167.53</v>
      </c>
      <c r="M386" s="64">
        <v>9436014</v>
      </c>
      <c r="N386" s="64" t="s">
        <v>324</v>
      </c>
      <c r="O386" s="25">
        <f t="shared" ref="O386:O449" si="14">I386/L386-1</f>
        <v>6.0944308482062892E-2</v>
      </c>
    </row>
    <row r="387" spans="1:15">
      <c r="A387" s="64">
        <v>535.60298275178263</v>
      </c>
      <c r="B387" s="64">
        <v>541.66187564582594</v>
      </c>
      <c r="C387" s="64">
        <v>531.95064596060683</v>
      </c>
      <c r="D387" s="64">
        <v>540.14722716317715</v>
      </c>
      <c r="E387" s="64">
        <v>7167462.8235950079</v>
      </c>
      <c r="F387" s="64" t="s">
        <v>325</v>
      </c>
      <c r="G387" s="25">
        <f t="shared" si="13"/>
        <v>-8.4129736910075748E-3</v>
      </c>
      <c r="I387" s="64">
        <v>165.91</v>
      </c>
      <c r="J387" s="64">
        <v>168.4999</v>
      </c>
      <c r="K387" s="64">
        <v>156.03569999999999</v>
      </c>
      <c r="L387" s="64">
        <v>164.43</v>
      </c>
      <c r="M387" s="64">
        <v>4076541</v>
      </c>
      <c r="N387" s="64" t="s">
        <v>325</v>
      </c>
      <c r="O387" s="25">
        <f t="shared" si="14"/>
        <v>9.0007906099860424E-3</v>
      </c>
    </row>
    <row r="388" spans="1:15">
      <c r="A388" s="64">
        <v>536.94831826831387</v>
      </c>
      <c r="B388" s="64">
        <v>541.1887161619378</v>
      </c>
      <c r="C388" s="64">
        <v>535.54328971664165</v>
      </c>
      <c r="D388" s="64">
        <v>540.57574143881311</v>
      </c>
      <c r="E388" s="64">
        <v>6061694.2017752314</v>
      </c>
      <c r="F388" s="64" t="s">
        <v>326</v>
      </c>
      <c r="G388" s="25">
        <f t="shared" si="13"/>
        <v>-6.7102958798046508E-3</v>
      </c>
      <c r="I388" s="64">
        <v>163.44</v>
      </c>
      <c r="J388" s="64">
        <v>167.678</v>
      </c>
      <c r="K388" s="64">
        <v>162.63999999999999</v>
      </c>
      <c r="L388" s="64">
        <v>166</v>
      </c>
      <c r="M388" s="64">
        <v>3438493</v>
      </c>
      <c r="N388" s="64" t="s">
        <v>326</v>
      </c>
      <c r="O388" s="25">
        <f t="shared" si="14"/>
        <v>-1.5421686746987961E-2</v>
      </c>
    </row>
    <row r="389" spans="1:15">
      <c r="A389" s="64">
        <v>539.12078599130518</v>
      </c>
      <c r="B389" s="64">
        <v>542.21007495519189</v>
      </c>
      <c r="C389" s="64">
        <v>535.54319006215894</v>
      </c>
      <c r="D389" s="64">
        <v>538.69227171566922</v>
      </c>
      <c r="E389" s="64">
        <v>6527643.1359238243</v>
      </c>
      <c r="F389" s="64" t="s">
        <v>327</v>
      </c>
      <c r="G389" s="25">
        <f t="shared" si="13"/>
        <v>7.9547136303115273E-4</v>
      </c>
      <c r="I389" s="64">
        <v>165.53</v>
      </c>
      <c r="J389" s="64">
        <v>169.79</v>
      </c>
      <c r="K389" s="64">
        <v>162.26</v>
      </c>
      <c r="L389" s="64">
        <v>167.375</v>
      </c>
      <c r="M389" s="64">
        <v>7541139</v>
      </c>
      <c r="N389" s="64" t="s">
        <v>327</v>
      </c>
      <c r="O389" s="25">
        <f t="shared" si="14"/>
        <v>-1.1023151605675907E-2</v>
      </c>
    </row>
    <row r="390" spans="1:15">
      <c r="A390" s="64">
        <v>545.1897439881019</v>
      </c>
      <c r="B390" s="64">
        <v>547.72096784883479</v>
      </c>
      <c r="C390" s="64">
        <v>541.32324971359094</v>
      </c>
      <c r="D390" s="64">
        <v>547.47183164206979</v>
      </c>
      <c r="E390" s="64">
        <v>7101672.5066722762</v>
      </c>
      <c r="F390" s="64" t="s">
        <v>328</v>
      </c>
      <c r="G390" s="25">
        <f t="shared" si="13"/>
        <v>-4.1684110890656267E-3</v>
      </c>
      <c r="I390" s="64">
        <v>173.54</v>
      </c>
      <c r="J390" s="64">
        <v>176.53</v>
      </c>
      <c r="K390" s="64">
        <v>167.8</v>
      </c>
      <c r="L390" s="64">
        <v>175.53</v>
      </c>
      <c r="M390" s="64">
        <v>2606090</v>
      </c>
      <c r="N390" s="64" t="s">
        <v>328</v>
      </c>
      <c r="O390" s="25">
        <f t="shared" si="14"/>
        <v>-1.133709337435207E-2</v>
      </c>
    </row>
    <row r="391" spans="1:15">
      <c r="A391" s="64">
        <v>550.8999458471568</v>
      </c>
      <c r="B391" s="64">
        <v>552.05593784654673</v>
      </c>
      <c r="C391" s="64">
        <v>548.02003095143561</v>
      </c>
      <c r="D391" s="64">
        <v>549.29550867558999</v>
      </c>
      <c r="E391" s="64">
        <v>4511857.2470682478</v>
      </c>
      <c r="F391" s="64" t="s">
        <v>329</v>
      </c>
      <c r="G391" s="25">
        <f t="shared" si="13"/>
        <v>2.9208998548619913E-3</v>
      </c>
      <c r="I391" s="64">
        <v>176.74</v>
      </c>
      <c r="J391" s="64">
        <v>182.2</v>
      </c>
      <c r="K391" s="64">
        <v>174.77</v>
      </c>
      <c r="L391" s="64">
        <v>177.8</v>
      </c>
      <c r="M391" s="64">
        <v>2444126</v>
      </c>
      <c r="N391" s="64" t="s">
        <v>329</v>
      </c>
      <c r="O391" s="25">
        <f t="shared" si="14"/>
        <v>-5.9617547806524174E-3</v>
      </c>
    </row>
    <row r="392" spans="1:15">
      <c r="A392" s="64">
        <v>550.90991129542749</v>
      </c>
      <c r="B392" s="64">
        <v>550.98963488159222</v>
      </c>
      <c r="C392" s="64">
        <v>545.64815460854948</v>
      </c>
      <c r="D392" s="64">
        <v>546.16635791862086</v>
      </c>
      <c r="E392" s="64">
        <v>3451174.4044126086</v>
      </c>
      <c r="F392" s="64" t="s">
        <v>330</v>
      </c>
      <c r="G392" s="25">
        <f t="shared" si="13"/>
        <v>8.6851804546947964E-3</v>
      </c>
      <c r="I392" s="64">
        <v>177.41</v>
      </c>
      <c r="J392" s="64">
        <v>178.1</v>
      </c>
      <c r="K392" s="64">
        <v>168.89</v>
      </c>
      <c r="L392" s="64">
        <v>169</v>
      </c>
      <c r="M392" s="64">
        <v>2098732</v>
      </c>
      <c r="N392" s="64" t="s">
        <v>330</v>
      </c>
      <c r="O392" s="25">
        <f t="shared" si="14"/>
        <v>4.9763313609467508E-2</v>
      </c>
    </row>
    <row r="393" spans="1:15">
      <c r="A393" s="64">
        <v>545.29936391907859</v>
      </c>
      <c r="B393" s="64">
        <v>545.46877653967874</v>
      </c>
      <c r="C393" s="64">
        <v>538.45310095717491</v>
      </c>
      <c r="D393" s="64">
        <v>541.43276999008481</v>
      </c>
      <c r="E393" s="64">
        <v>7087844.7293101177</v>
      </c>
      <c r="F393" s="64" t="s">
        <v>331</v>
      </c>
      <c r="G393" s="25">
        <f t="shared" si="13"/>
        <v>7.1414109808398685E-3</v>
      </c>
      <c r="I393" s="64">
        <v>168.61</v>
      </c>
      <c r="J393" s="64">
        <v>173.82</v>
      </c>
      <c r="K393" s="64">
        <v>166.37309999999999</v>
      </c>
      <c r="L393" s="64">
        <v>171.25</v>
      </c>
      <c r="M393" s="64">
        <v>3728886</v>
      </c>
      <c r="N393" s="64" t="s">
        <v>331</v>
      </c>
      <c r="O393" s="25">
        <f t="shared" si="14"/>
        <v>-1.5416058394160492E-2</v>
      </c>
    </row>
    <row r="394" spans="1:15">
      <c r="A394" s="64">
        <v>541.42429935905466</v>
      </c>
      <c r="B394" s="64">
        <v>545.89444714108117</v>
      </c>
      <c r="C394" s="64">
        <v>532.29526422198273</v>
      </c>
      <c r="D394" s="64">
        <v>533.05022251405831</v>
      </c>
      <c r="E394" s="64">
        <v>9452116.6995613053</v>
      </c>
      <c r="F394" s="64" t="s">
        <v>332</v>
      </c>
      <c r="G394" s="25">
        <f t="shared" si="13"/>
        <v>1.5709733325879105E-2</v>
      </c>
      <c r="I394" s="64">
        <v>170.71</v>
      </c>
      <c r="J394" s="64">
        <v>174.11</v>
      </c>
      <c r="K394" s="64">
        <v>158.77000000000001</v>
      </c>
      <c r="L394" s="64">
        <v>162.99</v>
      </c>
      <c r="M394" s="64">
        <v>7705642</v>
      </c>
      <c r="N394" s="64" t="s">
        <v>332</v>
      </c>
      <c r="O394" s="25">
        <f t="shared" si="14"/>
        <v>4.7364869010368738E-2</v>
      </c>
    </row>
    <row r="395" spans="1:15">
      <c r="A395" s="64">
        <v>535.36476569897434</v>
      </c>
      <c r="B395" s="64">
        <v>541.48390132948168</v>
      </c>
      <c r="C395" s="64">
        <v>535.07668950857703</v>
      </c>
      <c r="D395" s="64">
        <v>540.08325502444677</v>
      </c>
      <c r="E395" s="64">
        <v>16904264.956033021</v>
      </c>
      <c r="F395" s="64" t="s">
        <v>333</v>
      </c>
      <c r="G395" s="25">
        <f t="shared" si="13"/>
        <v>-8.7365962221117588E-3</v>
      </c>
      <c r="I395" s="64">
        <v>163.72</v>
      </c>
      <c r="J395" s="64">
        <v>166.6</v>
      </c>
      <c r="K395" s="64">
        <v>157.22</v>
      </c>
      <c r="L395" s="64">
        <v>163.9</v>
      </c>
      <c r="M395" s="64">
        <v>4761558</v>
      </c>
      <c r="N395" s="64" t="s">
        <v>333</v>
      </c>
      <c r="O395" s="25">
        <f t="shared" si="14"/>
        <v>-1.098230628432062E-3</v>
      </c>
    </row>
    <row r="396" spans="1:15">
      <c r="A396" s="64">
        <v>535.56343893373094</v>
      </c>
      <c r="B396" s="64">
        <v>553.83144286961283</v>
      </c>
      <c r="C396" s="64">
        <v>534.95748556772298</v>
      </c>
      <c r="D396" s="64">
        <v>551.61623630207521</v>
      </c>
      <c r="E396" s="64">
        <v>24749111.303395186</v>
      </c>
      <c r="F396" s="64" t="s">
        <v>334</v>
      </c>
      <c r="G396" s="25">
        <f t="shared" si="13"/>
        <v>-2.9101386637853555E-2</v>
      </c>
      <c r="I396" s="64">
        <v>160.65</v>
      </c>
      <c r="J396" s="64">
        <v>174.38499999999999</v>
      </c>
      <c r="K396" s="64">
        <v>157.75</v>
      </c>
      <c r="L396" s="64">
        <v>172.45</v>
      </c>
      <c r="M396" s="64">
        <v>7792824</v>
      </c>
      <c r="N396" s="64" t="s">
        <v>334</v>
      </c>
      <c r="O396" s="25">
        <f t="shared" si="14"/>
        <v>-6.8425630617570232E-2</v>
      </c>
    </row>
    <row r="397" spans="1:15">
      <c r="A397" s="64">
        <v>551.76524122814283</v>
      </c>
      <c r="B397" s="64">
        <v>552.69403860063051</v>
      </c>
      <c r="C397" s="64">
        <v>550.61293646655361</v>
      </c>
      <c r="D397" s="64">
        <v>551.78510855161846</v>
      </c>
      <c r="E397" s="64">
        <v>6151689.2373373276</v>
      </c>
      <c r="F397" s="64" t="s">
        <v>335</v>
      </c>
      <c r="G397" s="25">
        <f t="shared" si="13"/>
        <v>-3.6005544853834337E-5</v>
      </c>
      <c r="I397" s="64">
        <v>168.79</v>
      </c>
      <c r="J397" s="64">
        <v>177.57</v>
      </c>
      <c r="K397" s="64">
        <v>167.32</v>
      </c>
      <c r="L397" s="64">
        <v>177.15</v>
      </c>
      <c r="M397" s="64">
        <v>6894464</v>
      </c>
      <c r="N397" s="64" t="s">
        <v>335</v>
      </c>
      <c r="O397" s="25">
        <f t="shared" si="14"/>
        <v>-4.7191645498165458E-2</v>
      </c>
    </row>
    <row r="398" spans="1:15">
      <c r="A398" s="64">
        <v>554.08971807479656</v>
      </c>
      <c r="B398" s="64">
        <v>555.09132918782268</v>
      </c>
      <c r="C398" s="64">
        <v>552.72383958584396</v>
      </c>
      <c r="D398" s="64">
        <v>553.43409640009929</v>
      </c>
      <c r="E398" s="64">
        <v>22999352.708959177</v>
      </c>
      <c r="F398" s="64" t="s">
        <v>336</v>
      </c>
      <c r="G398" s="25">
        <f t="shared" si="13"/>
        <v>1.1846427225243872E-3</v>
      </c>
      <c r="I398" s="64">
        <v>178.1</v>
      </c>
      <c r="J398" s="64">
        <v>180.36</v>
      </c>
      <c r="K398" s="64">
        <v>166.2</v>
      </c>
      <c r="L398" s="64">
        <v>169.27</v>
      </c>
      <c r="M398" s="64">
        <v>8934913</v>
      </c>
      <c r="N398" s="64" t="s">
        <v>336</v>
      </c>
      <c r="O398" s="25">
        <f t="shared" si="14"/>
        <v>5.2165179890116375E-2</v>
      </c>
    </row>
    <row r="399" spans="1:15">
      <c r="A399" s="64">
        <v>551.92417981594815</v>
      </c>
      <c r="B399" s="64">
        <v>554.45726355909653</v>
      </c>
      <c r="C399" s="64">
        <v>550.5279043220778</v>
      </c>
      <c r="D399" s="64">
        <v>553.81157554613708</v>
      </c>
      <c r="E399" s="64">
        <v>4698028.9073304981</v>
      </c>
      <c r="F399" s="64" t="s">
        <v>337</v>
      </c>
      <c r="G399" s="25">
        <f t="shared" si="13"/>
        <v>-3.4080106186434866E-3</v>
      </c>
      <c r="I399" s="64">
        <v>172.65</v>
      </c>
      <c r="J399" s="64">
        <v>174</v>
      </c>
      <c r="K399" s="64">
        <v>163.51</v>
      </c>
      <c r="L399" s="64">
        <v>164.35</v>
      </c>
      <c r="M399" s="64">
        <v>4893316</v>
      </c>
      <c r="N399" s="64" t="s">
        <v>337</v>
      </c>
      <c r="O399" s="25">
        <f t="shared" si="14"/>
        <v>5.0501977487070304E-2</v>
      </c>
    </row>
    <row r="400" spans="1:15">
      <c r="A400" s="64">
        <v>551.96391446289942</v>
      </c>
      <c r="B400" s="64">
        <v>554.49699820604792</v>
      </c>
      <c r="C400" s="64">
        <v>551.93411347768597</v>
      </c>
      <c r="D400" s="64">
        <v>553.97051413394252</v>
      </c>
      <c r="E400" s="64">
        <v>4075639.0813863762</v>
      </c>
      <c r="F400" s="64" t="s">
        <v>338</v>
      </c>
      <c r="G400" s="25">
        <f t="shared" si="13"/>
        <v>-3.6222138540715765E-3</v>
      </c>
      <c r="I400" s="64">
        <v>163.51</v>
      </c>
      <c r="J400" s="64">
        <v>172.5</v>
      </c>
      <c r="K400" s="64">
        <v>163.23929999999999</v>
      </c>
      <c r="L400" s="64">
        <v>164.01</v>
      </c>
      <c r="M400" s="64">
        <v>4024652</v>
      </c>
      <c r="N400" s="64" t="s">
        <v>338</v>
      </c>
      <c r="O400" s="25">
        <f t="shared" si="14"/>
        <v>-3.0485945978904194E-3</v>
      </c>
    </row>
    <row r="401" spans="1:15">
      <c r="A401" s="64">
        <v>554.8248090433965</v>
      </c>
      <c r="B401" s="64">
        <v>555.67910395285048</v>
      </c>
      <c r="C401" s="64">
        <v>552.96721429842103</v>
      </c>
      <c r="D401" s="64">
        <v>553.22548950360476</v>
      </c>
      <c r="E401" s="64">
        <v>3537886.7257114095</v>
      </c>
      <c r="F401" s="64" t="s">
        <v>339</v>
      </c>
      <c r="G401" s="25">
        <f t="shared" si="13"/>
        <v>2.8908999497234689E-3</v>
      </c>
      <c r="I401" s="64">
        <v>165.92</v>
      </c>
      <c r="J401" s="64">
        <v>168.66050000000001</v>
      </c>
      <c r="K401" s="64">
        <v>161</v>
      </c>
      <c r="L401" s="64">
        <v>164</v>
      </c>
      <c r="M401" s="64">
        <v>5981887</v>
      </c>
      <c r="N401" s="64" t="s">
        <v>339</v>
      </c>
      <c r="O401" s="25">
        <f t="shared" si="14"/>
        <v>1.1707317073170742E-2</v>
      </c>
    </row>
    <row r="402" spans="1:15">
      <c r="A402" s="64">
        <v>550.65267111350511</v>
      </c>
      <c r="B402" s="64">
        <v>553.18575485665338</v>
      </c>
      <c r="C402" s="64">
        <v>549.89771282142954</v>
      </c>
      <c r="D402" s="64">
        <v>552.88774500451837</v>
      </c>
      <c r="E402" s="64">
        <v>4137560.8597027324</v>
      </c>
      <c r="F402" s="64" t="s">
        <v>340</v>
      </c>
      <c r="G402" s="25">
        <f t="shared" si="13"/>
        <v>-4.0425455460131321E-3</v>
      </c>
      <c r="I402" s="64">
        <v>155.93</v>
      </c>
      <c r="J402" s="64">
        <v>176.67310000000001</v>
      </c>
      <c r="K402" s="64">
        <v>151.76</v>
      </c>
      <c r="L402" s="64">
        <v>168.31</v>
      </c>
      <c r="M402" s="64">
        <v>10972806</v>
      </c>
      <c r="N402" s="64" t="s">
        <v>340</v>
      </c>
      <c r="O402" s="25">
        <f t="shared" si="14"/>
        <v>-7.3554750163388971E-2</v>
      </c>
    </row>
    <row r="403" spans="1:15">
      <c r="A403" s="64">
        <v>552.22218966808327</v>
      </c>
      <c r="B403" s="64">
        <v>555.15758671161404</v>
      </c>
      <c r="C403" s="64">
        <v>551.69570559597787</v>
      </c>
      <c r="D403" s="64">
        <v>555.00361495467757</v>
      </c>
      <c r="E403" s="64">
        <v>4441741.7428196585</v>
      </c>
      <c r="F403" s="64" t="s">
        <v>341</v>
      </c>
      <c r="G403" s="25">
        <f t="shared" si="13"/>
        <v>-5.0115444506094731E-3</v>
      </c>
      <c r="I403" s="64">
        <v>167.17</v>
      </c>
      <c r="J403" s="64">
        <v>180.74</v>
      </c>
      <c r="K403" s="64">
        <v>157.05000000000001</v>
      </c>
      <c r="L403" s="64">
        <v>171.5</v>
      </c>
      <c r="M403" s="64">
        <v>16640769</v>
      </c>
      <c r="N403" s="64" t="s">
        <v>341</v>
      </c>
      <c r="O403" s="25">
        <f t="shared" si="14"/>
        <v>-2.5247813411078845E-2</v>
      </c>
    </row>
    <row r="404" spans="1:15">
      <c r="A404" s="64">
        <v>555.1128852337938</v>
      </c>
      <c r="B404" s="64">
        <v>556.24532267190716</v>
      </c>
      <c r="C404" s="64">
        <v>554.37779426519387</v>
      </c>
      <c r="D404" s="64">
        <v>554.76520707296947</v>
      </c>
      <c r="E404" s="64">
        <v>5169171.3846481517</v>
      </c>
      <c r="F404" s="64" t="s">
        <v>342</v>
      </c>
      <c r="G404" s="25">
        <f t="shared" si="13"/>
        <v>6.2671226744503983E-4</v>
      </c>
      <c r="I404" s="64">
        <v>162.76</v>
      </c>
      <c r="J404" s="64">
        <v>163.72</v>
      </c>
      <c r="K404" s="64">
        <v>149.33000000000001</v>
      </c>
      <c r="L404" s="64">
        <v>152.06</v>
      </c>
      <c r="M404" s="64">
        <v>7910663</v>
      </c>
      <c r="N404" s="64" t="s">
        <v>342</v>
      </c>
      <c r="O404" s="25">
        <f t="shared" si="14"/>
        <v>7.0366960410364277E-2</v>
      </c>
    </row>
    <row r="405" spans="1:15">
      <c r="A405" s="64">
        <v>554.0102487808939</v>
      </c>
      <c r="B405" s="64">
        <v>555.69897127632612</v>
      </c>
      <c r="C405" s="64">
        <v>553.76190723744799</v>
      </c>
      <c r="D405" s="64">
        <v>554.9241456607748</v>
      </c>
      <c r="E405" s="64">
        <v>3041739.3703784416</v>
      </c>
      <c r="F405" s="64" t="s">
        <v>343</v>
      </c>
      <c r="G405" s="25">
        <f t="shared" si="13"/>
        <v>-1.6468861321445871E-3</v>
      </c>
      <c r="I405" s="64">
        <v>153.09</v>
      </c>
      <c r="J405" s="64">
        <v>156.667</v>
      </c>
      <c r="K405" s="64">
        <v>151.25</v>
      </c>
      <c r="L405" s="64">
        <v>155.58000000000001</v>
      </c>
      <c r="M405" s="64">
        <v>4500182</v>
      </c>
      <c r="N405" s="64" t="s">
        <v>343</v>
      </c>
      <c r="O405" s="25">
        <f t="shared" si="14"/>
        <v>-1.6004627844195984E-2</v>
      </c>
    </row>
    <row r="406" spans="1:15">
      <c r="A406" s="64">
        <v>554.93407932251262</v>
      </c>
      <c r="B406" s="64">
        <v>555.17248720422072</v>
      </c>
      <c r="C406" s="64">
        <v>552.48145823944083</v>
      </c>
      <c r="D406" s="64">
        <v>553.13608654796428</v>
      </c>
      <c r="E406" s="64">
        <v>5526986.0650556246</v>
      </c>
      <c r="F406" s="64" t="s">
        <v>344</v>
      </c>
      <c r="G406" s="25">
        <f t="shared" si="13"/>
        <v>3.2505432537757173E-3</v>
      </c>
      <c r="I406" s="64">
        <v>154.22999999999999</v>
      </c>
      <c r="J406" s="64">
        <v>157.75</v>
      </c>
      <c r="K406" s="64">
        <v>150.63</v>
      </c>
      <c r="L406" s="64">
        <v>150.84</v>
      </c>
      <c r="M406" s="64">
        <v>6568466</v>
      </c>
      <c r="N406" s="64" t="s">
        <v>344</v>
      </c>
      <c r="O406" s="25">
        <f t="shared" si="14"/>
        <v>2.2474144789180528E-2</v>
      </c>
    </row>
    <row r="407" spans="1:15">
      <c r="A407" s="64">
        <v>551.45729771426977</v>
      </c>
      <c r="B407" s="64">
        <v>551.74547324128446</v>
      </c>
      <c r="C407" s="64">
        <v>550.11625337966177</v>
      </c>
      <c r="D407" s="64">
        <v>551.11955321518337</v>
      </c>
      <c r="E407" s="64">
        <v>4230973.5432115309</v>
      </c>
      <c r="F407" s="64" t="s">
        <v>345</v>
      </c>
      <c r="G407" s="25">
        <f t="shared" si="13"/>
        <v>6.1283345349671947E-4</v>
      </c>
      <c r="I407" s="64">
        <v>149.83000000000001</v>
      </c>
      <c r="J407" s="64">
        <v>151.56</v>
      </c>
      <c r="K407" s="64">
        <v>141</v>
      </c>
      <c r="L407" s="64">
        <v>141</v>
      </c>
      <c r="M407" s="64">
        <v>5966670</v>
      </c>
      <c r="N407" s="64" t="s">
        <v>345</v>
      </c>
      <c r="O407" s="25">
        <f t="shared" si="14"/>
        <v>6.262411347517749E-2</v>
      </c>
    </row>
    <row r="408" spans="1:15">
      <c r="A408" s="64">
        <v>551.3281601116779</v>
      </c>
      <c r="B408" s="64">
        <v>551.88444516899688</v>
      </c>
      <c r="C408" s="64">
        <v>550.21558999704018</v>
      </c>
      <c r="D408" s="64">
        <v>550.68247209871856</v>
      </c>
      <c r="E408" s="64">
        <v>5477346.7665760098</v>
      </c>
      <c r="F408" s="64" t="s">
        <v>346</v>
      </c>
      <c r="G408" s="25">
        <f t="shared" si="13"/>
        <v>1.1725232700772192E-3</v>
      </c>
      <c r="I408" s="64">
        <v>141.63999999999999</v>
      </c>
      <c r="J408" s="64">
        <v>145.58000000000001</v>
      </c>
      <c r="K408" s="64">
        <v>138.75</v>
      </c>
      <c r="L408" s="64">
        <v>144</v>
      </c>
      <c r="M408" s="64">
        <v>3263219</v>
      </c>
      <c r="N408" s="64" t="s">
        <v>346</v>
      </c>
      <c r="O408" s="25">
        <f t="shared" si="14"/>
        <v>-1.6388888888889008E-2</v>
      </c>
    </row>
    <row r="409" spans="1:15">
      <c r="A409" s="64">
        <v>549.77850888057549</v>
      </c>
      <c r="B409" s="64">
        <v>551.02021659780507</v>
      </c>
      <c r="C409" s="64">
        <v>547.41429738697036</v>
      </c>
      <c r="D409" s="64">
        <v>547.6328379452026</v>
      </c>
      <c r="E409" s="64">
        <v>4015364.2284870273</v>
      </c>
      <c r="F409" s="64" t="s">
        <v>347</v>
      </c>
      <c r="G409" s="25">
        <f t="shared" si="13"/>
        <v>3.9180830415936896E-3</v>
      </c>
      <c r="I409" s="64">
        <v>140.69</v>
      </c>
      <c r="J409" s="64">
        <v>143.93</v>
      </c>
      <c r="K409" s="64">
        <v>140.26</v>
      </c>
      <c r="L409" s="64">
        <v>143.43</v>
      </c>
      <c r="M409" s="64">
        <v>2105949</v>
      </c>
      <c r="N409" s="64" t="s">
        <v>347</v>
      </c>
      <c r="O409" s="25">
        <f t="shared" si="14"/>
        <v>-1.9103395384508226E-2</v>
      </c>
    </row>
    <row r="410" spans="1:15">
      <c r="A410" s="64">
        <v>546.89774697660266</v>
      </c>
      <c r="B410" s="64">
        <v>548.71560707462686</v>
      </c>
      <c r="C410" s="64">
        <v>545.46729968635429</v>
      </c>
      <c r="D410" s="64">
        <v>548.37786257554035</v>
      </c>
      <c r="E410" s="64">
        <v>3334338.4216355425</v>
      </c>
      <c r="F410" s="64" t="s">
        <v>348</v>
      </c>
      <c r="G410" s="25">
        <f t="shared" si="13"/>
        <v>-2.6990797768278174E-3</v>
      </c>
      <c r="I410" s="64">
        <v>140.04</v>
      </c>
      <c r="J410" s="64">
        <v>141.19</v>
      </c>
      <c r="K410" s="64">
        <v>134.44999999999999</v>
      </c>
      <c r="L410" s="64">
        <v>137.80000000000001</v>
      </c>
      <c r="M410" s="64">
        <v>5531021</v>
      </c>
      <c r="N410" s="64" t="s">
        <v>348</v>
      </c>
      <c r="O410" s="25">
        <f t="shared" si="14"/>
        <v>1.6255442670536802E-2</v>
      </c>
    </row>
    <row r="411" spans="1:15">
      <c r="A411" s="64">
        <v>548.64607144246202</v>
      </c>
      <c r="B411" s="64">
        <v>549.15258885447429</v>
      </c>
      <c r="C411" s="64">
        <v>546.20239065495423</v>
      </c>
      <c r="D411" s="64">
        <v>546.84807866791357</v>
      </c>
      <c r="E411" s="64">
        <v>4468215.3642233675</v>
      </c>
      <c r="F411" s="64" t="s">
        <v>349</v>
      </c>
      <c r="G411" s="25">
        <f t="shared" si="13"/>
        <v>3.2879200726612101E-3</v>
      </c>
      <c r="I411" s="64">
        <v>135.61000000000001</v>
      </c>
      <c r="J411" s="64">
        <v>144.81</v>
      </c>
      <c r="K411" s="64">
        <v>132.47499999999999</v>
      </c>
      <c r="L411" s="64">
        <v>141.65</v>
      </c>
      <c r="M411" s="64">
        <v>7697103</v>
      </c>
      <c r="N411" s="64" t="s">
        <v>349</v>
      </c>
      <c r="O411" s="25">
        <f t="shared" si="14"/>
        <v>-4.2640310624779354E-2</v>
      </c>
    </row>
    <row r="412" spans="1:15">
      <c r="A412" s="64">
        <v>545.58650362720834</v>
      </c>
      <c r="B412" s="64">
        <v>548.71560707462686</v>
      </c>
      <c r="C412" s="64">
        <v>543.56987095781005</v>
      </c>
      <c r="D412" s="64">
        <v>547.54343498956223</v>
      </c>
      <c r="E412" s="64">
        <v>4333750.3466647081</v>
      </c>
      <c r="F412" s="64" t="s">
        <v>350</v>
      </c>
      <c r="G412" s="25">
        <f t="shared" si="13"/>
        <v>-3.5740203193034281E-3</v>
      </c>
      <c r="I412" s="64">
        <v>141.9</v>
      </c>
      <c r="J412" s="64">
        <v>152.13999999999999</v>
      </c>
      <c r="K412" s="64">
        <v>139.22</v>
      </c>
      <c r="L412" s="64">
        <v>149.5</v>
      </c>
      <c r="M412" s="64">
        <v>8403896</v>
      </c>
      <c r="N412" s="64" t="s">
        <v>350</v>
      </c>
      <c r="O412" s="25">
        <f t="shared" si="14"/>
        <v>-5.0836120401337781E-2</v>
      </c>
    </row>
    <row r="413" spans="1:15">
      <c r="A413" s="64">
        <v>543.8381791613491</v>
      </c>
      <c r="B413" s="64">
        <v>544.41393419567407</v>
      </c>
      <c r="C413" s="64">
        <v>541.75211019640335</v>
      </c>
      <c r="D413" s="64">
        <v>542.19912497460598</v>
      </c>
      <c r="E413" s="64">
        <v>5611815.81084718</v>
      </c>
      <c r="F413" s="64" t="s">
        <v>351</v>
      </c>
      <c r="G413" s="25">
        <f t="shared" si="13"/>
        <v>3.0229746070133956E-3</v>
      </c>
      <c r="I413" s="64">
        <v>146.66999999999999</v>
      </c>
      <c r="J413" s="64">
        <v>149</v>
      </c>
      <c r="K413" s="64">
        <v>142.91</v>
      </c>
      <c r="L413" s="64">
        <v>145.41</v>
      </c>
      <c r="M413" s="64">
        <v>18665539</v>
      </c>
      <c r="N413" s="64" t="s">
        <v>351</v>
      </c>
      <c r="O413" s="25">
        <f t="shared" si="14"/>
        <v>8.6651537033215487E-3</v>
      </c>
    </row>
    <row r="414" spans="1:15">
      <c r="A414" s="64">
        <v>542.02031906332491</v>
      </c>
      <c r="B414" s="64">
        <v>543.44083269183557</v>
      </c>
      <c r="C414" s="64">
        <v>536.45746849013631</v>
      </c>
      <c r="D414" s="64">
        <v>541.96071709289788</v>
      </c>
      <c r="E414" s="64">
        <v>4560875.0524926046</v>
      </c>
      <c r="F414" s="64" t="s">
        <v>352</v>
      </c>
      <c r="G414" s="25">
        <f t="shared" si="13"/>
        <v>1.0997470581775026E-4</v>
      </c>
      <c r="I414" s="64">
        <v>158.02000000000001</v>
      </c>
      <c r="J414" s="64">
        <v>158.49</v>
      </c>
      <c r="K414" s="64">
        <v>139.57</v>
      </c>
      <c r="L414" s="64">
        <v>141.27000000000001</v>
      </c>
      <c r="M414" s="64">
        <v>12275538</v>
      </c>
      <c r="N414" s="64" t="s">
        <v>352</v>
      </c>
      <c r="O414" s="25">
        <f t="shared" si="14"/>
        <v>0.11856728250867143</v>
      </c>
    </row>
    <row r="415" spans="1:15">
      <c r="A415" s="64">
        <v>539.29849574715763</v>
      </c>
      <c r="B415" s="64">
        <v>539.46736799670089</v>
      </c>
      <c r="C415" s="64">
        <v>533.87471643829883</v>
      </c>
      <c r="D415" s="64">
        <v>539.17929180630358</v>
      </c>
      <c r="E415" s="64">
        <v>3975432.327193358</v>
      </c>
      <c r="F415" s="64" t="s">
        <v>353</v>
      </c>
      <c r="G415" s="25">
        <f t="shared" si="13"/>
        <v>2.2108404878595778E-4</v>
      </c>
      <c r="I415" s="64">
        <v>136.27000000000001</v>
      </c>
      <c r="J415" s="64">
        <v>138.38999999999999</v>
      </c>
      <c r="K415" s="64">
        <v>130.01</v>
      </c>
      <c r="L415" s="64">
        <v>137.155</v>
      </c>
      <c r="M415" s="64">
        <v>5497907</v>
      </c>
      <c r="N415" s="64" t="s">
        <v>353</v>
      </c>
      <c r="O415" s="25">
        <f t="shared" si="14"/>
        <v>-6.4525536801428585E-3</v>
      </c>
    </row>
    <row r="416" spans="1:15">
      <c r="A416" s="64">
        <v>539.09982251240092</v>
      </c>
      <c r="B416" s="64">
        <v>539.76537784883601</v>
      </c>
      <c r="C416" s="64">
        <v>533.3382987044555</v>
      </c>
      <c r="D416" s="64">
        <v>533.93431840872574</v>
      </c>
      <c r="E416" s="64">
        <v>7024975.4664181583</v>
      </c>
      <c r="F416" s="64" t="s">
        <v>354</v>
      </c>
      <c r="G416" s="25">
        <f t="shared" si="13"/>
        <v>9.674418604651347E-3</v>
      </c>
      <c r="I416" s="64">
        <v>137.16</v>
      </c>
      <c r="J416" s="64">
        <v>138.54</v>
      </c>
      <c r="K416" s="64">
        <v>128.72</v>
      </c>
      <c r="L416" s="64">
        <v>129.01</v>
      </c>
      <c r="M416" s="64">
        <v>6889242</v>
      </c>
      <c r="N416" s="64" t="s">
        <v>354</v>
      </c>
      <c r="O416" s="25">
        <f t="shared" si="14"/>
        <v>6.3173397411053545E-2</v>
      </c>
    </row>
    <row r="417" spans="1:15">
      <c r="A417" s="64">
        <v>537.14289115004703</v>
      </c>
      <c r="B417" s="64">
        <v>538.33493055858742</v>
      </c>
      <c r="C417" s="64">
        <v>534.57503959081623</v>
      </c>
      <c r="D417" s="64">
        <v>535.34489837549859</v>
      </c>
      <c r="E417" s="64">
        <v>4534325.9302293137</v>
      </c>
      <c r="F417" s="64" t="s">
        <v>355</v>
      </c>
      <c r="G417" s="25">
        <f t="shared" si="13"/>
        <v>3.3585689898314453E-3</v>
      </c>
      <c r="I417" s="64">
        <v>129.41999999999999</v>
      </c>
      <c r="J417" s="64">
        <v>130.13</v>
      </c>
      <c r="K417" s="64">
        <v>124.66</v>
      </c>
      <c r="L417" s="64">
        <v>125.56</v>
      </c>
      <c r="M417" s="64">
        <v>4320716</v>
      </c>
      <c r="N417" s="64" t="s">
        <v>355</v>
      </c>
      <c r="O417" s="25">
        <f t="shared" si="14"/>
        <v>3.0742274609748099E-2</v>
      </c>
    </row>
    <row r="418" spans="1:15">
      <c r="A418" s="64">
        <v>534.92768458250941</v>
      </c>
      <c r="B418" s="64">
        <v>538.97068490980905</v>
      </c>
      <c r="C418" s="64">
        <v>533.18929377838799</v>
      </c>
      <c r="D418" s="64">
        <v>538.53360379334424</v>
      </c>
      <c r="E418" s="64">
        <v>7409265.7815855956</v>
      </c>
      <c r="F418" s="64" t="s">
        <v>356</v>
      </c>
      <c r="G418" s="25">
        <f t="shared" si="13"/>
        <v>-6.6958109678492139E-3</v>
      </c>
      <c r="I418" s="64">
        <v>124.78</v>
      </c>
      <c r="J418" s="64">
        <v>131.68989999999999</v>
      </c>
      <c r="K418" s="64">
        <v>123.14</v>
      </c>
      <c r="L418" s="64">
        <v>128.79</v>
      </c>
      <c r="M418" s="64">
        <v>4605078</v>
      </c>
      <c r="N418" s="64" t="s">
        <v>356</v>
      </c>
      <c r="O418" s="25">
        <f t="shared" si="14"/>
        <v>-3.1135957760695665E-2</v>
      </c>
    </row>
    <row r="419" spans="1:15">
      <c r="A419" s="64">
        <v>541.92098244594649</v>
      </c>
      <c r="B419" s="64">
        <v>545.92424812629474</v>
      </c>
      <c r="C419" s="64">
        <v>541.26536077124933</v>
      </c>
      <c r="D419" s="64">
        <v>545.45736602461648</v>
      </c>
      <c r="E419" s="64">
        <v>3966595.7065879218</v>
      </c>
      <c r="F419" s="64" t="s">
        <v>357</v>
      </c>
      <c r="G419" s="25">
        <f t="shared" si="13"/>
        <v>-6.4833363686033207E-3</v>
      </c>
      <c r="I419" s="64">
        <v>131.88</v>
      </c>
      <c r="J419" s="64">
        <v>133.99</v>
      </c>
      <c r="K419" s="64">
        <v>129.72</v>
      </c>
      <c r="L419" s="64">
        <v>132.06</v>
      </c>
      <c r="M419" s="64">
        <v>2667713</v>
      </c>
      <c r="N419" s="64" t="s">
        <v>357</v>
      </c>
      <c r="O419" s="25">
        <f t="shared" si="14"/>
        <v>-1.3630168105407403E-3</v>
      </c>
    </row>
    <row r="420" spans="1:15">
      <c r="A420" s="64">
        <v>545.38783039245152</v>
      </c>
      <c r="B420" s="64">
        <v>547.22555781395135</v>
      </c>
      <c r="C420" s="64">
        <v>543.34149607445727</v>
      </c>
      <c r="D420" s="64">
        <v>545.51696799504339</v>
      </c>
      <c r="E420" s="64">
        <v>3726289.5573551976</v>
      </c>
      <c r="F420" s="64" t="s">
        <v>358</v>
      </c>
      <c r="G420" s="25">
        <f t="shared" si="13"/>
        <v>-2.3672518027528788E-4</v>
      </c>
      <c r="I420" s="64">
        <v>132.06</v>
      </c>
      <c r="J420" s="64">
        <v>135.07</v>
      </c>
      <c r="K420" s="64">
        <v>128.80000000000001</v>
      </c>
      <c r="L420" s="64">
        <v>128.80000000000001</v>
      </c>
      <c r="M420" s="64">
        <v>4567415</v>
      </c>
      <c r="N420" s="64" t="s">
        <v>358</v>
      </c>
      <c r="O420" s="25">
        <f t="shared" si="14"/>
        <v>2.5310559006211042E-2</v>
      </c>
    </row>
    <row r="421" spans="1:15">
      <c r="A421" s="64">
        <v>545.10968786379215</v>
      </c>
      <c r="B421" s="64">
        <v>547.28515978437838</v>
      </c>
      <c r="C421" s="64">
        <v>542.80507834061393</v>
      </c>
      <c r="D421" s="64">
        <v>546.73880838879734</v>
      </c>
      <c r="E421" s="64">
        <v>4850792.3132173652</v>
      </c>
      <c r="F421" s="64" t="s">
        <v>359</v>
      </c>
      <c r="G421" s="25">
        <f t="shared" si="13"/>
        <v>-2.9797052998782325E-3</v>
      </c>
      <c r="I421" s="64">
        <v>127.75</v>
      </c>
      <c r="J421" s="64">
        <v>130.47</v>
      </c>
      <c r="K421" s="64">
        <v>125.69</v>
      </c>
      <c r="L421" s="64">
        <v>126.66</v>
      </c>
      <c r="M421" s="64">
        <v>5247916</v>
      </c>
      <c r="N421" s="64" t="s">
        <v>359</v>
      </c>
      <c r="O421" s="25">
        <f t="shared" si="14"/>
        <v>8.6057160903205698E-3</v>
      </c>
    </row>
    <row r="422" spans="1:15">
      <c r="A422" s="64">
        <v>546.74874205053516</v>
      </c>
      <c r="B422" s="64">
        <v>548.06991906166752</v>
      </c>
      <c r="C422" s="64">
        <v>545.20902448117056</v>
      </c>
      <c r="D422" s="64">
        <v>547.77190920953228</v>
      </c>
      <c r="E422" s="64">
        <v>4925805.9405851793</v>
      </c>
      <c r="F422" s="64" t="s">
        <v>360</v>
      </c>
      <c r="G422" s="25">
        <f t="shared" si="13"/>
        <v>-1.8678708086247164E-3</v>
      </c>
      <c r="I422" s="64">
        <v>129.22999999999999</v>
      </c>
      <c r="J422" s="64">
        <v>139.04</v>
      </c>
      <c r="K422" s="64">
        <v>128.30000000000001</v>
      </c>
      <c r="L422" s="64">
        <v>139</v>
      </c>
      <c r="M422" s="64">
        <v>5711378</v>
      </c>
      <c r="N422" s="64" t="s">
        <v>360</v>
      </c>
      <c r="O422" s="25">
        <f t="shared" si="14"/>
        <v>-7.0287769784172727E-2</v>
      </c>
    </row>
    <row r="423" spans="1:15">
      <c r="A423" s="64">
        <v>546.30172727233264</v>
      </c>
      <c r="B423" s="64">
        <v>547.5831696365135</v>
      </c>
      <c r="C423" s="64">
        <v>544.4242652038813</v>
      </c>
      <c r="D423" s="64">
        <v>544.43419886561924</v>
      </c>
      <c r="E423" s="64">
        <v>6843373.7522054855</v>
      </c>
      <c r="F423" s="64" t="s">
        <v>361</v>
      </c>
      <c r="G423" s="25">
        <f t="shared" si="13"/>
        <v>3.4302187676757967E-3</v>
      </c>
      <c r="I423" s="64">
        <v>134.80000000000001</v>
      </c>
      <c r="J423" s="64">
        <v>134.80000000000001</v>
      </c>
      <c r="K423" s="64">
        <v>128.33000000000001</v>
      </c>
      <c r="L423" s="64">
        <v>130.03</v>
      </c>
      <c r="M423" s="64">
        <v>4402023</v>
      </c>
      <c r="N423" s="64" t="s">
        <v>361</v>
      </c>
      <c r="O423" s="25">
        <f t="shared" si="14"/>
        <v>3.6683842190263771E-2</v>
      </c>
    </row>
    <row r="424" spans="1:15">
      <c r="A424" s="64">
        <v>543.89778113177601</v>
      </c>
      <c r="B424" s="64">
        <v>544.83651216600163</v>
      </c>
      <c r="C424" s="64">
        <v>541.53356963817089</v>
      </c>
      <c r="D424" s="64">
        <v>541.60310527033573</v>
      </c>
      <c r="E424" s="64">
        <v>6091687.1942106001</v>
      </c>
      <c r="F424" s="64" t="s">
        <v>362</v>
      </c>
      <c r="G424" s="25">
        <f t="shared" si="13"/>
        <v>4.23682183338836E-3</v>
      </c>
      <c r="I424" s="64">
        <v>131.44</v>
      </c>
      <c r="J424" s="64">
        <v>133.25</v>
      </c>
      <c r="K424" s="64">
        <v>121.57</v>
      </c>
      <c r="L424" s="64">
        <v>121.57</v>
      </c>
      <c r="M424" s="64">
        <v>7756027</v>
      </c>
      <c r="N424" s="64" t="s">
        <v>362</v>
      </c>
      <c r="O424" s="25">
        <f t="shared" si="14"/>
        <v>8.1187793041046286E-2</v>
      </c>
    </row>
    <row r="425" spans="1:15">
      <c r="A425" s="64">
        <v>539.69584221667105</v>
      </c>
      <c r="B425" s="64">
        <v>540.5302698026494</v>
      </c>
      <c r="C425" s="64">
        <v>534.59987374516083</v>
      </c>
      <c r="D425" s="64">
        <v>538.05678802992804</v>
      </c>
      <c r="E425" s="64">
        <v>7533311.6805219874</v>
      </c>
      <c r="F425" s="64" t="s">
        <v>363</v>
      </c>
      <c r="G425" s="25">
        <f t="shared" si="13"/>
        <v>3.0462475768484598E-3</v>
      </c>
      <c r="I425" s="64">
        <v>121.08</v>
      </c>
      <c r="J425" s="64">
        <v>124.92959999999999</v>
      </c>
      <c r="K425" s="64">
        <v>117.16</v>
      </c>
      <c r="L425" s="64">
        <v>124.15</v>
      </c>
      <c r="M425" s="64">
        <v>6506131</v>
      </c>
      <c r="N425" s="64" t="s">
        <v>363</v>
      </c>
      <c r="O425" s="25">
        <f t="shared" si="14"/>
        <v>-2.4728151429722178E-2</v>
      </c>
    </row>
    <row r="426" spans="1:15">
      <c r="A426" s="64">
        <v>526.58340872272663</v>
      </c>
      <c r="B426" s="64">
        <v>526.65294435489136</v>
      </c>
      <c r="C426" s="64">
        <v>521.00069082606228</v>
      </c>
      <c r="D426" s="64">
        <v>521.23909870777038</v>
      </c>
      <c r="E426" s="64">
        <v>3322318.6847901442</v>
      </c>
      <c r="F426" s="64" t="s">
        <v>364</v>
      </c>
      <c r="G426" s="25">
        <f t="shared" si="13"/>
        <v>1.0253087360878377E-2</v>
      </c>
      <c r="I426" s="64">
        <v>122.57</v>
      </c>
      <c r="J426" s="64">
        <v>122.68</v>
      </c>
      <c r="K426" s="64">
        <v>110.27</v>
      </c>
      <c r="L426" s="64">
        <v>110.5</v>
      </c>
      <c r="M426" s="64">
        <v>10831246</v>
      </c>
      <c r="N426" s="64" t="s">
        <v>364</v>
      </c>
      <c r="O426" s="25">
        <f t="shared" si="14"/>
        <v>0.10923076923076924</v>
      </c>
    </row>
    <row r="427" spans="1:15">
      <c r="A427" s="64">
        <v>520.32520182788937</v>
      </c>
      <c r="B427" s="64">
        <v>522.78874993887291</v>
      </c>
      <c r="C427" s="64">
        <v>518.56704303690969</v>
      </c>
      <c r="D427" s="64">
        <v>521.57684320685678</v>
      </c>
      <c r="E427" s="64">
        <v>3706046.2668841663</v>
      </c>
      <c r="F427" s="64" t="s">
        <v>365</v>
      </c>
      <c r="G427" s="25">
        <f t="shared" si="13"/>
        <v>-2.3997257456290777E-3</v>
      </c>
      <c r="I427" s="64">
        <v>109.03</v>
      </c>
      <c r="J427" s="64">
        <v>112.98</v>
      </c>
      <c r="K427" s="64">
        <v>108.68470000000001</v>
      </c>
      <c r="L427" s="64">
        <v>110.765</v>
      </c>
      <c r="M427" s="64">
        <v>7719250</v>
      </c>
      <c r="N427" s="64" t="s">
        <v>365</v>
      </c>
      <c r="O427" s="25">
        <f t="shared" si="14"/>
        <v>-1.5663792714305069E-2</v>
      </c>
    </row>
    <row r="428" spans="1:15">
      <c r="A428" s="64">
        <v>521.45763926600284</v>
      </c>
      <c r="B428" s="64">
        <v>525.57017522546732</v>
      </c>
      <c r="C428" s="64">
        <v>521.0603921331068</v>
      </c>
      <c r="D428" s="64">
        <v>521.67617982423519</v>
      </c>
      <c r="E428" s="64">
        <v>6147724.938870227</v>
      </c>
      <c r="F428" s="64" t="s">
        <v>366</v>
      </c>
      <c r="G428" s="25">
        <f t="shared" si="13"/>
        <v>-4.1891994820619782E-4</v>
      </c>
      <c r="I428" s="64">
        <v>112.98</v>
      </c>
      <c r="J428" s="64">
        <v>115.5</v>
      </c>
      <c r="K428" s="64">
        <v>110.5</v>
      </c>
      <c r="L428" s="64">
        <v>114</v>
      </c>
      <c r="M428" s="64">
        <v>12024739</v>
      </c>
      <c r="N428" s="64" t="s">
        <v>366</v>
      </c>
      <c r="O428" s="25">
        <f t="shared" si="14"/>
        <v>-8.9473684210525928E-3</v>
      </c>
    </row>
    <row r="429" spans="1:15">
      <c r="A429" s="64">
        <v>519.20269805151383</v>
      </c>
      <c r="B429" s="64">
        <v>525.71918015153483</v>
      </c>
      <c r="C429" s="64">
        <v>519.04375946370851</v>
      </c>
      <c r="D429" s="64">
        <v>525.58010888720514</v>
      </c>
      <c r="E429" s="64">
        <v>8026017.2033361597</v>
      </c>
      <c r="F429" s="64" t="s">
        <v>367</v>
      </c>
      <c r="G429" s="25">
        <f t="shared" si="13"/>
        <v>-1.213404146742536E-2</v>
      </c>
      <c r="I429" s="64">
        <v>119.3</v>
      </c>
      <c r="J429" s="64">
        <v>123.6</v>
      </c>
      <c r="K429" s="64">
        <v>114.8</v>
      </c>
      <c r="L429" s="64">
        <v>117.405</v>
      </c>
      <c r="M429" s="64">
        <v>17033460</v>
      </c>
      <c r="N429" s="64" t="s">
        <v>367</v>
      </c>
      <c r="O429" s="25">
        <f t="shared" si="14"/>
        <v>1.6140709509816498E-2</v>
      </c>
    </row>
    <row r="430" spans="1:15">
      <c r="A430" s="64">
        <v>529.62310921450455</v>
      </c>
      <c r="B430" s="64">
        <v>532.64294238280706</v>
      </c>
      <c r="C430" s="64">
        <v>529.05689049544799</v>
      </c>
      <c r="D430" s="64">
        <v>530.80521496130723</v>
      </c>
      <c r="E430" s="64">
        <v>3087496.9179974315</v>
      </c>
      <c r="F430" s="64" t="s">
        <v>368</v>
      </c>
      <c r="G430" s="25">
        <f t="shared" si="13"/>
        <v>-2.2270047721533182E-3</v>
      </c>
      <c r="I430" s="64">
        <v>116.05</v>
      </c>
      <c r="J430" s="64">
        <v>118.24939999999999</v>
      </c>
      <c r="K430" s="64">
        <v>104.11</v>
      </c>
      <c r="L430" s="64">
        <v>104.9</v>
      </c>
      <c r="M430" s="64">
        <v>37764574</v>
      </c>
      <c r="N430" s="64" t="s">
        <v>368</v>
      </c>
      <c r="O430" s="25">
        <f t="shared" si="14"/>
        <v>0.10629170638703522</v>
      </c>
    </row>
    <row r="431" spans="1:15">
      <c r="A431" s="64">
        <v>531.22242875429629</v>
      </c>
      <c r="B431" s="64">
        <v>532.26546323676928</v>
      </c>
      <c r="C431" s="64">
        <v>528.22246290946964</v>
      </c>
      <c r="D431" s="64">
        <v>529.58337456755328</v>
      </c>
      <c r="E431" s="64">
        <v>3047829.7730513616</v>
      </c>
      <c r="F431" s="64" t="s">
        <v>369</v>
      </c>
      <c r="G431" s="25">
        <f t="shared" si="13"/>
        <v>3.0949879951980286E-3</v>
      </c>
      <c r="I431" s="64">
        <v>81.739999999999995</v>
      </c>
      <c r="J431" s="64">
        <v>82.974999999999994</v>
      </c>
      <c r="K431" s="64">
        <v>79.099999999999994</v>
      </c>
      <c r="L431" s="64">
        <v>79.724999999999994</v>
      </c>
      <c r="M431" s="64">
        <v>12718705</v>
      </c>
      <c r="N431" s="64" t="s">
        <v>369</v>
      </c>
      <c r="O431" s="25">
        <f t="shared" si="14"/>
        <v>2.5274380683599773E-2</v>
      </c>
    </row>
    <row r="432" spans="1:15">
      <c r="A432" s="64">
        <v>530.37806750658012</v>
      </c>
      <c r="B432" s="64">
        <v>532.01712169332336</v>
      </c>
      <c r="C432" s="64">
        <v>530.13052065607326</v>
      </c>
      <c r="D432" s="64">
        <v>531.97738704637186</v>
      </c>
      <c r="E432" s="64">
        <v>3430729.8657243685</v>
      </c>
      <c r="F432" s="64" t="s">
        <v>370</v>
      </c>
      <c r="G432" s="25">
        <f t="shared" si="13"/>
        <v>-3.0063675237614884E-3</v>
      </c>
      <c r="I432" s="64">
        <v>79.680000000000007</v>
      </c>
      <c r="J432" s="64">
        <v>82.53</v>
      </c>
      <c r="K432" s="64">
        <v>79.45</v>
      </c>
      <c r="L432" s="64">
        <v>82.21</v>
      </c>
      <c r="M432" s="64">
        <v>6567464</v>
      </c>
      <c r="N432" s="64" t="s">
        <v>370</v>
      </c>
      <c r="O432" s="25">
        <f t="shared" si="14"/>
        <v>-3.0774844909378318E-2</v>
      </c>
    </row>
    <row r="433" spans="1:15">
      <c r="A433" s="64">
        <v>528.72907965809929</v>
      </c>
      <c r="B433" s="64">
        <v>533.69600986363503</v>
      </c>
      <c r="C433" s="64">
        <v>527.88869187507828</v>
      </c>
      <c r="D433" s="64">
        <v>531.10322481344224</v>
      </c>
      <c r="E433" s="64">
        <v>4356087.5276414705</v>
      </c>
      <c r="F433" s="64" t="s">
        <v>371</v>
      </c>
      <c r="G433" s="25">
        <f t="shared" si="13"/>
        <v>-4.4702141587954491E-3</v>
      </c>
      <c r="I433" s="64">
        <v>81.36</v>
      </c>
      <c r="J433" s="64">
        <v>81.72</v>
      </c>
      <c r="K433" s="64">
        <v>79.02</v>
      </c>
      <c r="L433" s="64">
        <v>79.02</v>
      </c>
      <c r="M433" s="64">
        <v>3889070</v>
      </c>
      <c r="N433" s="64" t="s">
        <v>371</v>
      </c>
      <c r="O433" s="25">
        <f t="shared" si="14"/>
        <v>2.9612756264236983E-2</v>
      </c>
    </row>
    <row r="434" spans="1:15">
      <c r="A434" s="64">
        <v>528.93768655459394</v>
      </c>
      <c r="B434" s="64">
        <v>529.6429765379803</v>
      </c>
      <c r="C434" s="64">
        <v>526.52380675229949</v>
      </c>
      <c r="D434" s="64">
        <v>529.63304287624237</v>
      </c>
      <c r="E434" s="64">
        <v>4507665.0666938424</v>
      </c>
      <c r="F434" s="64" t="s">
        <v>372</v>
      </c>
      <c r="G434" s="25">
        <f t="shared" si="13"/>
        <v>-1.3129020762605581E-3</v>
      </c>
      <c r="I434" s="64">
        <v>78.599999999999994</v>
      </c>
      <c r="J434" s="64">
        <v>78.715000000000003</v>
      </c>
      <c r="K434" s="64">
        <v>77.14</v>
      </c>
      <c r="L434" s="64">
        <v>77.855000000000004</v>
      </c>
      <c r="M434" s="64">
        <v>2174123</v>
      </c>
      <c r="N434" s="64" t="s">
        <v>372</v>
      </c>
      <c r="O434" s="25">
        <f t="shared" si="14"/>
        <v>9.5690707083679882E-3</v>
      </c>
    </row>
    <row r="435" spans="1:15">
      <c r="A435" s="64">
        <v>527.74564714605344</v>
      </c>
      <c r="B435" s="64">
        <v>531.1727604456072</v>
      </c>
      <c r="C435" s="64">
        <v>524.51720708125652</v>
      </c>
      <c r="D435" s="64">
        <v>530.73567932914227</v>
      </c>
      <c r="E435" s="64">
        <v>5262665.6090852972</v>
      </c>
      <c r="F435" s="64" t="s">
        <v>373</v>
      </c>
      <c r="G435" s="25">
        <f t="shared" si="13"/>
        <v>-5.6337500935838003E-3</v>
      </c>
      <c r="I435" s="64">
        <v>77.680000000000007</v>
      </c>
      <c r="J435" s="64">
        <v>80.13</v>
      </c>
      <c r="K435" s="64">
        <v>76.650999999999996</v>
      </c>
      <c r="L435" s="64">
        <v>77.69</v>
      </c>
      <c r="M435" s="64">
        <v>4083658</v>
      </c>
      <c r="N435" s="64" t="s">
        <v>373</v>
      </c>
      <c r="O435" s="25">
        <f t="shared" si="14"/>
        <v>-1.2871669455516432E-4</v>
      </c>
    </row>
    <row r="436" spans="1:15">
      <c r="A436" s="64">
        <v>532.60320773585568</v>
      </c>
      <c r="B436" s="64">
        <v>533.7157778504934</v>
      </c>
      <c r="C436" s="64">
        <v>529.93105272837761</v>
      </c>
      <c r="D436" s="64">
        <v>530.56680707959913</v>
      </c>
      <c r="E436" s="64">
        <v>3389077.5515103652</v>
      </c>
      <c r="F436" s="64" t="s">
        <v>374</v>
      </c>
      <c r="G436" s="25">
        <f t="shared" si="13"/>
        <v>3.8381606785118372E-3</v>
      </c>
      <c r="I436" s="64">
        <v>77.290000000000006</v>
      </c>
      <c r="J436" s="64">
        <v>78.5</v>
      </c>
      <c r="K436" s="64">
        <v>76.540000000000006</v>
      </c>
      <c r="L436" s="64">
        <v>77.77</v>
      </c>
      <c r="M436" s="64">
        <v>3284956</v>
      </c>
      <c r="N436" s="64" t="s">
        <v>374</v>
      </c>
      <c r="O436" s="25">
        <f t="shared" si="14"/>
        <v>-6.1720457760060521E-3</v>
      </c>
    </row>
    <row r="437" spans="1:15">
      <c r="A437" s="64">
        <v>532.97075322015553</v>
      </c>
      <c r="B437" s="64">
        <v>534.04358868784198</v>
      </c>
      <c r="C437" s="64">
        <v>530.16946061008571</v>
      </c>
      <c r="D437" s="64">
        <v>533.15949279317454</v>
      </c>
      <c r="E437" s="64">
        <v>3695949.2852627807</v>
      </c>
      <c r="F437" s="64" t="s">
        <v>375</v>
      </c>
      <c r="G437" s="25">
        <f t="shared" si="13"/>
        <v>-3.5400208674929434E-4</v>
      </c>
      <c r="I437" s="64">
        <v>78.55</v>
      </c>
      <c r="J437" s="64">
        <v>80.555000000000007</v>
      </c>
      <c r="K437" s="64">
        <v>77.900000000000006</v>
      </c>
      <c r="L437" s="64">
        <v>80.555000000000007</v>
      </c>
      <c r="M437" s="64">
        <v>3750578</v>
      </c>
      <c r="N437" s="64" t="s">
        <v>375</v>
      </c>
      <c r="O437" s="25">
        <f t="shared" si="14"/>
        <v>-2.488982682639207E-2</v>
      </c>
    </row>
    <row r="438" spans="1:15">
      <c r="A438" s="64">
        <v>533.79524714439606</v>
      </c>
      <c r="B438" s="64">
        <v>534.53033811299599</v>
      </c>
      <c r="C438" s="64">
        <v>532.00718803158543</v>
      </c>
      <c r="D438" s="64">
        <v>533.3382987044555</v>
      </c>
      <c r="E438" s="64">
        <v>5104272.8591080224</v>
      </c>
      <c r="F438" s="64" t="s">
        <v>376</v>
      </c>
      <c r="G438" s="25">
        <f t="shared" si="13"/>
        <v>8.5677034829600984E-4</v>
      </c>
      <c r="I438" s="64">
        <v>80.900000000000006</v>
      </c>
      <c r="J438" s="64">
        <v>81.36</v>
      </c>
      <c r="K438" s="64">
        <v>76.42</v>
      </c>
      <c r="L438" s="64">
        <v>76.61</v>
      </c>
      <c r="M438" s="64">
        <v>5428484</v>
      </c>
      <c r="N438" s="64" t="s">
        <v>376</v>
      </c>
      <c r="O438" s="25">
        <f t="shared" si="14"/>
        <v>5.5997911499804376E-2</v>
      </c>
    </row>
    <row r="439" spans="1:15">
      <c r="A439" s="64">
        <v>531.74891282640169</v>
      </c>
      <c r="B439" s="64">
        <v>535.18595978769315</v>
      </c>
      <c r="C439" s="64">
        <v>531.59990790033407</v>
      </c>
      <c r="D439" s="64">
        <v>535.04688852336346</v>
      </c>
      <c r="E439" s="64">
        <v>3246835.945414796</v>
      </c>
      <c r="F439" s="64" t="s">
        <v>377</v>
      </c>
      <c r="G439" s="25">
        <f t="shared" si="13"/>
        <v>-6.1639003379004853E-3</v>
      </c>
      <c r="I439" s="64">
        <v>76.290000000000006</v>
      </c>
      <c r="J439" s="64">
        <v>78.739999999999995</v>
      </c>
      <c r="K439" s="64">
        <v>75.94</v>
      </c>
      <c r="L439" s="64">
        <v>76.98</v>
      </c>
      <c r="M439" s="64">
        <v>3074850</v>
      </c>
      <c r="N439" s="64" t="s">
        <v>377</v>
      </c>
      <c r="O439" s="25">
        <f t="shared" si="14"/>
        <v>-8.9633671083397815E-3</v>
      </c>
    </row>
    <row r="440" spans="1:15">
      <c r="A440" s="64">
        <v>531.66944353249903</v>
      </c>
      <c r="B440" s="64">
        <v>532.17606028112868</v>
      </c>
      <c r="C440" s="64">
        <v>528.68437818027905</v>
      </c>
      <c r="D440" s="64">
        <v>529.39463499453439</v>
      </c>
      <c r="E440" s="64">
        <v>3258834.5420195116</v>
      </c>
      <c r="F440" s="64" t="s">
        <v>378</v>
      </c>
      <c r="G440" s="25">
        <f t="shared" si="13"/>
        <v>4.2969996059520899E-3</v>
      </c>
      <c r="I440" s="64">
        <v>77.260000000000005</v>
      </c>
      <c r="J440" s="64">
        <v>77.87</v>
      </c>
      <c r="K440" s="64">
        <v>73.59</v>
      </c>
      <c r="L440" s="64">
        <v>75.16</v>
      </c>
      <c r="M440" s="64">
        <v>4455191</v>
      </c>
      <c r="N440" s="64" t="s">
        <v>378</v>
      </c>
      <c r="O440" s="25">
        <f t="shared" si="14"/>
        <v>2.7940393826503485E-2</v>
      </c>
    </row>
    <row r="441" spans="1:15">
      <c r="A441" s="64">
        <v>529.44430330322359</v>
      </c>
      <c r="B441" s="64">
        <v>534.04358868784198</v>
      </c>
      <c r="C441" s="64">
        <v>528.2919985416346</v>
      </c>
      <c r="D441" s="64">
        <v>533.81511446787169</v>
      </c>
      <c r="E441" s="64">
        <v>4843460.6764129233</v>
      </c>
      <c r="F441" s="64" t="s">
        <v>379</v>
      </c>
      <c r="G441" s="25">
        <f t="shared" si="13"/>
        <v>-8.1878745022143651E-3</v>
      </c>
      <c r="I441" s="64">
        <v>75.17</v>
      </c>
      <c r="J441" s="64">
        <v>76.48</v>
      </c>
      <c r="K441" s="64">
        <v>74.14</v>
      </c>
      <c r="L441" s="64">
        <v>74.8</v>
      </c>
      <c r="M441" s="64">
        <v>5701323</v>
      </c>
      <c r="N441" s="64" t="s">
        <v>379</v>
      </c>
      <c r="O441" s="25">
        <f t="shared" si="14"/>
        <v>4.9465240641712871E-3</v>
      </c>
    </row>
    <row r="442" spans="1:15">
      <c r="A442" s="64">
        <v>533.50717095399887</v>
      </c>
      <c r="B442" s="64">
        <v>534.41113417214194</v>
      </c>
      <c r="C442" s="64">
        <v>530.42773581526944</v>
      </c>
      <c r="D442" s="64">
        <v>530.70587834392882</v>
      </c>
      <c r="E442" s="64">
        <v>2656552.1049991744</v>
      </c>
      <c r="F442" s="64" t="s">
        <v>380</v>
      </c>
      <c r="G442" s="25">
        <f t="shared" si="13"/>
        <v>5.2784277023867343E-3</v>
      </c>
      <c r="I442" s="64">
        <v>74.87</v>
      </c>
      <c r="J442" s="64">
        <v>75.67</v>
      </c>
      <c r="K442" s="64">
        <v>72.819999999999993</v>
      </c>
      <c r="L442" s="64">
        <v>73.75</v>
      </c>
      <c r="M442" s="64">
        <v>5488824</v>
      </c>
      <c r="N442" s="64" t="s">
        <v>380</v>
      </c>
      <c r="O442" s="25">
        <f t="shared" si="14"/>
        <v>1.5186440677966262E-2</v>
      </c>
    </row>
    <row r="443" spans="1:15">
      <c r="A443" s="64">
        <v>529.17609443630204</v>
      </c>
      <c r="B443" s="64">
        <v>529.89131808142622</v>
      </c>
      <c r="C443" s="64">
        <v>525.87811873934015</v>
      </c>
      <c r="D443" s="64">
        <v>525.98738901845638</v>
      </c>
      <c r="E443" s="64">
        <v>5465424.6775090043</v>
      </c>
      <c r="F443" s="64" t="s">
        <v>381</v>
      </c>
      <c r="G443" s="25">
        <f t="shared" si="13"/>
        <v>6.0623229461758132E-3</v>
      </c>
      <c r="I443" s="64">
        <v>73.25</v>
      </c>
      <c r="J443" s="64">
        <v>73.25</v>
      </c>
      <c r="K443" s="64">
        <v>69.739999999999995</v>
      </c>
      <c r="L443" s="64">
        <v>69.95</v>
      </c>
      <c r="M443" s="64">
        <v>5076331</v>
      </c>
      <c r="N443" s="64" t="s">
        <v>381</v>
      </c>
      <c r="O443" s="25">
        <f t="shared" si="14"/>
        <v>4.7176554681915617E-2</v>
      </c>
    </row>
    <row r="444" spans="1:15">
      <c r="A444" s="64">
        <v>526.04699098888329</v>
      </c>
      <c r="B444" s="64">
        <v>527.37810166175348</v>
      </c>
      <c r="C444" s="64">
        <v>524.58674271342147</v>
      </c>
      <c r="D444" s="64">
        <v>525.7589147984861</v>
      </c>
      <c r="E444" s="64">
        <v>3661925.577900907</v>
      </c>
      <c r="F444" s="64" t="s">
        <v>382</v>
      </c>
      <c r="G444" s="25">
        <f t="shared" si="13"/>
        <v>5.4792449978258162E-4</v>
      </c>
      <c r="I444" s="64">
        <v>69.900000000000006</v>
      </c>
      <c r="J444" s="64">
        <v>71.66</v>
      </c>
      <c r="K444" s="64">
        <v>69.3001</v>
      </c>
      <c r="L444" s="64">
        <v>70.69</v>
      </c>
      <c r="M444" s="64">
        <v>3974118</v>
      </c>
      <c r="N444" s="64" t="s">
        <v>382</v>
      </c>
      <c r="O444" s="25">
        <f t="shared" si="14"/>
        <v>-1.1175555241193846E-2</v>
      </c>
    </row>
    <row r="445" spans="1:15">
      <c r="A445" s="64">
        <v>526.93108688355096</v>
      </c>
      <c r="B445" s="64">
        <v>527.50723926434534</v>
      </c>
      <c r="C445" s="64">
        <v>522.81855092408637</v>
      </c>
      <c r="D445" s="64">
        <v>523.37483598140534</v>
      </c>
      <c r="E445" s="64">
        <v>2961430.6160586346</v>
      </c>
      <c r="F445" s="64" t="s">
        <v>383</v>
      </c>
      <c r="G445" s="25">
        <f t="shared" si="13"/>
        <v>6.7948450281853923E-3</v>
      </c>
      <c r="I445" s="64">
        <v>71</v>
      </c>
      <c r="J445" s="64">
        <v>75.2</v>
      </c>
      <c r="K445" s="64">
        <v>70.44</v>
      </c>
      <c r="L445" s="64">
        <v>73.64</v>
      </c>
      <c r="M445" s="64">
        <v>5018988</v>
      </c>
      <c r="N445" s="64" t="s">
        <v>383</v>
      </c>
      <c r="O445" s="25">
        <f t="shared" si="14"/>
        <v>-3.585008147745794E-2</v>
      </c>
    </row>
    <row r="446" spans="1:15">
      <c r="A446" s="64">
        <v>523.3549686579297</v>
      </c>
      <c r="B446" s="64">
        <v>523.88145273003499</v>
      </c>
      <c r="C446" s="64">
        <v>520.02719197575436</v>
      </c>
      <c r="D446" s="64">
        <v>520.84175223825696</v>
      </c>
      <c r="E446" s="64">
        <v>2644208.2177966391</v>
      </c>
      <c r="F446" s="64" t="s">
        <v>384</v>
      </c>
      <c r="G446" s="25">
        <f t="shared" si="13"/>
        <v>4.8252975282270238E-3</v>
      </c>
      <c r="I446" s="64">
        <v>70.77</v>
      </c>
      <c r="J446" s="64">
        <v>72.98</v>
      </c>
      <c r="K446" s="64">
        <v>70.239999999999995</v>
      </c>
      <c r="L446" s="64">
        <v>70.75</v>
      </c>
      <c r="M446" s="64">
        <v>2494671</v>
      </c>
      <c r="N446" s="64" t="s">
        <v>384</v>
      </c>
      <c r="O446" s="25">
        <f t="shared" si="14"/>
        <v>2.82685512367431E-4</v>
      </c>
    </row>
    <row r="447" spans="1:15">
      <c r="A447" s="64">
        <v>518.44773975943826</v>
      </c>
      <c r="B447" s="64">
        <v>522.23256421817143</v>
      </c>
      <c r="C447" s="64">
        <v>517.35503696827618</v>
      </c>
      <c r="D447" s="64">
        <v>521.65631250075955</v>
      </c>
      <c r="E447" s="64">
        <v>3997020.5396430702</v>
      </c>
      <c r="F447" s="64" t="s">
        <v>385</v>
      </c>
      <c r="G447" s="25">
        <f t="shared" si="13"/>
        <v>-6.15074075484634E-3</v>
      </c>
      <c r="I447" s="64">
        <v>70.44</v>
      </c>
      <c r="J447" s="64">
        <v>73.42</v>
      </c>
      <c r="K447" s="64">
        <v>70.13</v>
      </c>
      <c r="L447" s="64">
        <v>72.989999999999995</v>
      </c>
      <c r="M447" s="64">
        <v>2811169</v>
      </c>
      <c r="N447" s="64" t="s">
        <v>385</v>
      </c>
      <c r="O447" s="25">
        <f t="shared" si="14"/>
        <v>-3.4936292642827715E-2</v>
      </c>
    </row>
    <row r="448" spans="1:15">
      <c r="A448" s="64">
        <v>523.15629542317288</v>
      </c>
      <c r="B448" s="64">
        <v>523.52384090747285</v>
      </c>
      <c r="C448" s="64">
        <v>518.83515256721387</v>
      </c>
      <c r="D448" s="64">
        <v>522.66954599801886</v>
      </c>
      <c r="E448" s="64">
        <v>5393957.5771852722</v>
      </c>
      <c r="F448" s="64" t="s">
        <v>386</v>
      </c>
      <c r="G448" s="25">
        <f t="shared" si="13"/>
        <v>9.312756575947656E-4</v>
      </c>
      <c r="I448" s="64">
        <v>72.38</v>
      </c>
      <c r="J448" s="64">
        <v>72.88</v>
      </c>
      <c r="K448" s="64">
        <v>68.8</v>
      </c>
      <c r="L448" s="64">
        <v>69.52</v>
      </c>
      <c r="M448" s="64">
        <v>7419214</v>
      </c>
      <c r="N448" s="64" t="s">
        <v>386</v>
      </c>
      <c r="O448" s="25">
        <f t="shared" si="14"/>
        <v>4.1139240506329111E-2</v>
      </c>
    </row>
    <row r="449" spans="1:15">
      <c r="A449" s="64">
        <v>518.37820412727342</v>
      </c>
      <c r="B449" s="64">
        <v>520.28050035006913</v>
      </c>
      <c r="C449" s="64">
        <v>516.37160445623044</v>
      </c>
      <c r="D449" s="64">
        <v>518.10006159861393</v>
      </c>
      <c r="E449" s="64">
        <v>4034717.615493123</v>
      </c>
      <c r="F449" s="64" t="s">
        <v>387</v>
      </c>
      <c r="G449" s="25">
        <f t="shared" si="13"/>
        <v>5.3685098550504406E-4</v>
      </c>
      <c r="I449" s="64">
        <v>67.47</v>
      </c>
      <c r="J449" s="64">
        <v>68.97</v>
      </c>
      <c r="K449" s="64">
        <v>67.349999999999994</v>
      </c>
      <c r="L449" s="64">
        <v>68.06</v>
      </c>
      <c r="M449" s="64">
        <v>4120349</v>
      </c>
      <c r="N449" s="64" t="s">
        <v>387</v>
      </c>
      <c r="O449" s="25">
        <f t="shared" si="14"/>
        <v>-8.6688216279753316E-3</v>
      </c>
    </row>
    <row r="450" spans="1:15">
      <c r="A450" s="64">
        <v>519.36163663931927</v>
      </c>
      <c r="B450" s="64">
        <v>520.37487013657858</v>
      </c>
      <c r="C450" s="64">
        <v>516.13329591113973</v>
      </c>
      <c r="D450" s="64">
        <v>518.38813778901124</v>
      </c>
      <c r="E450" s="64">
        <v>3292424.3711083229</v>
      </c>
      <c r="F450" s="64" t="s">
        <v>388</v>
      </c>
      <c r="G450" s="25">
        <f t="shared" ref="G450:G513" si="15">A450/D450-1</f>
        <v>1.877934272300541E-3</v>
      </c>
      <c r="I450" s="64">
        <v>67.78</v>
      </c>
      <c r="J450" s="64">
        <v>68.31</v>
      </c>
      <c r="K450" s="64">
        <v>64.900000000000006</v>
      </c>
      <c r="L450" s="64">
        <v>65.489999999999995</v>
      </c>
      <c r="M450" s="64">
        <v>3992032</v>
      </c>
      <c r="N450" s="64" t="s">
        <v>388</v>
      </c>
      <c r="O450" s="25">
        <f t="shared" ref="O450:O513" si="16">I450/L450-1</f>
        <v>3.4967170560390892E-2</v>
      </c>
    </row>
    <row r="451" spans="1:15">
      <c r="A451" s="64">
        <v>519.27223368367868</v>
      </c>
      <c r="B451" s="64">
        <v>523.60331020137562</v>
      </c>
      <c r="C451" s="64">
        <v>516.77888458748168</v>
      </c>
      <c r="D451" s="64">
        <v>523.54370823094848</v>
      </c>
      <c r="E451" s="64">
        <v>9260086.8066232149</v>
      </c>
      <c r="F451" s="64" t="s">
        <v>389</v>
      </c>
      <c r="G451" s="25">
        <f t="shared" si="15"/>
        <v>-8.158773527625951E-3</v>
      </c>
      <c r="I451" s="64">
        <v>65.97</v>
      </c>
      <c r="J451" s="64">
        <v>66.61</v>
      </c>
      <c r="K451" s="64">
        <v>64.515000000000001</v>
      </c>
      <c r="L451" s="64">
        <v>65.930000000000007</v>
      </c>
      <c r="M451" s="64">
        <v>3150485</v>
      </c>
      <c r="N451" s="64" t="s">
        <v>389</v>
      </c>
      <c r="O451" s="25">
        <f t="shared" si="16"/>
        <v>6.067040800847856E-4</v>
      </c>
    </row>
    <row r="452" spans="1:15">
      <c r="A452" s="64">
        <v>524.16952892043219</v>
      </c>
      <c r="B452" s="64">
        <v>524.45263827996064</v>
      </c>
      <c r="C452" s="64">
        <v>518.72588228809775</v>
      </c>
      <c r="D452" s="64">
        <v>520.84175223825696</v>
      </c>
      <c r="E452" s="64">
        <v>8070889.8808808522</v>
      </c>
      <c r="F452" s="64" t="s">
        <v>390</v>
      </c>
      <c r="G452" s="25">
        <f t="shared" si="15"/>
        <v>6.3892279523953821E-3</v>
      </c>
      <c r="I452" s="64">
        <v>65.92</v>
      </c>
      <c r="J452" s="64">
        <v>67.81</v>
      </c>
      <c r="K452" s="64">
        <v>65.319999999999993</v>
      </c>
      <c r="L452" s="64">
        <v>66.94</v>
      </c>
      <c r="M452" s="64">
        <v>3558824</v>
      </c>
      <c r="N452" s="64" t="s">
        <v>390</v>
      </c>
      <c r="O452" s="25">
        <f t="shared" si="16"/>
        <v>-1.5237526142814373E-2</v>
      </c>
    </row>
    <row r="453" spans="1:15">
      <c r="A453" s="64">
        <v>521.89472038246765</v>
      </c>
      <c r="B453" s="64">
        <v>524.2688655378106</v>
      </c>
      <c r="C453" s="64">
        <v>520.84175223825696</v>
      </c>
      <c r="D453" s="64">
        <v>523.59337653963769</v>
      </c>
      <c r="E453" s="64">
        <v>5635982.1259820741</v>
      </c>
      <c r="F453" s="64" t="s">
        <v>391</v>
      </c>
      <c r="G453" s="25">
        <f t="shared" si="15"/>
        <v>-3.2442277409928666E-3</v>
      </c>
      <c r="I453" s="64">
        <v>67.08</v>
      </c>
      <c r="J453" s="64">
        <v>68.349999999999994</v>
      </c>
      <c r="K453" s="64">
        <v>66.12</v>
      </c>
      <c r="L453" s="64">
        <v>66.59</v>
      </c>
      <c r="M453" s="64">
        <v>3922269</v>
      </c>
      <c r="N453" s="64" t="s">
        <v>391</v>
      </c>
      <c r="O453" s="25">
        <f t="shared" si="16"/>
        <v>7.3584622315663317E-3</v>
      </c>
    </row>
    <row r="454" spans="1:15">
      <c r="A454" s="64">
        <v>522.57160009328379</v>
      </c>
      <c r="B454" s="64">
        <v>524.77002524432999</v>
      </c>
      <c r="C454" s="64">
        <v>520.3830777582333</v>
      </c>
      <c r="D454" s="64">
        <v>524.52245484443733</v>
      </c>
      <c r="E454" s="64">
        <v>5325672.0131809711</v>
      </c>
      <c r="F454" s="64" t="s">
        <v>392</v>
      </c>
      <c r="G454" s="25">
        <f t="shared" si="15"/>
        <v>-3.7192969207240356E-3</v>
      </c>
      <c r="I454" s="64">
        <v>66.52</v>
      </c>
      <c r="J454" s="64">
        <v>69</v>
      </c>
      <c r="K454" s="64">
        <v>65.709999999999994</v>
      </c>
      <c r="L454" s="64">
        <v>69</v>
      </c>
      <c r="M454" s="64">
        <v>4310254</v>
      </c>
      <c r="N454" s="64" t="s">
        <v>392</v>
      </c>
      <c r="O454" s="25">
        <f t="shared" si="16"/>
        <v>-3.5942028985507357E-2</v>
      </c>
    </row>
    <row r="455" spans="1:15">
      <c r="A455" s="64">
        <v>520.50191155018172</v>
      </c>
      <c r="B455" s="64">
        <v>522.17548745345562</v>
      </c>
      <c r="C455" s="64">
        <v>519.55124121459414</v>
      </c>
      <c r="D455" s="64">
        <v>521.4921931497521</v>
      </c>
      <c r="E455" s="64">
        <v>35765633.750405967</v>
      </c>
      <c r="F455" s="64" t="s">
        <v>393</v>
      </c>
      <c r="G455" s="25">
        <f t="shared" si="15"/>
        <v>-1.8989384933821851E-3</v>
      </c>
      <c r="I455" s="64">
        <v>67.88</v>
      </c>
      <c r="J455" s="64">
        <v>69.11</v>
      </c>
      <c r="K455" s="64">
        <v>66.349999999999994</v>
      </c>
      <c r="L455" s="64">
        <v>66.959999999999994</v>
      </c>
      <c r="M455" s="64">
        <v>4321053</v>
      </c>
      <c r="N455" s="64" t="s">
        <v>393</v>
      </c>
      <c r="O455" s="25">
        <f t="shared" si="16"/>
        <v>1.3739545997610625E-2</v>
      </c>
    </row>
    <row r="456" spans="1:15">
      <c r="A456" s="64">
        <v>521.56151286172189</v>
      </c>
      <c r="B456" s="64">
        <v>521.71995791765323</v>
      </c>
      <c r="C456" s="64">
        <v>518.29358358313982</v>
      </c>
      <c r="D456" s="64">
        <v>520.89802419000989</v>
      </c>
      <c r="E456" s="64">
        <v>4696248.0187632013</v>
      </c>
      <c r="F456" s="64" t="s">
        <v>394</v>
      </c>
      <c r="G456" s="25">
        <f t="shared" si="15"/>
        <v>1.2737400429647661E-3</v>
      </c>
      <c r="I456" s="64">
        <v>66.959999999999994</v>
      </c>
      <c r="J456" s="64">
        <v>67.28</v>
      </c>
      <c r="K456" s="64">
        <v>63.6</v>
      </c>
      <c r="L456" s="64">
        <v>65.28</v>
      </c>
      <c r="M456" s="64">
        <v>4444864</v>
      </c>
      <c r="N456" s="64" t="s">
        <v>394</v>
      </c>
      <c r="O456" s="25">
        <f t="shared" si="16"/>
        <v>2.5735294117646967E-2</v>
      </c>
    </row>
    <row r="457" spans="1:15">
      <c r="A457" s="64">
        <v>520.06618764637074</v>
      </c>
      <c r="B457" s="64">
        <v>520.71977350208726</v>
      </c>
      <c r="C457" s="64">
        <v>518.7392103029465</v>
      </c>
      <c r="D457" s="64">
        <v>519.89783977444381</v>
      </c>
      <c r="E457" s="64">
        <v>29576592.1660132</v>
      </c>
      <c r="F457" s="64" t="s">
        <v>395</v>
      </c>
      <c r="G457" s="25">
        <f t="shared" si="15"/>
        <v>3.2380952380939299E-4</v>
      </c>
      <c r="I457" s="64">
        <v>65</v>
      </c>
      <c r="J457" s="64">
        <v>66.959999999999994</v>
      </c>
      <c r="K457" s="64">
        <v>64.78</v>
      </c>
      <c r="L457" s="64">
        <v>66</v>
      </c>
      <c r="M457" s="64">
        <v>3645624</v>
      </c>
      <c r="N457" s="64" t="s">
        <v>395</v>
      </c>
      <c r="O457" s="25">
        <f t="shared" si="16"/>
        <v>-1.5151515151515138E-2</v>
      </c>
    </row>
    <row r="458" spans="1:15">
      <c r="A458" s="64">
        <v>518.78872438292501</v>
      </c>
      <c r="B458" s="64">
        <v>519.81861724647808</v>
      </c>
      <c r="C458" s="64">
        <v>516.05554716811071</v>
      </c>
      <c r="D458" s="64">
        <v>518.42232019108394</v>
      </c>
      <c r="E458" s="64">
        <v>5667759.5569129474</v>
      </c>
      <c r="F458" s="64" t="s">
        <v>396</v>
      </c>
      <c r="G458" s="25">
        <f t="shared" si="15"/>
        <v>7.0676777903000421E-4</v>
      </c>
      <c r="I458" s="64">
        <v>66.17</v>
      </c>
      <c r="J458" s="64">
        <v>66.94</v>
      </c>
      <c r="K458" s="64">
        <v>64.17</v>
      </c>
      <c r="L458" s="64">
        <v>64.819999999999993</v>
      </c>
      <c r="M458" s="64">
        <v>8518333</v>
      </c>
      <c r="N458" s="64" t="s">
        <v>396</v>
      </c>
      <c r="O458" s="25">
        <f t="shared" si="16"/>
        <v>2.0826905276149388E-2</v>
      </c>
    </row>
    <row r="459" spans="1:15">
      <c r="A459" s="64">
        <v>519.80871443048238</v>
      </c>
      <c r="B459" s="64">
        <v>521.4822903337564</v>
      </c>
      <c r="C459" s="64">
        <v>517.11514847965111</v>
      </c>
      <c r="D459" s="64">
        <v>519.77900598249528</v>
      </c>
      <c r="E459" s="64">
        <v>5612919.6002545981</v>
      </c>
      <c r="F459" s="64" t="s">
        <v>397</v>
      </c>
      <c r="G459" s="25">
        <f t="shared" si="15"/>
        <v>5.7155921353357897E-5</v>
      </c>
      <c r="I459" s="64">
        <v>64.56</v>
      </c>
      <c r="J459" s="64">
        <v>67.19</v>
      </c>
      <c r="K459" s="64">
        <v>63.9</v>
      </c>
      <c r="L459" s="64">
        <v>64.989999999999995</v>
      </c>
      <c r="M459" s="64">
        <v>5105663</v>
      </c>
      <c r="N459" s="64" t="s">
        <v>397</v>
      </c>
      <c r="O459" s="25">
        <f t="shared" si="16"/>
        <v>-6.6164025234650703E-3</v>
      </c>
    </row>
    <row r="460" spans="1:15">
      <c r="A460" s="64">
        <v>510.89618003434907</v>
      </c>
      <c r="B460" s="64">
        <v>517.64990054341911</v>
      </c>
      <c r="C460" s="64">
        <v>510.4604561305382</v>
      </c>
      <c r="D460" s="64">
        <v>513.14411926537377</v>
      </c>
      <c r="E460" s="64">
        <v>6989201.8623821521</v>
      </c>
      <c r="F460" s="64" t="s">
        <v>398</v>
      </c>
      <c r="G460" s="25">
        <f t="shared" si="15"/>
        <v>-4.3807171253231747E-3</v>
      </c>
      <c r="I460" s="64">
        <v>63.66</v>
      </c>
      <c r="J460" s="64">
        <v>64.09</v>
      </c>
      <c r="K460" s="64">
        <v>61.54</v>
      </c>
      <c r="L460" s="64">
        <v>61.92</v>
      </c>
      <c r="M460" s="64">
        <v>4688405</v>
      </c>
      <c r="N460" s="64" t="s">
        <v>398</v>
      </c>
      <c r="O460" s="25">
        <f t="shared" si="16"/>
        <v>2.8100775193798277E-2</v>
      </c>
    </row>
    <row r="461" spans="1:15">
      <c r="A461" s="64">
        <v>512.55985312162738</v>
      </c>
      <c r="B461" s="64">
        <v>515.6742887522762</v>
      </c>
      <c r="C461" s="64">
        <v>510.49016457852525</v>
      </c>
      <c r="D461" s="64">
        <v>514.39187408083262</v>
      </c>
      <c r="E461" s="64">
        <v>8229938.8411698611</v>
      </c>
      <c r="F461" s="64" t="s">
        <v>399</v>
      </c>
      <c r="G461" s="25">
        <f t="shared" si="15"/>
        <v>-3.5615277991684069E-3</v>
      </c>
      <c r="I461" s="64">
        <v>61.89</v>
      </c>
      <c r="J461" s="64">
        <v>61.98</v>
      </c>
      <c r="K461" s="64">
        <v>59.31</v>
      </c>
      <c r="L461" s="64">
        <v>61.37</v>
      </c>
      <c r="M461" s="64">
        <v>3824420</v>
      </c>
      <c r="N461" s="64" t="s">
        <v>399</v>
      </c>
      <c r="O461" s="25">
        <f t="shared" si="16"/>
        <v>8.473195372331821E-3</v>
      </c>
    </row>
    <row r="462" spans="1:15">
      <c r="A462" s="64">
        <v>512.32218553773043</v>
      </c>
      <c r="B462" s="64">
        <v>512.55985312162738</v>
      </c>
      <c r="C462" s="64">
        <v>509.64842521889045</v>
      </c>
      <c r="D462" s="64">
        <v>511.32200112216441</v>
      </c>
      <c r="E462" s="64">
        <v>4298022.9076724881</v>
      </c>
      <c r="F462" s="64" t="s">
        <v>400</v>
      </c>
      <c r="G462" s="25">
        <f t="shared" si="15"/>
        <v>1.9560754541581016E-3</v>
      </c>
      <c r="I462" s="64">
        <v>59.15</v>
      </c>
      <c r="J462" s="64">
        <v>60.1</v>
      </c>
      <c r="K462" s="64">
        <v>57.22</v>
      </c>
      <c r="L462" s="64">
        <v>58.6</v>
      </c>
      <c r="M462" s="64">
        <v>2683768</v>
      </c>
      <c r="N462" s="64" t="s">
        <v>400</v>
      </c>
      <c r="O462" s="25">
        <f t="shared" si="16"/>
        <v>9.385665529010101E-3</v>
      </c>
    </row>
    <row r="463" spans="1:15">
      <c r="A463" s="64">
        <v>511.5497658900656</v>
      </c>
      <c r="B463" s="64">
        <v>512.50043622565306</v>
      </c>
      <c r="C463" s="64">
        <v>509.23250694707093</v>
      </c>
      <c r="D463" s="64">
        <v>509.4305632669849</v>
      </c>
      <c r="E463" s="64">
        <v>4459984.9193564206</v>
      </c>
      <c r="F463" s="64" t="s">
        <v>401</v>
      </c>
      <c r="G463" s="25">
        <f t="shared" si="15"/>
        <v>4.1599440157069623E-3</v>
      </c>
      <c r="I463" s="64">
        <v>59.09</v>
      </c>
      <c r="J463" s="64">
        <v>60.25</v>
      </c>
      <c r="K463" s="64">
        <v>58.04</v>
      </c>
      <c r="L463" s="64">
        <v>59.63</v>
      </c>
      <c r="M463" s="64">
        <v>3726014</v>
      </c>
      <c r="N463" s="64" t="s">
        <v>401</v>
      </c>
      <c r="O463" s="25">
        <f t="shared" si="16"/>
        <v>-9.0558443736373784E-3</v>
      </c>
    </row>
    <row r="464" spans="1:15">
      <c r="A464" s="64">
        <v>508.84629712323851</v>
      </c>
      <c r="B464" s="64">
        <v>509.14318354678971</v>
      </c>
      <c r="C464" s="64">
        <v>503.12246947772172</v>
      </c>
      <c r="D464" s="64">
        <v>505.13274112484953</v>
      </c>
      <c r="E464" s="64">
        <v>4139769.9419827382</v>
      </c>
      <c r="F464" s="64" t="s">
        <v>402</v>
      </c>
      <c r="G464" s="25">
        <f t="shared" si="15"/>
        <v>7.3516438275600393E-3</v>
      </c>
      <c r="I464" s="64">
        <v>59.63</v>
      </c>
      <c r="J464" s="64">
        <v>62.659399999999998</v>
      </c>
      <c r="K464" s="64">
        <v>59.38</v>
      </c>
      <c r="L464" s="64">
        <v>60</v>
      </c>
      <c r="M464" s="64">
        <v>4785681</v>
      </c>
      <c r="N464" s="64" t="s">
        <v>402</v>
      </c>
      <c r="O464" s="25">
        <f t="shared" si="16"/>
        <v>-6.1666666666666536E-3</v>
      </c>
    </row>
    <row r="465" spans="1:15">
      <c r="A465" s="64">
        <v>504.50886371712022</v>
      </c>
      <c r="B465" s="64">
        <v>505.4793396846992</v>
      </c>
      <c r="C465" s="64">
        <v>491.42724378679566</v>
      </c>
      <c r="D465" s="64">
        <v>499.40891347933285</v>
      </c>
      <c r="E465" s="64">
        <v>4994369.2805619482</v>
      </c>
      <c r="F465" s="64" t="s">
        <v>403</v>
      </c>
      <c r="G465" s="25">
        <f t="shared" si="15"/>
        <v>1.0211972794511137E-2</v>
      </c>
      <c r="I465" s="64">
        <v>59.87</v>
      </c>
      <c r="J465" s="64">
        <v>60</v>
      </c>
      <c r="K465" s="64">
        <v>55.84</v>
      </c>
      <c r="L465" s="64">
        <v>56.5</v>
      </c>
      <c r="M465" s="64">
        <v>3466522</v>
      </c>
      <c r="N465" s="64" t="s">
        <v>403</v>
      </c>
      <c r="O465" s="25">
        <f t="shared" si="16"/>
        <v>5.9646017699114928E-2</v>
      </c>
    </row>
    <row r="466" spans="1:15">
      <c r="A466" s="64">
        <v>499.39901066333715</v>
      </c>
      <c r="B466" s="64">
        <v>499.80007471116312</v>
      </c>
      <c r="C466" s="64">
        <v>494.64536190091951</v>
      </c>
      <c r="D466" s="64">
        <v>499.05241210348748</v>
      </c>
      <c r="E466" s="64">
        <v>3004584.7578010764</v>
      </c>
      <c r="F466" s="64" t="s">
        <v>404</v>
      </c>
      <c r="G466" s="25">
        <f t="shared" si="15"/>
        <v>6.9451334457792946E-4</v>
      </c>
      <c r="I466" s="64">
        <v>56.87</v>
      </c>
      <c r="J466" s="64">
        <v>57.87</v>
      </c>
      <c r="K466" s="64">
        <v>55.48</v>
      </c>
      <c r="L466" s="64">
        <v>57.52</v>
      </c>
      <c r="M466" s="64">
        <v>2615552</v>
      </c>
      <c r="N466" s="64" t="s">
        <v>404</v>
      </c>
      <c r="O466" s="25">
        <f t="shared" si="16"/>
        <v>-1.1300417246175365E-2</v>
      </c>
    </row>
    <row r="467" spans="1:15">
      <c r="A467" s="64">
        <v>497.34912775222648</v>
      </c>
      <c r="B467" s="64">
        <v>498.47804877573668</v>
      </c>
      <c r="C467" s="64">
        <v>493.90294778572161</v>
      </c>
      <c r="D467" s="64">
        <v>495.73496874492679</v>
      </c>
      <c r="E467" s="64">
        <v>3692683.9815932065</v>
      </c>
      <c r="F467" s="64" t="s">
        <v>405</v>
      </c>
      <c r="G467" s="25">
        <f t="shared" si="15"/>
        <v>3.2560926887734709E-3</v>
      </c>
      <c r="I467" s="64">
        <v>57.46</v>
      </c>
      <c r="J467" s="64">
        <v>58.5</v>
      </c>
      <c r="K467" s="64">
        <v>55.251100000000001</v>
      </c>
      <c r="L467" s="64">
        <v>57.14</v>
      </c>
      <c r="M467" s="64">
        <v>4540553</v>
      </c>
      <c r="N467" s="64" t="s">
        <v>405</v>
      </c>
      <c r="O467" s="25">
        <f t="shared" si="16"/>
        <v>5.6002800140007025E-3</v>
      </c>
    </row>
    <row r="468" spans="1:15">
      <c r="A468" s="64">
        <v>491.81345361062807</v>
      </c>
      <c r="B468" s="64">
        <v>502.01335408620292</v>
      </c>
      <c r="C468" s="64">
        <v>490.98161706698903</v>
      </c>
      <c r="D468" s="64">
        <v>500.42890352689028</v>
      </c>
      <c r="E468" s="64">
        <v>7484173.1919642175</v>
      </c>
      <c r="F468" s="64" t="s">
        <v>406</v>
      </c>
      <c r="G468" s="25">
        <f t="shared" si="15"/>
        <v>-1.7216131713301941E-2</v>
      </c>
      <c r="I468" s="64">
        <v>56.85</v>
      </c>
      <c r="J468" s="64">
        <v>60.41</v>
      </c>
      <c r="K468" s="64">
        <v>55.8</v>
      </c>
      <c r="L468" s="64">
        <v>59.24</v>
      </c>
      <c r="M468" s="64">
        <v>3074512</v>
      </c>
      <c r="N468" s="64" t="s">
        <v>406</v>
      </c>
      <c r="O468" s="25">
        <f t="shared" si="16"/>
        <v>-4.034436191762325E-2</v>
      </c>
    </row>
    <row r="469" spans="1:15">
      <c r="A469" s="64">
        <v>500.14172186301494</v>
      </c>
      <c r="B469" s="64">
        <v>503.99391728534363</v>
      </c>
      <c r="C469" s="64">
        <v>497.95319952796439</v>
      </c>
      <c r="D469" s="64">
        <v>501.43899075845212</v>
      </c>
      <c r="E469" s="64">
        <v>3459186.762115113</v>
      </c>
      <c r="F469" s="64" t="s">
        <v>407</v>
      </c>
      <c r="G469" s="25">
        <f t="shared" si="15"/>
        <v>-2.5870921873766273E-3</v>
      </c>
      <c r="I469" s="64">
        <v>58.71</v>
      </c>
      <c r="J469" s="64">
        <v>59.564999999999998</v>
      </c>
      <c r="K469" s="64">
        <v>56.38</v>
      </c>
      <c r="L469" s="64">
        <v>56.8</v>
      </c>
      <c r="M469" s="64">
        <v>2699564</v>
      </c>
      <c r="N469" s="64" t="s">
        <v>407</v>
      </c>
      <c r="O469" s="25">
        <f t="shared" si="16"/>
        <v>3.3626760563380431E-2</v>
      </c>
    </row>
    <row r="470" spans="1:15">
      <c r="A470" s="64">
        <v>501.37957386247791</v>
      </c>
      <c r="B470" s="64">
        <v>504.57818342909013</v>
      </c>
      <c r="C470" s="64">
        <v>500.11201341502777</v>
      </c>
      <c r="D470" s="64">
        <v>500.76559927074425</v>
      </c>
      <c r="E470" s="64">
        <v>3636716.0629486055</v>
      </c>
      <c r="F470" s="64" t="s">
        <v>408</v>
      </c>
      <c r="G470" s="25">
        <f t="shared" si="15"/>
        <v>1.2260718240786339E-3</v>
      </c>
      <c r="I470" s="64">
        <v>57</v>
      </c>
      <c r="J470" s="64">
        <v>58.81</v>
      </c>
      <c r="K470" s="64">
        <v>56.06</v>
      </c>
      <c r="L470" s="64">
        <v>56.72</v>
      </c>
      <c r="M470" s="64">
        <v>2772124</v>
      </c>
      <c r="N470" s="64" t="s">
        <v>408</v>
      </c>
      <c r="O470" s="25">
        <f t="shared" si="16"/>
        <v>4.9365303244006675E-3</v>
      </c>
    </row>
    <row r="471" spans="1:15">
      <c r="A471" s="64">
        <v>502.62732867793653</v>
      </c>
      <c r="B471" s="64">
        <v>510.42084486655529</v>
      </c>
      <c r="C471" s="64">
        <v>500.19123594299344</v>
      </c>
      <c r="D471" s="64">
        <v>510.11385757068854</v>
      </c>
      <c r="E471" s="64">
        <v>5924012.9298021281</v>
      </c>
      <c r="F471" s="64" t="s">
        <v>409</v>
      </c>
      <c r="G471" s="25">
        <f t="shared" si="15"/>
        <v>-1.4676191955272588E-2</v>
      </c>
      <c r="I471" s="64">
        <v>57.53</v>
      </c>
      <c r="J471" s="64">
        <v>60.075000000000003</v>
      </c>
      <c r="K471" s="64">
        <v>57.49</v>
      </c>
      <c r="L471" s="64">
        <v>59.244999999999997</v>
      </c>
      <c r="M471" s="64">
        <v>3016014</v>
      </c>
      <c r="N471" s="64" t="s">
        <v>409</v>
      </c>
      <c r="O471" s="25">
        <f t="shared" si="16"/>
        <v>-2.8947590513967336E-2</v>
      </c>
    </row>
    <row r="472" spans="1:15">
      <c r="A472" s="64">
        <v>513.00547984143395</v>
      </c>
      <c r="B472" s="64">
        <v>513.54023190520206</v>
      </c>
      <c r="C472" s="64">
        <v>507.14301277197745</v>
      </c>
      <c r="D472" s="64">
        <v>510.41094205055958</v>
      </c>
      <c r="E472" s="64">
        <v>5693052.3625258831</v>
      </c>
      <c r="F472" s="64" t="s">
        <v>410</v>
      </c>
      <c r="G472" s="25">
        <f t="shared" si="15"/>
        <v>5.0832330914594159E-3</v>
      </c>
      <c r="I472" s="64">
        <v>60.03</v>
      </c>
      <c r="J472" s="64">
        <v>60.41</v>
      </c>
      <c r="K472" s="64">
        <v>58.475000000000001</v>
      </c>
      <c r="L472" s="64">
        <v>59</v>
      </c>
      <c r="M472" s="64">
        <v>4152512</v>
      </c>
      <c r="N472" s="64" t="s">
        <v>410</v>
      </c>
      <c r="O472" s="25">
        <f t="shared" si="16"/>
        <v>1.7457627118644181E-2</v>
      </c>
    </row>
    <row r="473" spans="1:15">
      <c r="A473" s="64">
        <v>508.22241971550915</v>
      </c>
      <c r="B473" s="64">
        <v>513.05499392141257</v>
      </c>
      <c r="C473" s="64">
        <v>507.1529155879731</v>
      </c>
      <c r="D473" s="64">
        <v>509.98512096274442</v>
      </c>
      <c r="E473" s="64">
        <v>3521367.0551011832</v>
      </c>
      <c r="F473" s="64" t="s">
        <v>411</v>
      </c>
      <c r="G473" s="25">
        <f t="shared" si="15"/>
        <v>-3.4563777937436369E-3</v>
      </c>
      <c r="I473" s="64">
        <v>58.75</v>
      </c>
      <c r="J473" s="64">
        <v>60.29</v>
      </c>
      <c r="K473" s="64">
        <v>57.1</v>
      </c>
      <c r="L473" s="64">
        <v>57.585000000000001</v>
      </c>
      <c r="M473" s="64">
        <v>5040140</v>
      </c>
      <c r="N473" s="64" t="s">
        <v>411</v>
      </c>
      <c r="O473" s="25">
        <f t="shared" si="16"/>
        <v>2.0230962924372653E-2</v>
      </c>
    </row>
    <row r="474" spans="1:15">
      <c r="A474" s="64">
        <v>508.14319718754348</v>
      </c>
      <c r="B474" s="64">
        <v>511.21307014621163</v>
      </c>
      <c r="C474" s="64">
        <v>505.2020608368195</v>
      </c>
      <c r="D474" s="64">
        <v>510.78724905839636</v>
      </c>
      <c r="E474" s="64">
        <v>3979098.4723027707</v>
      </c>
      <c r="F474" s="64" t="s">
        <v>412</v>
      </c>
      <c r="G474" s="25">
        <f t="shared" si="15"/>
        <v>-5.1764249709189691E-3</v>
      </c>
      <c r="I474" s="64">
        <v>56.14</v>
      </c>
      <c r="J474" s="64">
        <v>57.93</v>
      </c>
      <c r="K474" s="64">
        <v>55.02</v>
      </c>
      <c r="L474" s="64">
        <v>57.88</v>
      </c>
      <c r="M474" s="64">
        <v>4033137</v>
      </c>
      <c r="N474" s="64" t="s">
        <v>412</v>
      </c>
      <c r="O474" s="25">
        <f t="shared" si="16"/>
        <v>-3.006219765031104E-2</v>
      </c>
    </row>
    <row r="475" spans="1:15">
      <c r="A475" s="64">
        <v>511.06452790627611</v>
      </c>
      <c r="B475" s="64">
        <v>511.569571522057</v>
      </c>
      <c r="C475" s="64">
        <v>508.17290563553058</v>
      </c>
      <c r="D475" s="64">
        <v>509.26221539505798</v>
      </c>
      <c r="E475" s="64">
        <v>3061531.1859932854</v>
      </c>
      <c r="F475" s="64" t="s">
        <v>413</v>
      </c>
      <c r="G475" s="25">
        <f t="shared" si="15"/>
        <v>3.5390658421812216E-3</v>
      </c>
      <c r="I475" s="64">
        <v>59</v>
      </c>
      <c r="J475" s="64">
        <v>60.27</v>
      </c>
      <c r="K475" s="64">
        <v>56.54</v>
      </c>
      <c r="L475" s="64">
        <v>57.720399999999998</v>
      </c>
      <c r="M475" s="64">
        <v>3716275</v>
      </c>
      <c r="N475" s="64" t="s">
        <v>413</v>
      </c>
      <c r="O475" s="25">
        <f t="shared" si="16"/>
        <v>2.216893853819446E-2</v>
      </c>
    </row>
    <row r="476" spans="1:15">
      <c r="A476" s="64">
        <v>510.38123360257254</v>
      </c>
      <c r="B476" s="64">
        <v>513.2530502413266</v>
      </c>
      <c r="C476" s="64">
        <v>508.88095697922341</v>
      </c>
      <c r="D476" s="64">
        <v>512.60936720160589</v>
      </c>
      <c r="E476" s="64">
        <v>3431993.4869783409</v>
      </c>
      <c r="F476" s="64" t="s">
        <v>414</v>
      </c>
      <c r="G476" s="25">
        <f t="shared" si="15"/>
        <v>-4.3466501815934144E-3</v>
      </c>
      <c r="I476" s="64">
        <v>58.26</v>
      </c>
      <c r="J476" s="64">
        <v>59.98</v>
      </c>
      <c r="K476" s="64">
        <v>57.51</v>
      </c>
      <c r="L476" s="64">
        <v>59.29</v>
      </c>
      <c r="M476" s="64">
        <v>2555743</v>
      </c>
      <c r="N476" s="64" t="s">
        <v>414</v>
      </c>
      <c r="O476" s="25">
        <f t="shared" si="16"/>
        <v>-1.7372238151458941E-2</v>
      </c>
    </row>
    <row r="477" spans="1:15">
      <c r="A477" s="64">
        <v>511.63889123402686</v>
      </c>
      <c r="B477" s="64">
        <v>512.52024185764446</v>
      </c>
      <c r="C477" s="64">
        <v>507.27382897128069</v>
      </c>
      <c r="D477" s="64">
        <v>509.331535107028</v>
      </c>
      <c r="E477" s="64">
        <v>5152868.6408127062</v>
      </c>
      <c r="F477" s="64" t="s">
        <v>415</v>
      </c>
      <c r="G477" s="25">
        <f t="shared" si="15"/>
        <v>4.5301654579743555E-3</v>
      </c>
      <c r="I477" s="64">
        <v>59.21</v>
      </c>
      <c r="J477" s="64">
        <v>59.68</v>
      </c>
      <c r="K477" s="64">
        <v>56.13</v>
      </c>
      <c r="L477" s="64">
        <v>56.51</v>
      </c>
      <c r="M477" s="64">
        <v>5286654</v>
      </c>
      <c r="N477" s="64" t="s">
        <v>415</v>
      </c>
      <c r="O477" s="25">
        <f t="shared" si="16"/>
        <v>4.7779154132012058E-2</v>
      </c>
    </row>
    <row r="478" spans="1:15">
      <c r="A478" s="64">
        <v>506.16263398840277</v>
      </c>
      <c r="B478" s="64">
        <v>512.59946438561019</v>
      </c>
      <c r="C478" s="64">
        <v>505.14264394084529</v>
      </c>
      <c r="D478" s="64">
        <v>512.02510105785927</v>
      </c>
      <c r="E478" s="64">
        <v>3713173.1030802694</v>
      </c>
      <c r="F478" s="64" t="s">
        <v>416</v>
      </c>
      <c r="G478" s="25">
        <f t="shared" si="15"/>
        <v>-1.1449569674112592E-2</v>
      </c>
      <c r="I478" s="64">
        <v>56.43</v>
      </c>
      <c r="J478" s="64">
        <v>57.45</v>
      </c>
      <c r="K478" s="64">
        <v>55.3</v>
      </c>
      <c r="L478" s="64">
        <v>56.5</v>
      </c>
      <c r="M478" s="64">
        <v>3938958</v>
      </c>
      <c r="N478" s="64" t="s">
        <v>416</v>
      </c>
      <c r="O478" s="25">
        <f t="shared" si="16"/>
        <v>-1.2389380530973826E-3</v>
      </c>
    </row>
    <row r="479" spans="1:15">
      <c r="A479" s="64">
        <v>510.29210825861117</v>
      </c>
      <c r="B479" s="64">
        <v>511.63879220586693</v>
      </c>
      <c r="C479" s="64">
        <v>507.86591833966384</v>
      </c>
      <c r="D479" s="64">
        <v>509.47017453096782</v>
      </c>
      <c r="E479" s="64">
        <v>3376867.7530217734</v>
      </c>
      <c r="F479" s="64" t="s">
        <v>417</v>
      </c>
      <c r="G479" s="25">
        <f t="shared" si="15"/>
        <v>1.6133107858571361E-3</v>
      </c>
      <c r="I479" s="64">
        <v>56.89</v>
      </c>
      <c r="J479" s="64">
        <v>57.109699999999997</v>
      </c>
      <c r="K479" s="64">
        <v>54.27</v>
      </c>
      <c r="L479" s="64">
        <v>54.88</v>
      </c>
      <c r="M479" s="64">
        <v>4179385</v>
      </c>
      <c r="N479" s="64" t="s">
        <v>417</v>
      </c>
      <c r="O479" s="25">
        <f t="shared" si="16"/>
        <v>3.6625364431486895E-2</v>
      </c>
    </row>
    <row r="480" spans="1:15">
      <c r="A480" s="64">
        <v>508.50960137938455</v>
      </c>
      <c r="B480" s="64">
        <v>510.47025991837393</v>
      </c>
      <c r="C480" s="64">
        <v>507.27174937992157</v>
      </c>
      <c r="D480" s="64">
        <v>508.92551965120407</v>
      </c>
      <c r="E480" s="64">
        <v>3186953.0862425533</v>
      </c>
      <c r="F480" s="64" t="s">
        <v>418</v>
      </c>
      <c r="G480" s="25">
        <f t="shared" si="15"/>
        <v>-8.1724782067238433E-4</v>
      </c>
      <c r="I480" s="64">
        <v>55.02</v>
      </c>
      <c r="J480" s="64">
        <v>55.06</v>
      </c>
      <c r="K480" s="64">
        <v>52.39</v>
      </c>
      <c r="L480" s="64">
        <v>53.5</v>
      </c>
      <c r="M480" s="64">
        <v>4206307</v>
      </c>
      <c r="N480" s="64" t="s">
        <v>418</v>
      </c>
      <c r="O480" s="25">
        <f t="shared" si="16"/>
        <v>2.8411214953271147E-2</v>
      </c>
    </row>
    <row r="481" spans="1:15">
      <c r="A481" s="64">
        <v>509.35134073901935</v>
      </c>
      <c r="B481" s="64">
        <v>509.35134073901935</v>
      </c>
      <c r="C481" s="64">
        <v>504.1127510772921</v>
      </c>
      <c r="D481" s="64">
        <v>504.9049763569484</v>
      </c>
      <c r="E481" s="64">
        <v>3841647.6703702165</v>
      </c>
      <c r="F481" s="64" t="s">
        <v>419</v>
      </c>
      <c r="G481" s="25">
        <f t="shared" si="15"/>
        <v>8.8063389950181481E-3</v>
      </c>
      <c r="I481" s="64">
        <v>54.36</v>
      </c>
      <c r="J481" s="64">
        <v>54.9</v>
      </c>
      <c r="K481" s="64">
        <v>52.49</v>
      </c>
      <c r="L481" s="64">
        <v>54.79</v>
      </c>
      <c r="M481" s="64">
        <v>4487378</v>
      </c>
      <c r="N481" s="64" t="s">
        <v>419</v>
      </c>
      <c r="O481" s="25">
        <f t="shared" si="16"/>
        <v>-7.8481474721664446E-3</v>
      </c>
    </row>
    <row r="482" spans="1:15">
      <c r="A482" s="64">
        <v>504.49896090112452</v>
      </c>
      <c r="B482" s="64">
        <v>505.15254675684099</v>
      </c>
      <c r="C482" s="64">
        <v>501.72617242232747</v>
      </c>
      <c r="D482" s="64">
        <v>501.91432592624585</v>
      </c>
      <c r="E482" s="64">
        <v>3483136.5154078021</v>
      </c>
      <c r="F482" s="64" t="s">
        <v>420</v>
      </c>
      <c r="G482" s="25">
        <f t="shared" si="15"/>
        <v>5.149554099913134E-3</v>
      </c>
      <c r="I482" s="64">
        <v>54.92</v>
      </c>
      <c r="J482" s="64">
        <v>55.14</v>
      </c>
      <c r="K482" s="64">
        <v>53.9</v>
      </c>
      <c r="L482" s="64">
        <v>54.87</v>
      </c>
      <c r="M482" s="64">
        <v>3005713</v>
      </c>
      <c r="N482" s="64" t="s">
        <v>420</v>
      </c>
      <c r="O482" s="25">
        <f t="shared" si="16"/>
        <v>9.1124476034276647E-4</v>
      </c>
    </row>
    <row r="483" spans="1:15">
      <c r="A483" s="64">
        <v>503.43935958958423</v>
      </c>
      <c r="B483" s="64">
        <v>503.64731872549402</v>
      </c>
      <c r="C483" s="64">
        <v>499.58290595637737</v>
      </c>
      <c r="D483" s="64">
        <v>500.18133312699769</v>
      </c>
      <c r="E483" s="64">
        <v>4320945.680356387</v>
      </c>
      <c r="F483" s="64" t="s">
        <v>421</v>
      </c>
      <c r="G483" s="25">
        <f t="shared" si="15"/>
        <v>6.5136906293927765E-3</v>
      </c>
      <c r="I483" s="64">
        <v>55.55</v>
      </c>
      <c r="J483" s="64">
        <v>56.85</v>
      </c>
      <c r="K483" s="64">
        <v>54.18</v>
      </c>
      <c r="L483" s="64">
        <v>55.25</v>
      </c>
      <c r="M483" s="64">
        <v>4841780</v>
      </c>
      <c r="N483" s="64" t="s">
        <v>421</v>
      </c>
      <c r="O483" s="25">
        <f t="shared" si="16"/>
        <v>5.4298642533936459E-3</v>
      </c>
    </row>
    <row r="484" spans="1:15">
      <c r="A484" s="64">
        <v>494.9427434652705</v>
      </c>
      <c r="B484" s="64">
        <v>495.98253914481938</v>
      </c>
      <c r="C484" s="64">
        <v>491.65302799149771</v>
      </c>
      <c r="D484" s="64">
        <v>494.07129565764859</v>
      </c>
      <c r="E484" s="64">
        <v>3736818.9024267974</v>
      </c>
      <c r="F484" s="64" t="s">
        <v>422</v>
      </c>
      <c r="G484" s="25">
        <f t="shared" si="15"/>
        <v>1.7638098292311888E-3</v>
      </c>
      <c r="I484" s="64">
        <v>54.95</v>
      </c>
      <c r="J484" s="64">
        <v>55.03</v>
      </c>
      <c r="K484" s="64">
        <v>53.2</v>
      </c>
      <c r="L484" s="64">
        <v>53.7</v>
      </c>
      <c r="M484" s="64">
        <v>3874030</v>
      </c>
      <c r="N484" s="64" t="s">
        <v>422</v>
      </c>
      <c r="O484" s="25">
        <f t="shared" si="16"/>
        <v>2.3277467411545683E-2</v>
      </c>
    </row>
    <row r="485" spans="1:15">
      <c r="A485" s="64">
        <v>493.36819572195355</v>
      </c>
      <c r="B485" s="64">
        <v>493.53654359388054</v>
      </c>
      <c r="C485" s="64">
        <v>488.12960606022637</v>
      </c>
      <c r="D485" s="64">
        <v>488.3474680121318</v>
      </c>
      <c r="E485" s="64">
        <v>3279761.0310128825</v>
      </c>
      <c r="F485" s="64" t="s">
        <v>423</v>
      </c>
      <c r="G485" s="25">
        <f t="shared" si="15"/>
        <v>1.0281056089548546E-2</v>
      </c>
      <c r="I485" s="64">
        <v>54.52</v>
      </c>
      <c r="J485" s="64">
        <v>54.69</v>
      </c>
      <c r="K485" s="64">
        <v>52.54</v>
      </c>
      <c r="L485" s="64">
        <v>53.05</v>
      </c>
      <c r="M485" s="64">
        <v>3967761</v>
      </c>
      <c r="N485" s="64" t="s">
        <v>423</v>
      </c>
      <c r="O485" s="25">
        <f t="shared" si="16"/>
        <v>2.7709707822808793E-2</v>
      </c>
    </row>
    <row r="486" spans="1:15">
      <c r="A486" s="64">
        <v>485.3073035014508</v>
      </c>
      <c r="B486" s="64">
        <v>487.56514554847126</v>
      </c>
      <c r="C486" s="64">
        <v>483.23761495834873</v>
      </c>
      <c r="D486" s="64">
        <v>486.16884849307701</v>
      </c>
      <c r="E486" s="64">
        <v>3613249.0006401851</v>
      </c>
      <c r="F486" s="64" t="s">
        <v>424</v>
      </c>
      <c r="G486" s="25">
        <f t="shared" si="15"/>
        <v>-1.7721106448852497E-3</v>
      </c>
      <c r="I486" s="64">
        <v>52.51</v>
      </c>
      <c r="J486" s="64">
        <v>52.97</v>
      </c>
      <c r="K486" s="64">
        <v>50.8</v>
      </c>
      <c r="L486" s="64">
        <v>52.5</v>
      </c>
      <c r="M486" s="64">
        <v>3397997</v>
      </c>
      <c r="N486" s="64" t="s">
        <v>424</v>
      </c>
      <c r="O486" s="25">
        <f t="shared" si="16"/>
        <v>1.9047619047607434E-4</v>
      </c>
    </row>
    <row r="487" spans="1:15">
      <c r="A487" s="64">
        <v>485.05973310155821</v>
      </c>
      <c r="B487" s="64">
        <v>486.43622452496101</v>
      </c>
      <c r="C487" s="64">
        <v>481.09860670327669</v>
      </c>
      <c r="D487" s="64">
        <v>482.19781927879984</v>
      </c>
      <c r="E487" s="64">
        <v>7736517.5757318391</v>
      </c>
      <c r="F487" s="64" t="s">
        <v>425</v>
      </c>
      <c r="G487" s="25">
        <f t="shared" si="15"/>
        <v>5.9351446819870812E-3</v>
      </c>
      <c r="I487" s="64">
        <v>52.91</v>
      </c>
      <c r="J487" s="64">
        <v>54.11</v>
      </c>
      <c r="K487" s="64">
        <v>51.5</v>
      </c>
      <c r="L487" s="64">
        <v>53.97</v>
      </c>
      <c r="M487" s="64">
        <v>14509834</v>
      </c>
      <c r="N487" s="64" t="s">
        <v>425</v>
      </c>
      <c r="O487" s="25">
        <f t="shared" si="16"/>
        <v>-1.9640541041319293E-2</v>
      </c>
    </row>
    <row r="488" spans="1:15">
      <c r="A488" s="64">
        <v>482.99004455845613</v>
      </c>
      <c r="B488" s="64">
        <v>483.52479662222407</v>
      </c>
      <c r="C488" s="64">
        <v>474.97866641793183</v>
      </c>
      <c r="D488" s="64">
        <v>476.81068737713701</v>
      </c>
      <c r="E488" s="64">
        <v>4218228.4330157014</v>
      </c>
      <c r="F488" s="64" t="s">
        <v>426</v>
      </c>
      <c r="G488" s="25">
        <f t="shared" si="15"/>
        <v>1.295977071174903E-2</v>
      </c>
      <c r="I488" s="64">
        <v>54.94</v>
      </c>
      <c r="J488" s="64">
        <v>57.742199999999997</v>
      </c>
      <c r="K488" s="64">
        <v>51.76</v>
      </c>
      <c r="L488" s="64">
        <v>51.95</v>
      </c>
      <c r="M488" s="64">
        <v>5653307</v>
      </c>
      <c r="N488" s="64" t="s">
        <v>426</v>
      </c>
      <c r="O488" s="25">
        <f t="shared" si="16"/>
        <v>5.7555341674687011E-2</v>
      </c>
    </row>
    <row r="489" spans="1:15">
      <c r="A489" s="64">
        <v>471.97811317123364</v>
      </c>
      <c r="B489" s="64">
        <v>483.80207547010383</v>
      </c>
      <c r="C489" s="64">
        <v>471.48297237144845</v>
      </c>
      <c r="D489" s="64">
        <v>480.97977291132827</v>
      </c>
      <c r="E489" s="64">
        <v>6035001.5617707362</v>
      </c>
      <c r="F489" s="64" t="s">
        <v>427</v>
      </c>
      <c r="G489" s="25">
        <f t="shared" si="15"/>
        <v>-1.8715256331068519E-2</v>
      </c>
      <c r="I489" s="64">
        <v>50.69</v>
      </c>
      <c r="J489" s="64">
        <v>55.24</v>
      </c>
      <c r="K489" s="64">
        <v>49.13</v>
      </c>
      <c r="L489" s="64">
        <v>54.8</v>
      </c>
      <c r="M489" s="64">
        <v>7772162</v>
      </c>
      <c r="N489" s="64" t="s">
        <v>427</v>
      </c>
      <c r="O489" s="25">
        <f t="shared" si="16"/>
        <v>-7.4999999999999956E-2</v>
      </c>
    </row>
    <row r="490" spans="1:15">
      <c r="A490" s="64">
        <v>475.27575089780294</v>
      </c>
      <c r="B490" s="64">
        <v>482.12849956682993</v>
      </c>
      <c r="C490" s="64">
        <v>471.31462449952147</v>
      </c>
      <c r="D490" s="64">
        <v>472.75053281889848</v>
      </c>
      <c r="E490" s="64">
        <v>8336053.1020483728</v>
      </c>
      <c r="F490" s="64" t="s">
        <v>428</v>
      </c>
      <c r="G490" s="25">
        <f t="shared" si="15"/>
        <v>5.3415446490290286E-3</v>
      </c>
      <c r="I490" s="64">
        <v>54.36</v>
      </c>
      <c r="J490" s="64">
        <v>58.5</v>
      </c>
      <c r="K490" s="64">
        <v>54.34</v>
      </c>
      <c r="L490" s="64">
        <v>58.1</v>
      </c>
      <c r="M490" s="64">
        <v>6498267</v>
      </c>
      <c r="N490" s="64" t="s">
        <v>428</v>
      </c>
      <c r="O490" s="25">
        <f t="shared" si="16"/>
        <v>-6.4371772805507765E-2</v>
      </c>
    </row>
    <row r="491" spans="1:15">
      <c r="A491" s="64">
        <v>470.58181611583939</v>
      </c>
      <c r="B491" s="64">
        <v>476.50370008127021</v>
      </c>
      <c r="C491" s="64">
        <v>464.33313922255036</v>
      </c>
      <c r="D491" s="64">
        <v>465.60069967000044</v>
      </c>
      <c r="E491" s="64">
        <v>15393879.888926227</v>
      </c>
      <c r="F491" s="64" t="s">
        <v>429</v>
      </c>
      <c r="G491" s="25">
        <f t="shared" si="15"/>
        <v>1.0698258076865752E-2</v>
      </c>
      <c r="I491" s="64">
        <v>56.81</v>
      </c>
      <c r="J491" s="64">
        <v>59.13</v>
      </c>
      <c r="K491" s="64">
        <v>52.76</v>
      </c>
      <c r="L491" s="64">
        <v>53.25</v>
      </c>
      <c r="M491" s="64">
        <v>3078910</v>
      </c>
      <c r="N491" s="64" t="s">
        <v>429</v>
      </c>
      <c r="O491" s="25">
        <f t="shared" si="16"/>
        <v>6.6854460093896728E-2</v>
      </c>
    </row>
    <row r="492" spans="1:15">
      <c r="A492" s="64">
        <v>485.14885844551952</v>
      </c>
      <c r="B492" s="64">
        <v>488.72377501996851</v>
      </c>
      <c r="C492" s="64">
        <v>481.07880107128534</v>
      </c>
      <c r="D492" s="64">
        <v>487.62456244444547</v>
      </c>
      <c r="E492" s="64">
        <v>8645183.3536180388</v>
      </c>
      <c r="F492" s="64" t="s">
        <v>430</v>
      </c>
      <c r="G492" s="25">
        <f t="shared" si="15"/>
        <v>-5.0770699214069959E-3</v>
      </c>
      <c r="I492" s="64">
        <v>57.58</v>
      </c>
      <c r="J492" s="64">
        <v>57.81</v>
      </c>
      <c r="K492" s="64">
        <v>54.11</v>
      </c>
      <c r="L492" s="64">
        <v>56.24</v>
      </c>
      <c r="M492" s="64">
        <v>3254160</v>
      </c>
      <c r="N492" s="64" t="s">
        <v>430</v>
      </c>
      <c r="O492" s="25">
        <f t="shared" si="16"/>
        <v>2.3826458036984244E-2</v>
      </c>
    </row>
    <row r="493" spans="1:15">
      <c r="A493" s="64">
        <v>494.18022663360125</v>
      </c>
      <c r="B493" s="64">
        <v>504.9445876209312</v>
      </c>
      <c r="C493" s="64">
        <v>490.93210298701047</v>
      </c>
      <c r="D493" s="64">
        <v>502.90460752581623</v>
      </c>
      <c r="E493" s="64">
        <v>7007316.9116850803</v>
      </c>
      <c r="F493" s="64" t="s">
        <v>431</v>
      </c>
      <c r="G493" s="25">
        <f t="shared" si="15"/>
        <v>-1.7347983616887275E-2</v>
      </c>
      <c r="I493" s="64">
        <v>59.38</v>
      </c>
      <c r="J493" s="64">
        <v>64.64</v>
      </c>
      <c r="K493" s="64">
        <v>59.2</v>
      </c>
      <c r="L493" s="64">
        <v>64.400000000000006</v>
      </c>
      <c r="M493" s="64">
        <v>2520441</v>
      </c>
      <c r="N493" s="64" t="s">
        <v>431</v>
      </c>
      <c r="O493" s="25">
        <f t="shared" si="16"/>
        <v>-7.7950310559006253E-2</v>
      </c>
    </row>
    <row r="494" spans="1:15">
      <c r="A494" s="64">
        <v>501.01316967063684</v>
      </c>
      <c r="B494" s="64">
        <v>503.7099045225869</v>
      </c>
      <c r="C494" s="64">
        <v>498.41368047176462</v>
      </c>
      <c r="D494" s="64">
        <v>499.57726135125984</v>
      </c>
      <c r="E494" s="64">
        <v>5420263.289077281</v>
      </c>
      <c r="F494" s="64" t="s">
        <v>432</v>
      </c>
      <c r="G494" s="25">
        <f t="shared" si="15"/>
        <v>2.8742467491278401E-3</v>
      </c>
      <c r="I494" s="64">
        <v>60.85</v>
      </c>
      <c r="J494" s="64">
        <v>61.27</v>
      </c>
      <c r="K494" s="64">
        <v>59.31</v>
      </c>
      <c r="L494" s="64">
        <v>59.38</v>
      </c>
      <c r="M494" s="64">
        <v>1652089</v>
      </c>
      <c r="N494" s="64" t="s">
        <v>432</v>
      </c>
      <c r="O494" s="25">
        <f t="shared" si="16"/>
        <v>2.4755810037049519E-2</v>
      </c>
    </row>
    <row r="495" spans="1:15">
      <c r="A495" s="64">
        <v>493.23945911400943</v>
      </c>
      <c r="B495" s="64">
        <v>498.12154739989137</v>
      </c>
      <c r="C495" s="64">
        <v>490.10521785136922</v>
      </c>
      <c r="D495" s="64">
        <v>497.1708770643038</v>
      </c>
      <c r="E495" s="64">
        <v>3855267.0287485314</v>
      </c>
      <c r="F495" s="64" t="s">
        <v>433</v>
      </c>
      <c r="G495" s="25">
        <f t="shared" si="15"/>
        <v>-7.9075789264017038E-3</v>
      </c>
      <c r="I495" s="64">
        <v>58.44</v>
      </c>
      <c r="J495" s="64">
        <v>60.59</v>
      </c>
      <c r="K495" s="64">
        <v>57.36</v>
      </c>
      <c r="L495" s="64">
        <v>60.06</v>
      </c>
      <c r="M495" s="64">
        <v>2211163</v>
      </c>
      <c r="N495" s="64" t="s">
        <v>433</v>
      </c>
      <c r="O495" s="25">
        <f t="shared" si="16"/>
        <v>-2.6973026973027059E-2</v>
      </c>
    </row>
    <row r="496" spans="1:15">
      <c r="A496" s="64">
        <v>495.8339969048838</v>
      </c>
      <c r="B496" s="64">
        <v>497.87892840799663</v>
      </c>
      <c r="C496" s="64">
        <v>493.92730871307106</v>
      </c>
      <c r="D496" s="64">
        <v>496.9431122964026</v>
      </c>
      <c r="E496" s="64">
        <v>3126563.1930788858</v>
      </c>
      <c r="F496" s="64" t="s">
        <v>434</v>
      </c>
      <c r="G496" s="25">
        <f t="shared" si="15"/>
        <v>-2.2318759714637926E-3</v>
      </c>
      <c r="I496" s="64">
        <v>59.98</v>
      </c>
      <c r="J496" s="64">
        <v>62.98</v>
      </c>
      <c r="K496" s="64">
        <v>58.72</v>
      </c>
      <c r="L496" s="64">
        <v>62.97</v>
      </c>
      <c r="M496" s="64">
        <v>2202874</v>
      </c>
      <c r="N496" s="64" t="s">
        <v>434</v>
      </c>
      <c r="O496" s="25">
        <f t="shared" si="16"/>
        <v>-4.7482928378593026E-2</v>
      </c>
    </row>
    <row r="497" spans="1:15">
      <c r="A497" s="64">
        <v>495.46759271304273</v>
      </c>
      <c r="B497" s="64">
        <v>497.99776219994504</v>
      </c>
      <c r="C497" s="64">
        <v>492.83344365818562</v>
      </c>
      <c r="D497" s="64">
        <v>493.51673796188913</v>
      </c>
      <c r="E497" s="64">
        <v>3671666.7275020173</v>
      </c>
      <c r="F497" s="64" t="s">
        <v>435</v>
      </c>
      <c r="G497" s="25">
        <f t="shared" si="15"/>
        <v>3.9529657275865215E-3</v>
      </c>
      <c r="I497" s="64">
        <v>62.36</v>
      </c>
      <c r="J497" s="64">
        <v>64.319999999999993</v>
      </c>
      <c r="K497" s="64">
        <v>61.23</v>
      </c>
      <c r="L497" s="64">
        <v>62.9</v>
      </c>
      <c r="M497" s="64">
        <v>2044272</v>
      </c>
      <c r="N497" s="64" t="s">
        <v>435</v>
      </c>
      <c r="O497" s="25">
        <f t="shared" si="16"/>
        <v>-8.5850556438791248E-3</v>
      </c>
    </row>
    <row r="498" spans="1:15">
      <c r="A498" s="64">
        <v>489.97152983542719</v>
      </c>
      <c r="B498" s="64">
        <v>498.25028400783549</v>
      </c>
      <c r="C498" s="64">
        <v>489.11988765979675</v>
      </c>
      <c r="D498" s="64">
        <v>492.71460986623714</v>
      </c>
      <c r="E498" s="64">
        <v>5702015.4695894197</v>
      </c>
      <c r="F498" s="64" t="s">
        <v>436</v>
      </c>
      <c r="G498" s="25">
        <f t="shared" si="15"/>
        <v>-5.5672796703849503E-3</v>
      </c>
      <c r="I498" s="64">
        <v>62.06</v>
      </c>
      <c r="J498" s="64">
        <v>64.36</v>
      </c>
      <c r="K498" s="64">
        <v>59.73</v>
      </c>
      <c r="L498" s="64">
        <v>62.9</v>
      </c>
      <c r="M498" s="64">
        <v>2644529</v>
      </c>
      <c r="N498" s="64" t="s">
        <v>436</v>
      </c>
      <c r="O498" s="25">
        <f t="shared" si="16"/>
        <v>-1.3354531001589787E-2</v>
      </c>
    </row>
    <row r="499" spans="1:15">
      <c r="A499" s="64">
        <v>492.45713665034884</v>
      </c>
      <c r="B499" s="64">
        <v>499.79512330316527</v>
      </c>
      <c r="C499" s="64">
        <v>491.71937685866897</v>
      </c>
      <c r="D499" s="64">
        <v>499.52774727128127</v>
      </c>
      <c r="E499" s="64">
        <v>6217829.3554796651</v>
      </c>
      <c r="F499" s="64" t="s">
        <v>437</v>
      </c>
      <c r="G499" s="25">
        <f t="shared" si="15"/>
        <v>-1.4154590329679029E-2</v>
      </c>
      <c r="I499" s="64">
        <v>62.95</v>
      </c>
      <c r="J499" s="64">
        <v>66.3</v>
      </c>
      <c r="K499" s="64">
        <v>62.181399999999996</v>
      </c>
      <c r="L499" s="64">
        <v>65.665000000000006</v>
      </c>
      <c r="M499" s="64">
        <v>2869117</v>
      </c>
      <c r="N499" s="64" t="s">
        <v>437</v>
      </c>
      <c r="O499" s="25">
        <f t="shared" si="16"/>
        <v>-4.1346227061600627E-2</v>
      </c>
    </row>
    <row r="500" spans="1:15">
      <c r="A500" s="64">
        <v>503.99391728534363</v>
      </c>
      <c r="B500" s="64">
        <v>506.67758042017931</v>
      </c>
      <c r="C500" s="64">
        <v>503.548290565537</v>
      </c>
      <c r="D500" s="64">
        <v>504.70692003703437</v>
      </c>
      <c r="E500" s="64">
        <v>3146625.1633392838</v>
      </c>
      <c r="F500" s="64" t="s">
        <v>438</v>
      </c>
      <c r="G500" s="25">
        <f t="shared" si="15"/>
        <v>-1.4127065102226277E-3</v>
      </c>
      <c r="I500" s="64">
        <v>67.84</v>
      </c>
      <c r="J500" s="64">
        <v>71.41</v>
      </c>
      <c r="K500" s="64">
        <v>67.010000000000005</v>
      </c>
      <c r="L500" s="64">
        <v>67.8</v>
      </c>
      <c r="M500" s="64">
        <v>2486464</v>
      </c>
      <c r="N500" s="64" t="s">
        <v>438</v>
      </c>
      <c r="O500" s="25">
        <f t="shared" si="16"/>
        <v>5.8997050147491237E-4</v>
      </c>
    </row>
    <row r="501" spans="1:15">
      <c r="A501" s="64">
        <v>504.83565664497849</v>
      </c>
      <c r="B501" s="64">
        <v>505.36050589275072</v>
      </c>
      <c r="C501" s="64">
        <v>501.51821328641773</v>
      </c>
      <c r="D501" s="64">
        <v>503.33042861363151</v>
      </c>
      <c r="E501" s="64">
        <v>4385549.5264015486</v>
      </c>
      <c r="F501" s="64" t="s">
        <v>439</v>
      </c>
      <c r="G501" s="25">
        <f t="shared" si="15"/>
        <v>2.9905365258622307E-3</v>
      </c>
      <c r="I501" s="64">
        <v>68.13</v>
      </c>
      <c r="J501" s="64">
        <v>70.459999999999994</v>
      </c>
      <c r="K501" s="64">
        <v>65.545000000000002</v>
      </c>
      <c r="L501" s="64">
        <v>66.930000000000007</v>
      </c>
      <c r="M501" s="64">
        <v>3644792</v>
      </c>
      <c r="N501" s="64" t="s">
        <v>439</v>
      </c>
      <c r="O501" s="25">
        <f t="shared" si="16"/>
        <v>1.7929179740026724E-2</v>
      </c>
    </row>
    <row r="502" spans="1:15">
      <c r="A502" s="64">
        <v>499.64658106322975</v>
      </c>
      <c r="B502" s="64">
        <v>504.25139050123192</v>
      </c>
      <c r="C502" s="64">
        <v>498.66620227965507</v>
      </c>
      <c r="D502" s="64">
        <v>502.70655120590214</v>
      </c>
      <c r="E502" s="64">
        <v>4079079.1243142341</v>
      </c>
      <c r="F502" s="64" t="s">
        <v>440</v>
      </c>
      <c r="G502" s="25">
        <f t="shared" si="15"/>
        <v>-6.0869907808682733E-3</v>
      </c>
      <c r="I502" s="64">
        <v>64.7</v>
      </c>
      <c r="J502" s="64">
        <v>68.27</v>
      </c>
      <c r="K502" s="64">
        <v>64.5</v>
      </c>
      <c r="L502" s="64">
        <v>65.75</v>
      </c>
      <c r="M502" s="64">
        <v>1997292</v>
      </c>
      <c r="N502" s="64" t="s">
        <v>440</v>
      </c>
      <c r="O502" s="25">
        <f t="shared" si="16"/>
        <v>-1.5969581749049389E-2</v>
      </c>
    </row>
    <row r="503" spans="1:15">
      <c r="A503" s="64">
        <v>503.0036356857733</v>
      </c>
      <c r="B503" s="64">
        <v>509.19289568308812</v>
      </c>
      <c r="C503" s="64">
        <v>500.95474305626215</v>
      </c>
      <c r="D503" s="64">
        <v>508.26203097949195</v>
      </c>
      <c r="E503" s="64">
        <v>5105466.9724182151</v>
      </c>
      <c r="F503" s="64" t="s">
        <v>441</v>
      </c>
      <c r="G503" s="25">
        <f t="shared" si="15"/>
        <v>-1.0345835362883582E-2</v>
      </c>
      <c r="I503" s="64">
        <v>65.92</v>
      </c>
      <c r="J503" s="64">
        <v>66.739999999999995</v>
      </c>
      <c r="K503" s="64">
        <v>63.9377</v>
      </c>
      <c r="L503" s="64">
        <v>66.739999999999995</v>
      </c>
      <c r="M503" s="64">
        <v>2064082</v>
      </c>
      <c r="N503" s="64" t="s">
        <v>441</v>
      </c>
      <c r="O503" s="25">
        <f t="shared" si="16"/>
        <v>-1.228648486664663E-2</v>
      </c>
    </row>
    <row r="504" spans="1:15">
      <c r="A504" s="64">
        <v>506.81621984411925</v>
      </c>
      <c r="B504" s="64">
        <v>510.10395475469284</v>
      </c>
      <c r="C504" s="64">
        <v>506.588455076218</v>
      </c>
      <c r="D504" s="64">
        <v>508.5690182753587</v>
      </c>
      <c r="E504" s="64">
        <v>5033220.8557267217</v>
      </c>
      <c r="F504" s="64" t="s">
        <v>442</v>
      </c>
      <c r="G504" s="25">
        <f t="shared" si="15"/>
        <v>-3.4465301035904172E-3</v>
      </c>
      <c r="I504" s="64">
        <v>65.209999999999994</v>
      </c>
      <c r="J504" s="64">
        <v>69.790000000000006</v>
      </c>
      <c r="K504" s="64">
        <v>63.79</v>
      </c>
      <c r="L504" s="64">
        <v>68.48</v>
      </c>
      <c r="M504" s="64">
        <v>3318987</v>
      </c>
      <c r="N504" s="64" t="s">
        <v>442</v>
      </c>
      <c r="O504" s="25">
        <f t="shared" si="16"/>
        <v>-4.7751168224299256E-2</v>
      </c>
    </row>
    <row r="505" spans="1:15">
      <c r="A505" s="64">
        <v>513.99576144100433</v>
      </c>
      <c r="B505" s="64">
        <v>514.3522628168497</v>
      </c>
      <c r="C505" s="64">
        <v>511.57947433805271</v>
      </c>
      <c r="D505" s="64">
        <v>512.30237990573903</v>
      </c>
      <c r="E505" s="64">
        <v>4205167.5016547516</v>
      </c>
      <c r="F505" s="64" t="s">
        <v>443</v>
      </c>
      <c r="G505" s="25">
        <f t="shared" si="15"/>
        <v>3.3054336690312436E-3</v>
      </c>
      <c r="I505" s="64">
        <v>70.44</v>
      </c>
      <c r="J505" s="64">
        <v>70.69</v>
      </c>
      <c r="K505" s="64">
        <v>66.77</v>
      </c>
      <c r="L505" s="64">
        <v>70.67</v>
      </c>
      <c r="M505" s="64">
        <v>4589263</v>
      </c>
      <c r="N505" s="64" t="s">
        <v>443</v>
      </c>
      <c r="O505" s="25">
        <f t="shared" si="16"/>
        <v>-3.2545634639875587E-3</v>
      </c>
    </row>
    <row r="506" spans="1:15">
      <c r="A506" s="64">
        <v>511.09423635426322</v>
      </c>
      <c r="B506" s="64">
        <v>514.07498396897006</v>
      </c>
      <c r="C506" s="64">
        <v>509.34143792302365</v>
      </c>
      <c r="D506" s="64">
        <v>511.5596687060613</v>
      </c>
      <c r="E506" s="64">
        <v>7847791.9849986648</v>
      </c>
      <c r="F506" s="64" t="s">
        <v>444</v>
      </c>
      <c r="G506" s="25">
        <f t="shared" si="15"/>
        <v>-9.0983003600608736E-4</v>
      </c>
      <c r="I506" s="64">
        <v>72.98</v>
      </c>
      <c r="J506" s="64">
        <v>78.08</v>
      </c>
      <c r="K506" s="64">
        <v>72.531199999999998</v>
      </c>
      <c r="L506" s="64">
        <v>74.69</v>
      </c>
      <c r="M506" s="64">
        <v>2782760</v>
      </c>
      <c r="N506" s="64" t="s">
        <v>444</v>
      </c>
      <c r="O506" s="25">
        <f t="shared" si="16"/>
        <v>-2.2894631142053701E-2</v>
      </c>
    </row>
    <row r="507" spans="1:15">
      <c r="A507" s="64">
        <v>509.54939705893338</v>
      </c>
      <c r="B507" s="64">
        <v>512.99557702543825</v>
      </c>
      <c r="C507" s="64">
        <v>507.1925268519559</v>
      </c>
      <c r="D507" s="64">
        <v>507.50941696381847</v>
      </c>
      <c r="E507" s="64">
        <v>5289576.2198071387</v>
      </c>
      <c r="F507" s="64" t="s">
        <v>445</v>
      </c>
      <c r="G507" s="25">
        <f t="shared" si="15"/>
        <v>4.0195906261584202E-3</v>
      </c>
      <c r="I507" s="64">
        <v>73.849999999999994</v>
      </c>
      <c r="J507" s="64">
        <v>76.73</v>
      </c>
      <c r="K507" s="64">
        <v>69.400000000000006</v>
      </c>
      <c r="L507" s="64">
        <v>70.75</v>
      </c>
      <c r="M507" s="64">
        <v>3512646</v>
      </c>
      <c r="N507" s="64" t="s">
        <v>445</v>
      </c>
      <c r="O507" s="25">
        <f t="shared" si="16"/>
        <v>4.3816254416961131E-2</v>
      </c>
    </row>
    <row r="508" spans="1:15">
      <c r="A508" s="64">
        <v>506.42010720429101</v>
      </c>
      <c r="B508" s="64">
        <v>511.76762784197103</v>
      </c>
      <c r="C508" s="64">
        <v>505.86059810053376</v>
      </c>
      <c r="D508" s="64">
        <v>510.98530537831044</v>
      </c>
      <c r="E508" s="64">
        <v>5600738.2166913431</v>
      </c>
      <c r="F508" s="64" t="s">
        <v>446</v>
      </c>
      <c r="G508" s="25">
        <f t="shared" si="15"/>
        <v>-8.9341085271318343E-3</v>
      </c>
      <c r="I508" s="64">
        <v>70.290000000000006</v>
      </c>
      <c r="J508" s="64">
        <v>71.891000000000005</v>
      </c>
      <c r="K508" s="64">
        <v>68.328299999999999</v>
      </c>
      <c r="L508" s="64">
        <v>70.5</v>
      </c>
      <c r="M508" s="64">
        <v>2170320</v>
      </c>
      <c r="N508" s="64" t="s">
        <v>446</v>
      </c>
      <c r="O508" s="25">
        <f t="shared" si="16"/>
        <v>-2.9787234042552013E-3</v>
      </c>
    </row>
    <row r="509" spans="1:15">
      <c r="A509" s="64">
        <v>510.79715187439206</v>
      </c>
      <c r="B509" s="64">
        <v>511.16850747423092</v>
      </c>
      <c r="C509" s="64">
        <v>506.71719168416217</v>
      </c>
      <c r="D509" s="64">
        <v>507.00437334803757</v>
      </c>
      <c r="E509" s="64">
        <v>3480750.3254583725</v>
      </c>
      <c r="F509" s="64" t="s">
        <v>447</v>
      </c>
      <c r="G509" s="25">
        <f t="shared" si="15"/>
        <v>7.480760967225164E-3</v>
      </c>
      <c r="I509" s="64">
        <v>69.400000000000006</v>
      </c>
      <c r="J509" s="64">
        <v>72.28</v>
      </c>
      <c r="K509" s="64">
        <v>67.62</v>
      </c>
      <c r="L509" s="64">
        <v>71.23</v>
      </c>
      <c r="M509" s="64">
        <v>2156086</v>
      </c>
      <c r="N509" s="64" t="s">
        <v>447</v>
      </c>
      <c r="O509" s="25">
        <f t="shared" si="16"/>
        <v>-2.5691422153586996E-2</v>
      </c>
    </row>
    <row r="510" spans="1:15">
      <c r="A510" s="64">
        <v>505.92496640450588</v>
      </c>
      <c r="B510" s="64">
        <v>507.03408179602468</v>
      </c>
      <c r="C510" s="64">
        <v>505.57836784465627</v>
      </c>
      <c r="D510" s="64">
        <v>506.24185651636839</v>
      </c>
      <c r="E510" s="64">
        <v>3176695.3979199519</v>
      </c>
      <c r="F510" s="64" t="s">
        <v>448</v>
      </c>
      <c r="G510" s="25">
        <f t="shared" si="15"/>
        <v>-6.2596584573848535E-4</v>
      </c>
      <c r="I510" s="64">
        <v>70.59</v>
      </c>
      <c r="J510" s="64">
        <v>76.739999999999995</v>
      </c>
      <c r="K510" s="64">
        <v>69.2</v>
      </c>
      <c r="L510" s="64">
        <v>73.48</v>
      </c>
      <c r="M510" s="64">
        <v>2889761</v>
      </c>
      <c r="N510" s="64" t="s">
        <v>448</v>
      </c>
      <c r="O510" s="25">
        <f t="shared" si="16"/>
        <v>-3.9330430048992948E-2</v>
      </c>
    </row>
    <row r="511" spans="1:15">
      <c r="A511" s="64">
        <v>505.37040870874642</v>
      </c>
      <c r="B511" s="64">
        <v>506.23690510837054</v>
      </c>
      <c r="C511" s="64">
        <v>504.3702242931804</v>
      </c>
      <c r="D511" s="64">
        <v>505.53875658067341</v>
      </c>
      <c r="E511" s="64">
        <v>3174227.4130547778</v>
      </c>
      <c r="F511" s="64" t="s">
        <v>449</v>
      </c>
      <c r="G511" s="25">
        <f t="shared" si="15"/>
        <v>-3.330068560235544E-4</v>
      </c>
      <c r="I511" s="64">
        <v>72.81</v>
      </c>
      <c r="J511" s="64">
        <v>74.115499999999997</v>
      </c>
      <c r="K511" s="64">
        <v>70.900000000000006</v>
      </c>
      <c r="L511" s="64">
        <v>72.760000000000005</v>
      </c>
      <c r="M511" s="64">
        <v>2191086</v>
      </c>
      <c r="N511" s="64" t="s">
        <v>449</v>
      </c>
      <c r="O511" s="25">
        <f t="shared" si="16"/>
        <v>6.8719076415613145E-4</v>
      </c>
    </row>
    <row r="512" spans="1:15">
      <c r="A512" s="64">
        <v>504.88517072495694</v>
      </c>
      <c r="B512" s="64">
        <v>505.14264394084529</v>
      </c>
      <c r="C512" s="64">
        <v>501.56772736639624</v>
      </c>
      <c r="D512" s="64">
        <v>502.20150759012125</v>
      </c>
      <c r="E512" s="64">
        <v>3187903.3210044717</v>
      </c>
      <c r="F512" s="64" t="s">
        <v>450</v>
      </c>
      <c r="G512" s="25">
        <f t="shared" si="15"/>
        <v>5.3437974483860895E-3</v>
      </c>
      <c r="I512" s="64">
        <v>72.97</v>
      </c>
      <c r="J512" s="64">
        <v>76.2</v>
      </c>
      <c r="K512" s="64">
        <v>71.58</v>
      </c>
      <c r="L512" s="64">
        <v>73.78</v>
      </c>
      <c r="M512" s="64">
        <v>2587222</v>
      </c>
      <c r="N512" s="64" t="s">
        <v>450</v>
      </c>
      <c r="O512" s="25">
        <f t="shared" si="16"/>
        <v>-1.0978584982380024E-2</v>
      </c>
    </row>
    <row r="513" spans="1:15">
      <c r="A513" s="64">
        <v>501.88461747825875</v>
      </c>
      <c r="B513" s="64">
        <v>502.21141040611695</v>
      </c>
      <c r="C513" s="64">
        <v>499.31978813537154</v>
      </c>
      <c r="D513" s="64">
        <v>499.31978813537154</v>
      </c>
      <c r="E513" s="64">
        <v>2151999.9977022349</v>
      </c>
      <c r="F513" s="64" t="s">
        <v>451</v>
      </c>
      <c r="G513" s="25">
        <f t="shared" si="15"/>
        <v>5.1366467018363338E-3</v>
      </c>
      <c r="I513" s="64">
        <v>73.62</v>
      </c>
      <c r="J513" s="64">
        <v>73.972200000000001</v>
      </c>
      <c r="K513" s="64">
        <v>70.180000000000007</v>
      </c>
      <c r="L513" s="64">
        <v>71.930000000000007</v>
      </c>
      <c r="M513" s="64">
        <v>2718149</v>
      </c>
      <c r="N513" s="64" t="s">
        <v>451</v>
      </c>
      <c r="O513" s="25">
        <f t="shared" si="16"/>
        <v>2.3495064646183783E-2</v>
      </c>
    </row>
    <row r="514" spans="1:15">
      <c r="A514" s="64">
        <v>499.62677543123829</v>
      </c>
      <c r="B514" s="64">
        <v>499.70599795920396</v>
      </c>
      <c r="C514" s="64">
        <v>494.75458996135211</v>
      </c>
      <c r="D514" s="64">
        <v>494.83381248931772</v>
      </c>
      <c r="E514" s="64">
        <v>4251399.8056982309</v>
      </c>
      <c r="F514" s="64" t="s">
        <v>452</v>
      </c>
      <c r="G514" s="25">
        <f t="shared" ref="G514:G577" si="17">A514/D514-1</f>
        <v>9.6860053233003285E-3</v>
      </c>
      <c r="I514" s="64">
        <v>73.510000000000005</v>
      </c>
      <c r="J514" s="64">
        <v>73.52</v>
      </c>
      <c r="K514" s="64">
        <v>65.650000000000006</v>
      </c>
      <c r="L514" s="64">
        <v>65.989999999999995</v>
      </c>
      <c r="M514" s="64">
        <v>6089633</v>
      </c>
      <c r="N514" s="64" t="s">
        <v>452</v>
      </c>
      <c r="O514" s="25">
        <f t="shared" ref="O514:O577" si="18">I514/L514-1</f>
        <v>0.11395666010001526</v>
      </c>
    </row>
    <row r="515" spans="1:15">
      <c r="A515" s="64">
        <v>496.40836023263461</v>
      </c>
      <c r="B515" s="64">
        <v>496.8043738443028</v>
      </c>
      <c r="C515" s="64">
        <v>493.75440554578603</v>
      </c>
      <c r="D515" s="64">
        <v>496.6163193685444</v>
      </c>
      <c r="E515" s="64">
        <v>4411397.7295905249</v>
      </c>
      <c r="F515" s="64" t="s">
        <v>453</v>
      </c>
      <c r="G515" s="25">
        <f t="shared" si="17"/>
        <v>-4.1875211868636075E-4</v>
      </c>
      <c r="I515" s="64">
        <v>66.59</v>
      </c>
      <c r="J515" s="64">
        <v>66.69</v>
      </c>
      <c r="K515" s="64">
        <v>62.2</v>
      </c>
      <c r="L515" s="64">
        <v>64.2</v>
      </c>
      <c r="M515" s="64">
        <v>3609070</v>
      </c>
      <c r="N515" s="64" t="s">
        <v>453</v>
      </c>
      <c r="O515" s="25">
        <f t="shared" si="18"/>
        <v>3.7227414330218034E-2</v>
      </c>
    </row>
    <row r="516" spans="1:15">
      <c r="A516" s="64">
        <v>495.2695363931287</v>
      </c>
      <c r="B516" s="64">
        <v>500.81511335072275</v>
      </c>
      <c r="C516" s="64">
        <v>494.16042100160985</v>
      </c>
      <c r="D516" s="64">
        <v>498.08193613590856</v>
      </c>
      <c r="E516" s="64">
        <v>5653514.1139943674</v>
      </c>
      <c r="F516" s="64" t="s">
        <v>454</v>
      </c>
      <c r="G516" s="25">
        <f t="shared" si="17"/>
        <v>-5.6464600274370724E-3</v>
      </c>
      <c r="I516" s="64">
        <v>63.89</v>
      </c>
      <c r="J516" s="64">
        <v>65.819999999999993</v>
      </c>
      <c r="K516" s="64">
        <v>62.67</v>
      </c>
      <c r="L516" s="64">
        <v>64.069999999999993</v>
      </c>
      <c r="M516" s="64">
        <v>1921903</v>
      </c>
      <c r="N516" s="64" t="s">
        <v>454</v>
      </c>
      <c r="O516" s="25">
        <f t="shared" si="18"/>
        <v>-2.8094271890118927E-3</v>
      </c>
    </row>
    <row r="517" spans="1:15">
      <c r="A517" s="64">
        <v>497.18721671069676</v>
      </c>
      <c r="B517" s="64">
        <v>497.80888575213316</v>
      </c>
      <c r="C517" s="64">
        <v>495.67744903863684</v>
      </c>
      <c r="D517" s="64">
        <v>496.34845689288568</v>
      </c>
      <c r="E517" s="64">
        <v>3668161.832107625</v>
      </c>
      <c r="F517" s="64" t="s">
        <v>455</v>
      </c>
      <c r="G517" s="25">
        <f t="shared" si="17"/>
        <v>1.6898608349902311E-3</v>
      </c>
      <c r="I517" s="64">
        <v>63.58</v>
      </c>
      <c r="J517" s="64">
        <v>64.7</v>
      </c>
      <c r="K517" s="64">
        <v>62.03</v>
      </c>
      <c r="L517" s="64">
        <v>62.834000000000003</v>
      </c>
      <c r="M517" s="64">
        <v>1704769</v>
      </c>
      <c r="N517" s="64" t="s">
        <v>455</v>
      </c>
      <c r="O517" s="25">
        <f t="shared" si="18"/>
        <v>1.1872553076359926E-2</v>
      </c>
    </row>
    <row r="518" spans="1:15">
      <c r="A518" s="64">
        <v>496.41753123082304</v>
      </c>
      <c r="B518" s="64">
        <v>497.10827461019687</v>
      </c>
      <c r="C518" s="64">
        <v>494.26635899220179</v>
      </c>
      <c r="D518" s="64">
        <v>494.83868922082587</v>
      </c>
      <c r="E518" s="64">
        <v>3245619.2371071526</v>
      </c>
      <c r="F518" s="64" t="s">
        <v>456</v>
      </c>
      <c r="G518" s="25">
        <f t="shared" si="17"/>
        <v>3.1906195784392466E-3</v>
      </c>
      <c r="I518" s="64">
        <v>63.61</v>
      </c>
      <c r="J518" s="64">
        <v>63.88</v>
      </c>
      <c r="K518" s="64">
        <v>60.33</v>
      </c>
      <c r="L518" s="64">
        <v>60.5</v>
      </c>
      <c r="M518" s="64">
        <v>3828425</v>
      </c>
      <c r="N518" s="64" t="s">
        <v>456</v>
      </c>
      <c r="O518" s="25">
        <f t="shared" si="18"/>
        <v>5.1404958677685908E-2</v>
      </c>
    </row>
    <row r="519" spans="1:15">
      <c r="A519" s="64">
        <v>495.86493652732401</v>
      </c>
      <c r="B519" s="64">
        <v>496.18070492932344</v>
      </c>
      <c r="C519" s="64">
        <v>493.70389652614028</v>
      </c>
      <c r="D519" s="64">
        <v>495.07551552232536</v>
      </c>
      <c r="E519" s="64">
        <v>6421642.1502602752</v>
      </c>
      <c r="F519" s="64" t="s">
        <v>457</v>
      </c>
      <c r="G519" s="25">
        <f t="shared" si="17"/>
        <v>1.5945466504554417E-3</v>
      </c>
      <c r="I519" s="64">
        <v>61.38</v>
      </c>
      <c r="J519" s="64">
        <v>61.57</v>
      </c>
      <c r="K519" s="64">
        <v>56.42</v>
      </c>
      <c r="L519" s="64">
        <v>56.56</v>
      </c>
      <c r="M519" s="64">
        <v>2828497</v>
      </c>
      <c r="N519" s="64" t="s">
        <v>457</v>
      </c>
      <c r="O519" s="25">
        <f t="shared" si="18"/>
        <v>8.5219236209335136E-2</v>
      </c>
    </row>
    <row r="520" spans="1:15">
      <c r="A520" s="64">
        <v>493.81244191432762</v>
      </c>
      <c r="B520" s="64">
        <v>497.76892131375513</v>
      </c>
      <c r="C520" s="64">
        <v>493.81244191432762</v>
      </c>
      <c r="D520" s="64">
        <v>495.39128392432485</v>
      </c>
      <c r="E520" s="64">
        <v>7116956.8131896658</v>
      </c>
      <c r="F520" s="64" t="s">
        <v>458</v>
      </c>
      <c r="G520" s="25">
        <f t="shared" si="17"/>
        <v>-3.1870605342310121E-3</v>
      </c>
      <c r="I520" s="64">
        <v>56.48</v>
      </c>
      <c r="J520" s="64">
        <v>58.89</v>
      </c>
      <c r="K520" s="64">
        <v>55.95</v>
      </c>
      <c r="L520" s="64">
        <v>57.32</v>
      </c>
      <c r="M520" s="64">
        <v>1789202</v>
      </c>
      <c r="N520" s="64" t="s">
        <v>458</v>
      </c>
      <c r="O520" s="25">
        <f t="shared" si="18"/>
        <v>-1.4654570830425762E-2</v>
      </c>
    </row>
    <row r="521" spans="1:15">
      <c r="A521" s="64">
        <v>495.14458986026278</v>
      </c>
      <c r="B521" s="64">
        <v>496.56130453135847</v>
      </c>
      <c r="C521" s="64">
        <v>494.22688794195193</v>
      </c>
      <c r="D521" s="64">
        <v>495.46035826226228</v>
      </c>
      <c r="E521" s="64">
        <v>4406103.1793878563</v>
      </c>
      <c r="F521" s="64" t="s">
        <v>459</v>
      </c>
      <c r="G521" s="25">
        <f t="shared" si="17"/>
        <v>-6.3732324238208182E-4</v>
      </c>
      <c r="I521" s="64">
        <v>57.3</v>
      </c>
      <c r="J521" s="64">
        <v>57.65</v>
      </c>
      <c r="K521" s="64">
        <v>54.45</v>
      </c>
      <c r="L521" s="64">
        <v>56.4</v>
      </c>
      <c r="M521" s="64">
        <v>4441047</v>
      </c>
      <c r="N521" s="64" t="s">
        <v>459</v>
      </c>
      <c r="O521" s="25">
        <f t="shared" si="18"/>
        <v>1.5957446808510634E-2</v>
      </c>
    </row>
    <row r="522" spans="1:15">
      <c r="A522" s="64">
        <v>496.23004374213588</v>
      </c>
      <c r="B522" s="64">
        <v>499.05222383500598</v>
      </c>
      <c r="C522" s="64">
        <v>494.56239186907629</v>
      </c>
      <c r="D522" s="64">
        <v>498.46015808125702</v>
      </c>
      <c r="E522" s="64">
        <v>4875337.2099678321</v>
      </c>
      <c r="F522" s="64" t="s">
        <v>460</v>
      </c>
      <c r="G522" s="25">
        <f t="shared" si="17"/>
        <v>-4.4740072059231695E-3</v>
      </c>
      <c r="I522" s="64">
        <v>57.42</v>
      </c>
      <c r="J522" s="64">
        <v>60.1</v>
      </c>
      <c r="K522" s="64">
        <v>55.47</v>
      </c>
      <c r="L522" s="64">
        <v>60</v>
      </c>
      <c r="M522" s="64">
        <v>3372050</v>
      </c>
      <c r="N522" s="64" t="s">
        <v>460</v>
      </c>
      <c r="O522" s="25">
        <f t="shared" si="18"/>
        <v>-4.2999999999999927E-2</v>
      </c>
    </row>
    <row r="523" spans="1:15">
      <c r="A523" s="64">
        <v>497.61153050088348</v>
      </c>
      <c r="B523" s="64">
        <v>497.68573607535336</v>
      </c>
      <c r="C523" s="64">
        <v>495.98334967807381</v>
      </c>
      <c r="D523" s="64">
        <v>496.39779570569812</v>
      </c>
      <c r="E523" s="64">
        <v>3477652.5866635391</v>
      </c>
      <c r="F523" s="64" t="s">
        <v>461</v>
      </c>
      <c r="G523" s="25">
        <f t="shared" si="17"/>
        <v>2.4450849816122222E-3</v>
      </c>
      <c r="I523" s="64">
        <v>60.21</v>
      </c>
      <c r="J523" s="64">
        <v>61.6387</v>
      </c>
      <c r="K523" s="64">
        <v>57.5</v>
      </c>
      <c r="L523" s="64">
        <v>61.11</v>
      </c>
      <c r="M523" s="64">
        <v>2213121</v>
      </c>
      <c r="N523" s="64" t="s">
        <v>461</v>
      </c>
      <c r="O523" s="25">
        <f t="shared" si="18"/>
        <v>-1.4727540500736325E-2</v>
      </c>
    </row>
    <row r="524" spans="1:15">
      <c r="A524" s="64">
        <v>496.28925031751078</v>
      </c>
      <c r="B524" s="64">
        <v>497.51285287525866</v>
      </c>
      <c r="C524" s="64">
        <v>491.32576574858194</v>
      </c>
      <c r="D524" s="64">
        <v>491.88822821464345</v>
      </c>
      <c r="E524" s="64">
        <v>4671311.2225920837</v>
      </c>
      <c r="F524" s="64" t="s">
        <v>462</v>
      </c>
      <c r="G524" s="25">
        <f t="shared" si="17"/>
        <v>8.9471994864387394E-3</v>
      </c>
      <c r="I524" s="64">
        <v>60.35</v>
      </c>
      <c r="J524" s="64">
        <v>61.13</v>
      </c>
      <c r="K524" s="64">
        <v>58.1</v>
      </c>
      <c r="L524" s="64">
        <v>61</v>
      </c>
      <c r="M524" s="64">
        <v>2097146</v>
      </c>
      <c r="N524" s="64" t="s">
        <v>462</v>
      </c>
      <c r="O524" s="25">
        <f t="shared" si="18"/>
        <v>-1.0655737704918011E-2</v>
      </c>
    </row>
    <row r="525" spans="1:15">
      <c r="A525" s="64">
        <v>492.38161634276764</v>
      </c>
      <c r="B525" s="64">
        <v>492.44082291814249</v>
      </c>
      <c r="C525" s="64">
        <v>489.72718821345973</v>
      </c>
      <c r="D525" s="64">
        <v>490.68436118202055</v>
      </c>
      <c r="E525" s="64">
        <v>5889932.9642338268</v>
      </c>
      <c r="F525" s="64" t="s">
        <v>463</v>
      </c>
      <c r="G525" s="25">
        <f t="shared" si="17"/>
        <v>3.4589550738044483E-3</v>
      </c>
      <c r="I525" s="64">
        <v>60.94</v>
      </c>
      <c r="J525" s="64">
        <v>64.94</v>
      </c>
      <c r="K525" s="64">
        <v>60.11</v>
      </c>
      <c r="L525" s="64">
        <v>63.54</v>
      </c>
      <c r="M525" s="64">
        <v>2454885</v>
      </c>
      <c r="N525" s="64" t="s">
        <v>463</v>
      </c>
      <c r="O525" s="25">
        <f t="shared" si="18"/>
        <v>-4.0919106074913447E-2</v>
      </c>
    </row>
    <row r="526" spans="1:15">
      <c r="A526" s="64">
        <v>491.98690584026826</v>
      </c>
      <c r="B526" s="64">
        <v>492.84540118320427</v>
      </c>
      <c r="C526" s="64">
        <v>489.50022967452264</v>
      </c>
      <c r="D526" s="64">
        <v>492.69738474476708</v>
      </c>
      <c r="E526" s="64">
        <v>8926926.3870325722</v>
      </c>
      <c r="F526" s="64" t="s">
        <v>464</v>
      </c>
      <c r="G526" s="25">
        <f t="shared" si="17"/>
        <v>-1.4420188263569722E-3</v>
      </c>
      <c r="I526" s="64">
        <v>63.96</v>
      </c>
      <c r="J526" s="64">
        <v>69.041700000000006</v>
      </c>
      <c r="K526" s="64">
        <v>63.64</v>
      </c>
      <c r="L526" s="64">
        <v>66.83</v>
      </c>
      <c r="M526" s="64">
        <v>2874509</v>
      </c>
      <c r="N526" s="64" t="s">
        <v>464</v>
      </c>
      <c r="O526" s="25">
        <f t="shared" si="18"/>
        <v>-4.2944785276073594E-2</v>
      </c>
    </row>
    <row r="527" spans="1:15">
      <c r="A527" s="64">
        <v>491.05933615939489</v>
      </c>
      <c r="B527" s="64">
        <v>493.53614456257804</v>
      </c>
      <c r="C527" s="64">
        <v>490.14163424108398</v>
      </c>
      <c r="D527" s="64">
        <v>491.34550127370693</v>
      </c>
      <c r="E527" s="64">
        <v>3748354.2764423308</v>
      </c>
      <c r="F527" s="64" t="s">
        <v>465</v>
      </c>
      <c r="G527" s="25">
        <f t="shared" si="17"/>
        <v>-5.8241118229473976E-4</v>
      </c>
      <c r="I527" s="64">
        <v>65.930000000000007</v>
      </c>
      <c r="J527" s="64">
        <v>69.59</v>
      </c>
      <c r="K527" s="64">
        <v>61.85</v>
      </c>
      <c r="L527" s="64">
        <v>62.875</v>
      </c>
      <c r="M527" s="64">
        <v>6825736</v>
      </c>
      <c r="N527" s="64" t="s">
        <v>465</v>
      </c>
      <c r="O527" s="25">
        <f t="shared" si="18"/>
        <v>4.8588469184890792E-2</v>
      </c>
    </row>
    <row r="528" spans="1:15">
      <c r="A528" s="64">
        <v>487.00368574621444</v>
      </c>
      <c r="B528" s="64">
        <v>487.13196665952677</v>
      </c>
      <c r="C528" s="64">
        <v>482.64114791734079</v>
      </c>
      <c r="D528" s="64">
        <v>484.49727405534384</v>
      </c>
      <c r="E528" s="64">
        <v>4082407.7134932731</v>
      </c>
      <c r="F528" s="64" t="s">
        <v>466</v>
      </c>
      <c r="G528" s="25">
        <f t="shared" si="17"/>
        <v>5.1732214505386676E-3</v>
      </c>
      <c r="I528" s="64">
        <v>61.55</v>
      </c>
      <c r="J528" s="64">
        <v>62.049199999999999</v>
      </c>
      <c r="K528" s="64">
        <v>58.494999999999997</v>
      </c>
      <c r="L528" s="64">
        <v>60.12</v>
      </c>
      <c r="M528" s="64">
        <v>2024061</v>
      </c>
      <c r="N528" s="64" t="s">
        <v>466</v>
      </c>
      <c r="O528" s="25">
        <f t="shared" si="18"/>
        <v>2.3785761809713923E-2</v>
      </c>
    </row>
    <row r="529" spans="1:15">
      <c r="A529" s="64">
        <v>485.89849633921642</v>
      </c>
      <c r="B529" s="64">
        <v>486.17479369096588</v>
      </c>
      <c r="C529" s="64">
        <v>483.08618400890879</v>
      </c>
      <c r="D529" s="64">
        <v>483.68811752522026</v>
      </c>
      <c r="E529" s="64">
        <v>3511659.2824950577</v>
      </c>
      <c r="F529" s="64" t="s">
        <v>467</v>
      </c>
      <c r="G529" s="25">
        <f t="shared" si="17"/>
        <v>4.5698431156537822E-3</v>
      </c>
      <c r="I529" s="64">
        <v>59.63</v>
      </c>
      <c r="J529" s="64">
        <v>61.38</v>
      </c>
      <c r="K529" s="64">
        <v>58.26</v>
      </c>
      <c r="L529" s="64">
        <v>60.01</v>
      </c>
      <c r="M529" s="64">
        <v>1459111</v>
      </c>
      <c r="N529" s="64" t="s">
        <v>467</v>
      </c>
      <c r="O529" s="25">
        <f t="shared" si="18"/>
        <v>-6.3322779536743035E-3</v>
      </c>
    </row>
    <row r="530" spans="1:15">
      <c r="A530" s="64">
        <v>484.30978656665667</v>
      </c>
      <c r="B530" s="64">
        <v>487.00368574621444</v>
      </c>
      <c r="C530" s="64">
        <v>483.06644848378386</v>
      </c>
      <c r="D530" s="64">
        <v>484.0630925025946</v>
      </c>
      <c r="E530" s="64">
        <v>3104641.9901181473</v>
      </c>
      <c r="F530" s="64" t="s">
        <v>468</v>
      </c>
      <c r="G530" s="25">
        <f t="shared" si="17"/>
        <v>5.0963204566301101E-4</v>
      </c>
      <c r="I530" s="64">
        <v>59.8</v>
      </c>
      <c r="J530" s="64">
        <v>63.8</v>
      </c>
      <c r="K530" s="64">
        <v>59.21</v>
      </c>
      <c r="L530" s="64">
        <v>61.63</v>
      </c>
      <c r="M530" s="64">
        <v>3414026</v>
      </c>
      <c r="N530" s="64" t="s">
        <v>468</v>
      </c>
      <c r="O530" s="25">
        <f t="shared" si="18"/>
        <v>-2.9693331169884929E-2</v>
      </c>
    </row>
    <row r="531" spans="1:15">
      <c r="A531" s="64">
        <v>484.94132337065554</v>
      </c>
      <c r="B531" s="64">
        <v>485.67153780027928</v>
      </c>
      <c r="C531" s="64">
        <v>483.16522478703428</v>
      </c>
      <c r="D531" s="64">
        <v>485.33603387315486</v>
      </c>
      <c r="E531" s="64">
        <v>21629993.491280023</v>
      </c>
      <c r="F531" s="64" t="s">
        <v>469</v>
      </c>
      <c r="G531" s="25">
        <f t="shared" si="17"/>
        <v>-8.1327260897856579E-4</v>
      </c>
      <c r="I531" s="64">
        <v>63.46</v>
      </c>
      <c r="J531" s="64">
        <v>63.57</v>
      </c>
      <c r="K531" s="64">
        <v>58.38</v>
      </c>
      <c r="L531" s="64">
        <v>58.99</v>
      </c>
      <c r="M531" s="64">
        <v>3375228</v>
      </c>
      <c r="N531" s="64" t="s">
        <v>469</v>
      </c>
      <c r="O531" s="25">
        <f t="shared" si="18"/>
        <v>7.5775555178843934E-2</v>
      </c>
    </row>
    <row r="532" spans="1:15">
      <c r="A532" s="64">
        <v>485.04986875884288</v>
      </c>
      <c r="B532" s="64">
        <v>485.04986875884288</v>
      </c>
      <c r="C532" s="64">
        <v>479.63246711203982</v>
      </c>
      <c r="D532" s="64">
        <v>481.4185321358492</v>
      </c>
      <c r="E532" s="64">
        <v>3066699.244979193</v>
      </c>
      <c r="F532" s="64" t="s">
        <v>470</v>
      </c>
      <c r="G532" s="25">
        <f t="shared" si="17"/>
        <v>7.5429930104331522E-3</v>
      </c>
      <c r="I532" s="64">
        <v>60.07</v>
      </c>
      <c r="J532" s="64">
        <v>60.24</v>
      </c>
      <c r="K532" s="64">
        <v>54.570900000000002</v>
      </c>
      <c r="L532" s="64">
        <v>54.79</v>
      </c>
      <c r="M532" s="64">
        <v>3030031</v>
      </c>
      <c r="N532" s="64" t="s">
        <v>470</v>
      </c>
      <c r="O532" s="25">
        <f t="shared" si="18"/>
        <v>9.6367950355904286E-2</v>
      </c>
    </row>
    <row r="533" spans="1:15">
      <c r="A533" s="64">
        <v>479.31669871004038</v>
      </c>
      <c r="B533" s="64">
        <v>479.9778388017267</v>
      </c>
      <c r="C533" s="64">
        <v>476.17875021517079</v>
      </c>
      <c r="D533" s="64">
        <v>477.59970802416836</v>
      </c>
      <c r="E533" s="64">
        <v>2594579.0484806858</v>
      </c>
      <c r="F533" s="64" t="s">
        <v>471</v>
      </c>
      <c r="G533" s="25">
        <f t="shared" si="17"/>
        <v>3.5950413223140298E-3</v>
      </c>
      <c r="I533" s="64">
        <v>54.5</v>
      </c>
      <c r="J533" s="64">
        <v>55.4</v>
      </c>
      <c r="K533" s="64">
        <v>53.954999999999998</v>
      </c>
      <c r="L533" s="64">
        <v>55.2</v>
      </c>
      <c r="M533" s="64">
        <v>1291039</v>
      </c>
      <c r="N533" s="64" t="s">
        <v>471</v>
      </c>
      <c r="O533" s="25">
        <f t="shared" si="18"/>
        <v>-1.2681159420289911E-2</v>
      </c>
    </row>
    <row r="534" spans="1:15">
      <c r="A534" s="64">
        <v>478.73450071885384</v>
      </c>
      <c r="B534" s="64">
        <v>479.9778388017267</v>
      </c>
      <c r="C534" s="64">
        <v>474.04731350167452</v>
      </c>
      <c r="D534" s="64">
        <v>479.86929341353942</v>
      </c>
      <c r="E534" s="64">
        <v>4267690.8502147933</v>
      </c>
      <c r="F534" s="64" t="s">
        <v>472</v>
      </c>
      <c r="G534" s="25">
        <f t="shared" si="17"/>
        <v>-2.3647953937899757E-3</v>
      </c>
      <c r="I534" s="64">
        <v>55.8</v>
      </c>
      <c r="J534" s="64">
        <v>58.64</v>
      </c>
      <c r="K534" s="64">
        <v>54.15</v>
      </c>
      <c r="L534" s="64">
        <v>57.55</v>
      </c>
      <c r="M534" s="64">
        <v>2573080</v>
      </c>
      <c r="N534" s="64" t="s">
        <v>472</v>
      </c>
      <c r="O534" s="25">
        <f t="shared" si="18"/>
        <v>-3.0408340573414461E-2</v>
      </c>
    </row>
    <row r="535" spans="1:15">
      <c r="A535" s="64">
        <v>478.21150930304231</v>
      </c>
      <c r="B535" s="64">
        <v>478.49767441735429</v>
      </c>
      <c r="C535" s="64">
        <v>470.17421669590004</v>
      </c>
      <c r="D535" s="64">
        <v>474.87620555692308</v>
      </c>
      <c r="E535" s="64">
        <v>5405451.3028918337</v>
      </c>
      <c r="F535" s="64" t="s">
        <v>473</v>
      </c>
      <c r="G535" s="25">
        <f t="shared" si="17"/>
        <v>7.0235225667028001E-3</v>
      </c>
      <c r="I535" s="64">
        <v>54.24</v>
      </c>
      <c r="J535" s="64">
        <v>57.52</v>
      </c>
      <c r="K535" s="64">
        <v>53.45</v>
      </c>
      <c r="L535" s="64">
        <v>56.21</v>
      </c>
      <c r="M535" s="64">
        <v>2036766</v>
      </c>
      <c r="N535" s="64" t="s">
        <v>473</v>
      </c>
      <c r="O535" s="25">
        <f t="shared" si="18"/>
        <v>-3.5047144636185745E-2</v>
      </c>
    </row>
    <row r="536" spans="1:15">
      <c r="A536" s="64">
        <v>474.08678455192444</v>
      </c>
      <c r="B536" s="64">
        <v>476.36663241436048</v>
      </c>
      <c r="C536" s="64">
        <v>472.86318199417656</v>
      </c>
      <c r="D536" s="64">
        <v>475.74456866242156</v>
      </c>
      <c r="E536" s="64">
        <v>3439066.3319184515</v>
      </c>
      <c r="F536" s="64" t="s">
        <v>474</v>
      </c>
      <c r="G536" s="25">
        <f t="shared" si="17"/>
        <v>-3.4846096407533667E-3</v>
      </c>
      <c r="I536" s="64">
        <v>56.3</v>
      </c>
      <c r="J536" s="64">
        <v>59.49</v>
      </c>
      <c r="K536" s="64">
        <v>55.76</v>
      </c>
      <c r="L536" s="64">
        <v>57</v>
      </c>
      <c r="M536" s="64">
        <v>1860520</v>
      </c>
      <c r="N536" s="64" t="s">
        <v>474</v>
      </c>
      <c r="O536" s="25">
        <f t="shared" si="18"/>
        <v>-1.2280701754386003E-2</v>
      </c>
    </row>
    <row r="537" spans="1:15">
      <c r="A537" s="64">
        <v>477.29380738473139</v>
      </c>
      <c r="B537" s="64">
        <v>478.27071587841715</v>
      </c>
      <c r="C537" s="64">
        <v>476.57346071767012</v>
      </c>
      <c r="D537" s="64">
        <v>476.80041925660726</v>
      </c>
      <c r="E537" s="64">
        <v>5680072.8275627885</v>
      </c>
      <c r="F537" s="64" t="s">
        <v>475</v>
      </c>
      <c r="G537" s="25">
        <f t="shared" si="17"/>
        <v>1.0347896272686619E-3</v>
      </c>
      <c r="I537" s="64">
        <v>57.64</v>
      </c>
      <c r="J537" s="64">
        <v>58.63</v>
      </c>
      <c r="K537" s="64">
        <v>56.801000000000002</v>
      </c>
      <c r="L537" s="64">
        <v>57.45</v>
      </c>
      <c r="M537" s="64">
        <v>1319960</v>
      </c>
      <c r="N537" s="64" t="s">
        <v>475</v>
      </c>
      <c r="O537" s="25">
        <f t="shared" si="18"/>
        <v>3.3072236727589299E-3</v>
      </c>
    </row>
    <row r="538" spans="1:15">
      <c r="A538" s="64">
        <v>480.678449943663</v>
      </c>
      <c r="B538" s="64">
        <v>481.19650747819333</v>
      </c>
      <c r="C538" s="64">
        <v>478.11776555869864</v>
      </c>
      <c r="D538" s="64">
        <v>480.95474729541246</v>
      </c>
      <c r="E538" s="64">
        <v>4088785.0457001971</v>
      </c>
      <c r="F538" s="64" t="s">
        <v>476</v>
      </c>
      <c r="G538" s="25">
        <f t="shared" si="17"/>
        <v>-5.7447681575695242E-4</v>
      </c>
      <c r="I538" s="64">
        <v>58.49</v>
      </c>
      <c r="J538" s="64">
        <v>59.274999999999999</v>
      </c>
      <c r="K538" s="64">
        <v>53.863399999999999</v>
      </c>
      <c r="L538" s="64">
        <v>55.12</v>
      </c>
      <c r="M538" s="64">
        <v>3536946</v>
      </c>
      <c r="N538" s="64" t="s">
        <v>476</v>
      </c>
      <c r="O538" s="25">
        <f t="shared" si="18"/>
        <v>6.1139332365747645E-2</v>
      </c>
    </row>
    <row r="539" spans="1:15">
      <c r="A539" s="64">
        <v>480.29360720372614</v>
      </c>
      <c r="B539" s="64">
        <v>480.95474729541246</v>
      </c>
      <c r="C539" s="64">
        <v>477.92534418873026</v>
      </c>
      <c r="D539" s="64">
        <v>478.76410400654134</v>
      </c>
      <c r="E539" s="64">
        <v>2589483.6684812554</v>
      </c>
      <c r="F539" s="64" t="s">
        <v>477</v>
      </c>
      <c r="G539" s="25">
        <f t="shared" si="17"/>
        <v>3.1946906302815492E-3</v>
      </c>
      <c r="I539" s="64">
        <v>54.72</v>
      </c>
      <c r="J539" s="64">
        <v>56</v>
      </c>
      <c r="K539" s="64">
        <v>53.21</v>
      </c>
      <c r="L539" s="64">
        <v>53.96</v>
      </c>
      <c r="M539" s="64">
        <v>2019797</v>
      </c>
      <c r="N539" s="64" t="s">
        <v>477</v>
      </c>
      <c r="O539" s="25">
        <f t="shared" si="18"/>
        <v>1.4084507042253502E-2</v>
      </c>
    </row>
    <row r="540" spans="1:15">
      <c r="A540" s="64">
        <v>477.04711332066933</v>
      </c>
      <c r="B540" s="64">
        <v>483.51049779909556</v>
      </c>
      <c r="C540" s="64">
        <v>475.9123206259838</v>
      </c>
      <c r="D540" s="64">
        <v>483.43155569859573</v>
      </c>
      <c r="E540" s="64">
        <v>3862382.1518472382</v>
      </c>
      <c r="F540" s="64" t="s">
        <v>478</v>
      </c>
      <c r="G540" s="25">
        <f t="shared" si="17"/>
        <v>-1.320650731767059E-2</v>
      </c>
      <c r="I540" s="64">
        <v>54.16</v>
      </c>
      <c r="J540" s="64">
        <v>57.26</v>
      </c>
      <c r="K540" s="64">
        <v>53.11</v>
      </c>
      <c r="L540" s="64">
        <v>56.88</v>
      </c>
      <c r="M540" s="64">
        <v>3289560</v>
      </c>
      <c r="N540" s="64" t="s">
        <v>478</v>
      </c>
      <c r="O540" s="25">
        <f t="shared" si="18"/>
        <v>-4.7819971870604938E-2</v>
      </c>
    </row>
    <row r="541" spans="1:15">
      <c r="A541" s="64">
        <v>480.6192433682881</v>
      </c>
      <c r="B541" s="64">
        <v>481.97112683934824</v>
      </c>
      <c r="C541" s="64">
        <v>478.52727770504174</v>
      </c>
      <c r="D541" s="64">
        <v>481.33959003534937</v>
      </c>
      <c r="E541" s="64">
        <v>3294141.8882115106</v>
      </c>
      <c r="F541" s="64" t="s">
        <v>479</v>
      </c>
      <c r="G541" s="25">
        <f t="shared" si="17"/>
        <v>-1.4965456446421888E-3</v>
      </c>
      <c r="I541" s="64">
        <v>56.69</v>
      </c>
      <c r="J541" s="64">
        <v>60.4499</v>
      </c>
      <c r="K541" s="64">
        <v>55.86</v>
      </c>
      <c r="L541" s="64">
        <v>59</v>
      </c>
      <c r="M541" s="64">
        <v>3272328</v>
      </c>
      <c r="N541" s="64" t="s">
        <v>479</v>
      </c>
      <c r="O541" s="25">
        <f t="shared" si="18"/>
        <v>-3.9152542372881349E-2</v>
      </c>
    </row>
    <row r="542" spans="1:15">
      <c r="A542" s="64">
        <v>482.02046565216068</v>
      </c>
      <c r="B542" s="64">
        <v>482.11914327778544</v>
      </c>
      <c r="C542" s="64">
        <v>479.9186322263518</v>
      </c>
      <c r="D542" s="64">
        <v>480.09625195247645</v>
      </c>
      <c r="E542" s="64">
        <v>2486456.2604378862</v>
      </c>
      <c r="F542" s="64" t="s">
        <v>480</v>
      </c>
      <c r="G542" s="25">
        <f t="shared" si="17"/>
        <v>4.0079748422503503E-3</v>
      </c>
      <c r="I542" s="64">
        <v>59.31</v>
      </c>
      <c r="J542" s="64">
        <v>62.46</v>
      </c>
      <c r="K542" s="64">
        <v>58.84</v>
      </c>
      <c r="L542" s="64">
        <v>60.74</v>
      </c>
      <c r="M542" s="64">
        <v>2694029</v>
      </c>
      <c r="N542" s="64" t="s">
        <v>480</v>
      </c>
      <c r="O542" s="25">
        <f t="shared" si="18"/>
        <v>-2.3542970036219968E-2</v>
      </c>
    </row>
    <row r="543" spans="1:15">
      <c r="A543" s="64">
        <v>480.72778875647543</v>
      </c>
      <c r="B543" s="64">
        <v>482.14864788784729</v>
      </c>
      <c r="C543" s="64">
        <v>480.01730985197662</v>
      </c>
      <c r="D543" s="64">
        <v>480.34294601653852</v>
      </c>
      <c r="E543" s="64">
        <v>2634421.9204094037</v>
      </c>
      <c r="F543" s="64" t="s">
        <v>481</v>
      </c>
      <c r="G543" s="25">
        <f t="shared" si="17"/>
        <v>8.0118328608413947E-4</v>
      </c>
      <c r="I543" s="64">
        <v>61.22</v>
      </c>
      <c r="J543" s="64">
        <v>62</v>
      </c>
      <c r="K543" s="64">
        <v>57.27</v>
      </c>
      <c r="L543" s="64">
        <v>61.9</v>
      </c>
      <c r="M543" s="64">
        <v>5975244</v>
      </c>
      <c r="N543" s="64" t="s">
        <v>481</v>
      </c>
      <c r="O543" s="25">
        <f t="shared" si="18"/>
        <v>-1.0985460420032345E-2</v>
      </c>
    </row>
    <row r="544" spans="1:15">
      <c r="A544" s="64">
        <v>480.25413615347622</v>
      </c>
      <c r="B544" s="64">
        <v>480.29360720372614</v>
      </c>
      <c r="C544" s="64">
        <v>478.29045140354214</v>
      </c>
      <c r="D544" s="64">
        <v>479.66207039972721</v>
      </c>
      <c r="E544" s="64">
        <v>3317910.1941993055</v>
      </c>
      <c r="F544" s="64" t="s">
        <v>482</v>
      </c>
      <c r="G544" s="25">
        <f t="shared" si="17"/>
        <v>1.2343393198790409E-3</v>
      </c>
      <c r="I544" s="64">
        <v>62.04</v>
      </c>
      <c r="J544" s="64">
        <v>66.150000000000006</v>
      </c>
      <c r="K544" s="64">
        <v>60.62</v>
      </c>
      <c r="L544" s="64">
        <v>61.2</v>
      </c>
      <c r="M544" s="64">
        <v>15131435</v>
      </c>
      <c r="N544" s="64" t="s">
        <v>482</v>
      </c>
      <c r="O544" s="25">
        <f t="shared" si="18"/>
        <v>1.3725490196078383E-2</v>
      </c>
    </row>
    <row r="545" spans="1:15">
      <c r="A545" s="64">
        <v>479.54365724897747</v>
      </c>
      <c r="B545" s="64">
        <v>482.10927551522298</v>
      </c>
      <c r="C545" s="64">
        <v>479.40550857310268</v>
      </c>
      <c r="D545" s="64">
        <v>480.60937560572563</v>
      </c>
      <c r="E545" s="64">
        <v>3392239.1006110399</v>
      </c>
      <c r="F545" s="64" t="s">
        <v>483</v>
      </c>
      <c r="G545" s="25">
        <f t="shared" si="17"/>
        <v>-2.2174314752079205E-3</v>
      </c>
      <c r="I545" s="64">
        <v>56.38</v>
      </c>
      <c r="J545" s="64">
        <v>60.46</v>
      </c>
      <c r="K545" s="64">
        <v>56.29</v>
      </c>
      <c r="L545" s="64">
        <v>59.5</v>
      </c>
      <c r="M545" s="64">
        <v>3219432</v>
      </c>
      <c r="N545" s="64" t="s">
        <v>483</v>
      </c>
      <c r="O545" s="25">
        <f t="shared" si="18"/>
        <v>-5.2436974789915936E-2</v>
      </c>
    </row>
    <row r="546" spans="1:15">
      <c r="A546" s="64">
        <v>480.46135916728832</v>
      </c>
      <c r="B546" s="64">
        <v>480.78699533185028</v>
      </c>
      <c r="C546" s="64">
        <v>476.35143606001429</v>
      </c>
      <c r="D546" s="64">
        <v>476.94843569504445</v>
      </c>
      <c r="E546" s="64">
        <v>4458442.2984870141</v>
      </c>
      <c r="F546" s="64" t="s">
        <v>484</v>
      </c>
      <c r="G546" s="25">
        <f t="shared" si="17"/>
        <v>7.3654156494393774E-3</v>
      </c>
      <c r="I546" s="64">
        <v>59.63</v>
      </c>
      <c r="J546" s="64">
        <v>60.93</v>
      </c>
      <c r="K546" s="64">
        <v>56.25</v>
      </c>
      <c r="L546" s="64">
        <v>60.23</v>
      </c>
      <c r="M546" s="64">
        <v>4897634</v>
      </c>
      <c r="N546" s="64" t="s">
        <v>484</v>
      </c>
      <c r="O546" s="25">
        <f t="shared" si="18"/>
        <v>-9.9618130499750102E-3</v>
      </c>
    </row>
    <row r="547" spans="1:15">
      <c r="A547" s="64">
        <v>474.67885030567345</v>
      </c>
      <c r="B547" s="64">
        <v>475.10316409586022</v>
      </c>
      <c r="C547" s="64">
        <v>472.15270308967786</v>
      </c>
      <c r="D547" s="64">
        <v>472.646091217802</v>
      </c>
      <c r="E547" s="64">
        <v>3301380.6112297941</v>
      </c>
      <c r="F547" s="64" t="s">
        <v>485</v>
      </c>
      <c r="G547" s="25">
        <f t="shared" si="17"/>
        <v>4.3008058791598192E-3</v>
      </c>
      <c r="I547" s="64">
        <v>62.34</v>
      </c>
      <c r="J547" s="64">
        <v>64.5</v>
      </c>
      <c r="K547" s="64">
        <v>59.5</v>
      </c>
      <c r="L547" s="64">
        <v>62.57</v>
      </c>
      <c r="M547" s="64">
        <v>7674013</v>
      </c>
      <c r="N547" s="64" t="s">
        <v>485</v>
      </c>
      <c r="O547" s="25">
        <f t="shared" si="18"/>
        <v>-3.6758830110276142E-3</v>
      </c>
    </row>
    <row r="548" spans="1:15">
      <c r="A548" s="64">
        <v>472.43886820398978</v>
      </c>
      <c r="B548" s="64">
        <v>474.06704902679951</v>
      </c>
      <c r="C548" s="64">
        <v>471.41262089749165</v>
      </c>
      <c r="D548" s="64">
        <v>473.99797468886214</v>
      </c>
      <c r="E548" s="64">
        <v>3150098.0899340655</v>
      </c>
      <c r="F548" s="64" t="s">
        <v>486</v>
      </c>
      <c r="G548" s="25">
        <f t="shared" si="17"/>
        <v>-3.2892682419071173E-3</v>
      </c>
      <c r="I548" s="64">
        <v>58.19</v>
      </c>
      <c r="J548" s="64">
        <v>61.21</v>
      </c>
      <c r="K548" s="64">
        <v>55.59</v>
      </c>
      <c r="L548" s="64">
        <v>56.49</v>
      </c>
      <c r="M548" s="64">
        <v>8179370</v>
      </c>
      <c r="N548" s="64" t="s">
        <v>486</v>
      </c>
      <c r="O548" s="25">
        <f t="shared" si="18"/>
        <v>3.0093821915383234E-2</v>
      </c>
    </row>
    <row r="549" spans="1:15">
      <c r="A549" s="64">
        <v>472.40926491630239</v>
      </c>
      <c r="B549" s="64">
        <v>474.037445739112</v>
      </c>
      <c r="C549" s="64">
        <v>471.2744722216168</v>
      </c>
      <c r="D549" s="64">
        <v>473.34670235973823</v>
      </c>
      <c r="E549" s="64">
        <v>3392014.1255991319</v>
      </c>
      <c r="F549" s="64" t="s">
        <v>487</v>
      </c>
      <c r="G549" s="25">
        <f t="shared" si="17"/>
        <v>-1.9804457045174972E-3</v>
      </c>
      <c r="I549" s="64">
        <v>53.53</v>
      </c>
      <c r="J549" s="64">
        <v>54.75</v>
      </c>
      <c r="K549" s="64">
        <v>50.38</v>
      </c>
      <c r="L549" s="64">
        <v>50.64</v>
      </c>
      <c r="M549" s="64">
        <v>4450785</v>
      </c>
      <c r="N549" s="64" t="s">
        <v>487</v>
      </c>
      <c r="O549" s="25">
        <f t="shared" si="18"/>
        <v>5.7069510268562329E-2</v>
      </c>
    </row>
    <row r="550" spans="1:15">
      <c r="A550" s="64">
        <v>471.82706692511584</v>
      </c>
      <c r="B550" s="64">
        <v>471.82706692511584</v>
      </c>
      <c r="C550" s="64">
        <v>468.65951514255892</v>
      </c>
      <c r="D550" s="64">
        <v>469.30091970912025</v>
      </c>
      <c r="E550" s="64">
        <v>3532765.3841752745</v>
      </c>
      <c r="F550" s="64" t="s">
        <v>488</v>
      </c>
      <c r="G550" s="25">
        <f t="shared" si="17"/>
        <v>5.382787695283664E-3</v>
      </c>
      <c r="I550" s="64">
        <v>50.11</v>
      </c>
      <c r="J550" s="64">
        <v>51.25</v>
      </c>
      <c r="K550" s="64">
        <v>48.25</v>
      </c>
      <c r="L550" s="64">
        <v>51.24</v>
      </c>
      <c r="M550" s="64">
        <v>3909140</v>
      </c>
      <c r="N550" s="64" t="s">
        <v>488</v>
      </c>
      <c r="O550" s="25">
        <f t="shared" si="18"/>
        <v>-2.2053083528493445E-2</v>
      </c>
    </row>
    <row r="551" spans="1:15">
      <c r="A551" s="64">
        <v>469.13316774555813</v>
      </c>
      <c r="B551" s="64">
        <v>469.56734929830736</v>
      </c>
      <c r="C551" s="64">
        <v>467.2385573335614</v>
      </c>
      <c r="D551" s="64">
        <v>467.3273671966237</v>
      </c>
      <c r="E551" s="64">
        <v>3257960.4339315477</v>
      </c>
      <c r="F551" s="64" t="s">
        <v>489</v>
      </c>
      <c r="G551" s="25">
        <f t="shared" si="17"/>
        <v>3.8641018602589838E-3</v>
      </c>
      <c r="I551" s="64">
        <v>51.4</v>
      </c>
      <c r="J551" s="64">
        <v>55.16</v>
      </c>
      <c r="K551" s="64">
        <v>49.7</v>
      </c>
      <c r="L551" s="64">
        <v>55</v>
      </c>
      <c r="M551" s="64">
        <v>13509264</v>
      </c>
      <c r="N551" s="64" t="s">
        <v>489</v>
      </c>
      <c r="O551" s="25">
        <f t="shared" si="18"/>
        <v>-6.5454545454545432E-2</v>
      </c>
    </row>
    <row r="552" spans="1:15">
      <c r="A552" s="64">
        <v>469.11343222043308</v>
      </c>
      <c r="B552" s="64">
        <v>470.33703477818096</v>
      </c>
      <c r="C552" s="64">
        <v>468.43255660362178</v>
      </c>
      <c r="D552" s="64">
        <v>469.40946509730759</v>
      </c>
      <c r="E552" s="64">
        <v>3497552.7412078525</v>
      </c>
      <c r="F552" s="64" t="s">
        <v>490</v>
      </c>
      <c r="G552" s="25">
        <f t="shared" si="17"/>
        <v>-6.3064956905611869E-4</v>
      </c>
      <c r="I552" s="64">
        <v>49.4</v>
      </c>
      <c r="J552" s="64">
        <v>50.33</v>
      </c>
      <c r="K552" s="64">
        <v>47.4</v>
      </c>
      <c r="L552" s="64">
        <v>47.73</v>
      </c>
      <c r="M552" s="64">
        <v>6241675</v>
      </c>
      <c r="N552" s="64" t="s">
        <v>490</v>
      </c>
      <c r="O552" s="25">
        <f t="shared" si="18"/>
        <v>3.4988476848941907E-2</v>
      </c>
    </row>
    <row r="553" spans="1:15">
      <c r="A553" s="64">
        <v>468.4424243661843</v>
      </c>
      <c r="B553" s="64">
        <v>468.53123422924665</v>
      </c>
      <c r="C553" s="64">
        <v>465.58077322306428</v>
      </c>
      <c r="D553" s="64">
        <v>465.97548372556361</v>
      </c>
      <c r="E553" s="64">
        <v>4846632.6279304698</v>
      </c>
      <c r="F553" s="64" t="s">
        <v>491</v>
      </c>
      <c r="G553" s="25">
        <f t="shared" si="17"/>
        <v>5.2941425606709558E-3</v>
      </c>
      <c r="I553" s="64">
        <v>48.27</v>
      </c>
      <c r="J553" s="64">
        <v>49.869900000000001</v>
      </c>
      <c r="K553" s="64">
        <v>46.75</v>
      </c>
      <c r="L553" s="64">
        <v>46.99</v>
      </c>
      <c r="M553" s="64">
        <v>2116653</v>
      </c>
      <c r="N553" s="64" t="s">
        <v>491</v>
      </c>
      <c r="O553" s="25">
        <f t="shared" si="18"/>
        <v>2.7239838263460436E-2</v>
      </c>
    </row>
    <row r="554" spans="1:15">
      <c r="A554" s="64">
        <v>463.76510491156745</v>
      </c>
      <c r="B554" s="64">
        <v>464.77161669294065</v>
      </c>
      <c r="C554" s="64">
        <v>461.25879189832239</v>
      </c>
      <c r="D554" s="64">
        <v>463.54801413519277</v>
      </c>
      <c r="E554" s="64">
        <v>4648327.2889431035</v>
      </c>
      <c r="F554" s="64" t="s">
        <v>492</v>
      </c>
      <c r="G554" s="25">
        <f t="shared" si="17"/>
        <v>4.6832425068132899E-4</v>
      </c>
      <c r="I554" s="64">
        <v>46.64</v>
      </c>
      <c r="J554" s="64">
        <v>48.7</v>
      </c>
      <c r="K554" s="64">
        <v>46.24</v>
      </c>
      <c r="L554" s="64">
        <v>48.44</v>
      </c>
      <c r="M554" s="64">
        <v>1188304</v>
      </c>
      <c r="N554" s="64" t="s">
        <v>492</v>
      </c>
      <c r="O554" s="25">
        <f t="shared" si="18"/>
        <v>-3.7159372419487968E-2</v>
      </c>
    </row>
    <row r="555" spans="1:15">
      <c r="A555" s="64">
        <v>458.08127367557734</v>
      </c>
      <c r="B555" s="64">
        <v>458.80162034263856</v>
      </c>
      <c r="C555" s="64">
        <v>453.08818581896105</v>
      </c>
      <c r="D555" s="64">
        <v>457.23264609520379</v>
      </c>
      <c r="E555" s="64">
        <v>4025658.2734399545</v>
      </c>
      <c r="F555" s="64" t="s">
        <v>493</v>
      </c>
      <c r="G555" s="25">
        <f t="shared" si="17"/>
        <v>1.8560082872929318E-3</v>
      </c>
      <c r="I555" s="64">
        <v>47.7</v>
      </c>
      <c r="J555" s="64">
        <v>49.639000000000003</v>
      </c>
      <c r="K555" s="64">
        <v>45.72</v>
      </c>
      <c r="L555" s="64">
        <v>46.61</v>
      </c>
      <c r="M555" s="64">
        <v>2364999</v>
      </c>
      <c r="N555" s="64" t="s">
        <v>493</v>
      </c>
      <c r="O555" s="25">
        <f t="shared" si="18"/>
        <v>2.3385539583780313E-2</v>
      </c>
    </row>
    <row r="556" spans="1:15">
      <c r="A556" s="64">
        <v>453.84800353627219</v>
      </c>
      <c r="B556" s="64">
        <v>460.89358600588491</v>
      </c>
      <c r="C556" s="64">
        <v>453.36448317071051</v>
      </c>
      <c r="D556" s="64">
        <v>454.67689559152075</v>
      </c>
      <c r="E556" s="64">
        <v>6197328.889175579</v>
      </c>
      <c r="F556" s="64" t="s">
        <v>494</v>
      </c>
      <c r="G556" s="25">
        <f t="shared" si="17"/>
        <v>-1.8230353538641886E-3</v>
      </c>
      <c r="I556" s="64">
        <v>45.88</v>
      </c>
      <c r="J556" s="64">
        <v>47.7</v>
      </c>
      <c r="K556" s="64">
        <v>44.6</v>
      </c>
      <c r="L556" s="64">
        <v>44.87</v>
      </c>
      <c r="M556" s="64">
        <v>1598960</v>
      </c>
      <c r="N556" s="64" t="s">
        <v>494</v>
      </c>
      <c r="O556" s="25">
        <f t="shared" si="18"/>
        <v>2.2509471807443893E-2</v>
      </c>
    </row>
    <row r="557" spans="1:15">
      <c r="A557" s="64">
        <v>455.3281679206446</v>
      </c>
      <c r="B557" s="64">
        <v>462.14679185132024</v>
      </c>
      <c r="C557" s="64">
        <v>455.25909358270724</v>
      </c>
      <c r="D557" s="64">
        <v>461.23895769557186</v>
      </c>
      <c r="E557" s="64">
        <v>4423328.9688131372</v>
      </c>
      <c r="F557" s="64" t="s">
        <v>495</v>
      </c>
      <c r="G557" s="25">
        <f t="shared" si="17"/>
        <v>-1.2815027170424931E-2</v>
      </c>
      <c r="I557" s="64">
        <v>44.44</v>
      </c>
      <c r="J557" s="64">
        <v>46.755000000000003</v>
      </c>
      <c r="K557" s="64">
        <v>44.15</v>
      </c>
      <c r="L557" s="64">
        <v>45.47</v>
      </c>
      <c r="M557" s="64">
        <v>1752875</v>
      </c>
      <c r="N557" s="64" t="s">
        <v>495</v>
      </c>
      <c r="O557" s="25">
        <f t="shared" si="18"/>
        <v>-2.2652298218605704E-2</v>
      </c>
    </row>
    <row r="558" spans="1:15">
      <c r="A558" s="64">
        <v>462.64017997944438</v>
      </c>
      <c r="B558" s="64">
        <v>463.21251020806841</v>
      </c>
      <c r="C558" s="64">
        <v>460.04495842551137</v>
      </c>
      <c r="D558" s="64">
        <v>462.64017997944438</v>
      </c>
      <c r="E558" s="64">
        <v>3296801.0523162251</v>
      </c>
      <c r="F558" s="64" t="s">
        <v>496</v>
      </c>
      <c r="G558" s="25">
        <f t="shared" si="17"/>
        <v>0</v>
      </c>
      <c r="I558" s="64">
        <v>46.28</v>
      </c>
      <c r="J558" s="64">
        <v>48.88</v>
      </c>
      <c r="K558" s="64">
        <v>45.85</v>
      </c>
      <c r="L558" s="64">
        <v>46.05</v>
      </c>
      <c r="M558" s="64">
        <v>2683917</v>
      </c>
      <c r="N558" s="64" t="s">
        <v>496</v>
      </c>
      <c r="O558" s="25">
        <f t="shared" si="18"/>
        <v>4.9945711183496666E-3</v>
      </c>
    </row>
    <row r="559" spans="1:15">
      <c r="A559" s="64">
        <v>461.03173468175964</v>
      </c>
      <c r="B559" s="64">
        <v>462.43295696563223</v>
      </c>
      <c r="C559" s="64">
        <v>458.66347166676383</v>
      </c>
      <c r="D559" s="64">
        <v>459.17659532001289</v>
      </c>
      <c r="E559" s="64">
        <v>4972872.9982385458</v>
      </c>
      <c r="F559" s="64" t="s">
        <v>497</v>
      </c>
      <c r="G559" s="25">
        <f t="shared" si="17"/>
        <v>4.0401435540369235E-3</v>
      </c>
      <c r="I559" s="64">
        <v>45.43</v>
      </c>
      <c r="J559" s="64">
        <v>46.198999999999998</v>
      </c>
      <c r="K559" s="64">
        <v>42.65</v>
      </c>
      <c r="L559" s="64">
        <v>42.98</v>
      </c>
      <c r="M559" s="64">
        <v>2764203</v>
      </c>
      <c r="N559" s="64" t="s">
        <v>497</v>
      </c>
      <c r="O559" s="25">
        <f t="shared" si="18"/>
        <v>5.7003257328990253E-2</v>
      </c>
    </row>
    <row r="560" spans="1:15">
      <c r="A560" s="64">
        <v>456.46296061533013</v>
      </c>
      <c r="B560" s="64">
        <v>457.33132372082861</v>
      </c>
      <c r="C560" s="64">
        <v>451.21331093208926</v>
      </c>
      <c r="D560" s="64">
        <v>452.70334307902419</v>
      </c>
      <c r="E560" s="64">
        <v>4941574.1097575594</v>
      </c>
      <c r="F560" s="64" t="s">
        <v>498</v>
      </c>
      <c r="G560" s="25">
        <f t="shared" si="17"/>
        <v>8.3048150489350991E-3</v>
      </c>
      <c r="I560" s="64">
        <v>42.45</v>
      </c>
      <c r="J560" s="64">
        <v>42.64</v>
      </c>
      <c r="K560" s="64">
        <v>40.85</v>
      </c>
      <c r="L560" s="64">
        <v>41.64</v>
      </c>
      <c r="M560" s="64">
        <v>1485825</v>
      </c>
      <c r="N560" s="64" t="s">
        <v>498</v>
      </c>
      <c r="O560" s="25">
        <f t="shared" si="18"/>
        <v>1.9452449567723296E-2</v>
      </c>
    </row>
    <row r="561" spans="1:15">
      <c r="A561" s="64">
        <v>458.35757102732686</v>
      </c>
      <c r="B561" s="64">
        <v>460.14363605113624</v>
      </c>
      <c r="C561" s="64">
        <v>456.3248119394554</v>
      </c>
      <c r="D561" s="64">
        <v>459.4134216215125</v>
      </c>
      <c r="E561" s="64">
        <v>7790861.3541524773</v>
      </c>
      <c r="F561" s="64" t="s">
        <v>499</v>
      </c>
      <c r="G561" s="25">
        <f t="shared" si="17"/>
        <v>-2.298258049272861E-3</v>
      </c>
      <c r="I561" s="64">
        <v>43.15</v>
      </c>
      <c r="J561" s="64">
        <v>43.97</v>
      </c>
      <c r="K561" s="64">
        <v>42.45</v>
      </c>
      <c r="L561" s="64">
        <v>42.66</v>
      </c>
      <c r="M561" s="64">
        <v>1384024</v>
      </c>
      <c r="N561" s="64" t="s">
        <v>499</v>
      </c>
      <c r="O561" s="25">
        <f t="shared" si="18"/>
        <v>1.1486169714017835E-2</v>
      </c>
    </row>
    <row r="562" spans="1:15">
      <c r="A562" s="64">
        <v>458.69307495445122</v>
      </c>
      <c r="B562" s="64">
        <v>458.97924006876326</v>
      </c>
      <c r="C562" s="64">
        <v>454.57821796589593</v>
      </c>
      <c r="D562" s="64">
        <v>455.08147385658253</v>
      </c>
      <c r="E562" s="64">
        <v>4314453.2238611141</v>
      </c>
      <c r="F562" s="64" t="s">
        <v>500</v>
      </c>
      <c r="G562" s="25">
        <f t="shared" si="17"/>
        <v>7.9361637538488683E-3</v>
      </c>
      <c r="I562" s="64">
        <v>42.82</v>
      </c>
      <c r="J562" s="64">
        <v>44.059899999999999</v>
      </c>
      <c r="K562" s="64">
        <v>41.821599999999997</v>
      </c>
      <c r="L562" s="64">
        <v>42.07</v>
      </c>
      <c r="M562" s="64">
        <v>1956480</v>
      </c>
      <c r="N562" s="64" t="s">
        <v>500</v>
      </c>
      <c r="O562" s="25">
        <f t="shared" si="18"/>
        <v>1.7827430473021044E-2</v>
      </c>
    </row>
    <row r="563" spans="1:15">
      <c r="A563" s="64">
        <v>452.97964043077371</v>
      </c>
      <c r="B563" s="64">
        <v>455.62410211989345</v>
      </c>
      <c r="C563" s="64">
        <v>449.32856828265511</v>
      </c>
      <c r="D563" s="64">
        <v>451.4994760464013</v>
      </c>
      <c r="E563" s="64">
        <v>5896055.932801161</v>
      </c>
      <c r="F563" s="64" t="s">
        <v>501</v>
      </c>
      <c r="G563" s="25">
        <f t="shared" si="17"/>
        <v>3.2783302371326428E-3</v>
      </c>
      <c r="I563" s="64">
        <v>42.04</v>
      </c>
      <c r="J563" s="64">
        <v>42.57</v>
      </c>
      <c r="K563" s="64">
        <v>40.51</v>
      </c>
      <c r="L563" s="64">
        <v>40.880000000000003</v>
      </c>
      <c r="M563" s="64">
        <v>1486416</v>
      </c>
      <c r="N563" s="64" t="s">
        <v>501</v>
      </c>
      <c r="O563" s="25">
        <f t="shared" si="18"/>
        <v>2.837573385518577E-2</v>
      </c>
    </row>
    <row r="564" spans="1:15">
      <c r="A564" s="64">
        <v>449.08187421859304</v>
      </c>
      <c r="B564" s="64">
        <v>453.85787129883465</v>
      </c>
      <c r="C564" s="64">
        <v>447.89774271109502</v>
      </c>
      <c r="D564" s="64">
        <v>452.92043385539881</v>
      </c>
      <c r="E564" s="64">
        <v>9918615.2261221297</v>
      </c>
      <c r="F564" s="64" t="s">
        <v>502</v>
      </c>
      <c r="G564" s="25">
        <f t="shared" si="17"/>
        <v>-8.4751301771279763E-3</v>
      </c>
      <c r="I564" s="64">
        <v>40.880000000000003</v>
      </c>
      <c r="J564" s="64">
        <v>43.83</v>
      </c>
      <c r="K564" s="64">
        <v>40.17</v>
      </c>
      <c r="L564" s="64">
        <v>40.57</v>
      </c>
      <c r="M564" s="64">
        <v>2540622</v>
      </c>
      <c r="N564" s="64" t="s">
        <v>502</v>
      </c>
      <c r="O564" s="25">
        <f t="shared" si="18"/>
        <v>7.641114123736914E-3</v>
      </c>
    </row>
    <row r="565" spans="1:15">
      <c r="A565" s="64">
        <v>452.87109504258638</v>
      </c>
      <c r="B565" s="64">
        <v>457.17343951982895</v>
      </c>
      <c r="C565" s="64">
        <v>452.15074837552515</v>
      </c>
      <c r="D565" s="64">
        <v>455.25909358270724</v>
      </c>
      <c r="E565" s="64">
        <v>5712831.0134183131</v>
      </c>
      <c r="F565" s="64" t="s">
        <v>503</v>
      </c>
      <c r="G565" s="25">
        <f t="shared" si="17"/>
        <v>-5.245361539795379E-3</v>
      </c>
      <c r="I565" s="64">
        <v>41.72</v>
      </c>
      <c r="J565" s="64">
        <v>42.13</v>
      </c>
      <c r="K565" s="64">
        <v>37.35</v>
      </c>
      <c r="L565" s="64">
        <v>38.799999999999997</v>
      </c>
      <c r="M565" s="64">
        <v>2284138</v>
      </c>
      <c r="N565" s="64" t="s">
        <v>503</v>
      </c>
      <c r="O565" s="25">
        <f t="shared" si="18"/>
        <v>7.5257731958762841E-2</v>
      </c>
    </row>
    <row r="566" spans="1:15">
      <c r="A566" s="64">
        <v>453.90721011164709</v>
      </c>
      <c r="B566" s="64">
        <v>459.0877854569506</v>
      </c>
      <c r="C566" s="64">
        <v>452.66387202877428</v>
      </c>
      <c r="D566" s="64">
        <v>458.95950454363833</v>
      </c>
      <c r="E566" s="64">
        <v>7252129.2995110629</v>
      </c>
      <c r="F566" s="64" t="s">
        <v>504</v>
      </c>
      <c r="G566" s="25">
        <f t="shared" si="17"/>
        <v>-1.1008148610006319E-2</v>
      </c>
      <c r="I566" s="64">
        <v>39.17</v>
      </c>
      <c r="J566" s="64">
        <v>40.605400000000003</v>
      </c>
      <c r="K566" s="64">
        <v>38.700000000000003</v>
      </c>
      <c r="L566" s="64">
        <v>40.4</v>
      </c>
      <c r="M566" s="64">
        <v>2153817</v>
      </c>
      <c r="N566" s="64" t="s">
        <v>504</v>
      </c>
      <c r="O566" s="25">
        <f t="shared" si="18"/>
        <v>-3.0445544554455362E-2</v>
      </c>
    </row>
    <row r="567" spans="1:15">
      <c r="A567" s="64">
        <v>456.66031586657977</v>
      </c>
      <c r="B567" s="64">
        <v>459.3542150461376</v>
      </c>
      <c r="C567" s="64">
        <v>455.48605212164432</v>
      </c>
      <c r="D567" s="64">
        <v>457.91352171201515</v>
      </c>
      <c r="E567" s="64">
        <v>6852028.4686488919</v>
      </c>
      <c r="F567" s="64" t="s">
        <v>505</v>
      </c>
      <c r="G567" s="25">
        <f t="shared" si="17"/>
        <v>-2.736774054520108E-3</v>
      </c>
      <c r="I567" s="64">
        <v>41.14</v>
      </c>
      <c r="J567" s="64">
        <v>42.14</v>
      </c>
      <c r="K567" s="64">
        <v>39.32</v>
      </c>
      <c r="L567" s="64">
        <v>40.5</v>
      </c>
      <c r="M567" s="64">
        <v>1699046</v>
      </c>
      <c r="N567" s="64" t="s">
        <v>505</v>
      </c>
      <c r="O567" s="25">
        <f t="shared" si="18"/>
        <v>1.5802469135802522E-2</v>
      </c>
    </row>
    <row r="568" spans="1:15">
      <c r="A568" s="64">
        <v>457.47934015926592</v>
      </c>
      <c r="B568" s="64">
        <v>467.3273671966237</v>
      </c>
      <c r="C568" s="64">
        <v>456.72939020451719</v>
      </c>
      <c r="D568" s="64">
        <v>467.20895404587395</v>
      </c>
      <c r="E568" s="64">
        <v>9657755.6864138376</v>
      </c>
      <c r="F568" s="64" t="s">
        <v>506</v>
      </c>
      <c r="G568" s="25">
        <f t="shared" si="17"/>
        <v>-2.0824973071155495E-2</v>
      </c>
      <c r="I568" s="64">
        <v>40</v>
      </c>
      <c r="J568" s="64">
        <v>42.1</v>
      </c>
      <c r="K568" s="64">
        <v>39.68</v>
      </c>
      <c r="L568" s="64">
        <v>41.94</v>
      </c>
      <c r="M568" s="64">
        <v>3448536</v>
      </c>
      <c r="N568" s="64" t="s">
        <v>506</v>
      </c>
      <c r="O568" s="25">
        <f t="shared" si="18"/>
        <v>-4.6256556986170705E-2</v>
      </c>
    </row>
    <row r="569" spans="1:15">
      <c r="A569" s="64">
        <v>463.3605266465056</v>
      </c>
      <c r="B569" s="64">
        <v>467.78128427449792</v>
      </c>
      <c r="C569" s="64">
        <v>461.72247806113353</v>
      </c>
      <c r="D569" s="64">
        <v>466.51821066650012</v>
      </c>
      <c r="E569" s="64">
        <v>7052989.9315381097</v>
      </c>
      <c r="F569" s="64" t="s">
        <v>507</v>
      </c>
      <c r="G569" s="25">
        <f t="shared" si="17"/>
        <v>-6.7686189902066429E-3</v>
      </c>
      <c r="I569" s="64">
        <v>42.27</v>
      </c>
      <c r="J569" s="64">
        <v>43.86</v>
      </c>
      <c r="K569" s="64">
        <v>42.16</v>
      </c>
      <c r="L569" s="64">
        <v>43.47</v>
      </c>
      <c r="M569" s="64">
        <v>2021261</v>
      </c>
      <c r="N569" s="64" t="s">
        <v>507</v>
      </c>
      <c r="O569" s="25">
        <f t="shared" si="18"/>
        <v>-2.7605244996549261E-2</v>
      </c>
    </row>
    <row r="570" spans="1:15">
      <c r="A570" s="64">
        <v>469.764704549557</v>
      </c>
      <c r="B570" s="64">
        <v>471.11658802061714</v>
      </c>
      <c r="C570" s="64">
        <v>464.44598052837875</v>
      </c>
      <c r="D570" s="64">
        <v>467.71220993656055</v>
      </c>
      <c r="E570" s="64">
        <v>5178378.5510079227</v>
      </c>
      <c r="F570" s="64" t="s">
        <v>508</v>
      </c>
      <c r="G570" s="25">
        <f t="shared" si="17"/>
        <v>4.3883708173340086E-3</v>
      </c>
      <c r="I570" s="64">
        <v>44.53</v>
      </c>
      <c r="J570" s="64">
        <v>46.35</v>
      </c>
      <c r="K570" s="64">
        <v>42.01</v>
      </c>
      <c r="L570" s="64">
        <v>42.05</v>
      </c>
      <c r="M570" s="64">
        <v>4263001</v>
      </c>
      <c r="N570" s="64" t="s">
        <v>508</v>
      </c>
      <c r="O570" s="25">
        <f t="shared" si="18"/>
        <v>5.8977407847800256E-2</v>
      </c>
    </row>
    <row r="571" spans="1:15">
      <c r="A571" s="64">
        <v>466.39979751575032</v>
      </c>
      <c r="B571" s="64">
        <v>468.11678820162234</v>
      </c>
      <c r="C571" s="64">
        <v>464.44598052837875</v>
      </c>
      <c r="D571" s="64">
        <v>465.66958308612664</v>
      </c>
      <c r="E571" s="64">
        <v>7026302.0174002824</v>
      </c>
      <c r="F571" s="64" t="s">
        <v>509</v>
      </c>
      <c r="G571" s="25">
        <f t="shared" si="17"/>
        <v>1.5680956114512146E-3</v>
      </c>
      <c r="I571" s="64">
        <v>42.09</v>
      </c>
      <c r="J571" s="64">
        <v>44.597499999999997</v>
      </c>
      <c r="K571" s="64">
        <v>41.72</v>
      </c>
      <c r="L571" s="64">
        <v>44</v>
      </c>
      <c r="M571" s="64">
        <v>4350147</v>
      </c>
      <c r="N571" s="64" t="s">
        <v>509</v>
      </c>
      <c r="O571" s="25">
        <f t="shared" si="18"/>
        <v>-4.3409090909090842E-2</v>
      </c>
    </row>
    <row r="572" spans="1:15">
      <c r="A572" s="64">
        <v>470.95870381961737</v>
      </c>
      <c r="B572" s="64">
        <v>472.27111624042766</v>
      </c>
      <c r="C572" s="64">
        <v>466.48860737881267</v>
      </c>
      <c r="D572" s="64">
        <v>472.05402546405298</v>
      </c>
      <c r="E572" s="64">
        <v>5324602.174738585</v>
      </c>
      <c r="F572" s="64" t="s">
        <v>510</v>
      </c>
      <c r="G572" s="25">
        <f t="shared" si="17"/>
        <v>-2.3203311175217234E-3</v>
      </c>
      <c r="I572" s="64">
        <v>45</v>
      </c>
      <c r="J572" s="64">
        <v>47.49</v>
      </c>
      <c r="K572" s="64">
        <v>44.9</v>
      </c>
      <c r="L572" s="64">
        <v>46.4</v>
      </c>
      <c r="M572" s="64">
        <v>2277342</v>
      </c>
      <c r="N572" s="64" t="s">
        <v>510</v>
      </c>
      <c r="O572" s="25">
        <f t="shared" si="18"/>
        <v>-3.0172413793103425E-2</v>
      </c>
    </row>
    <row r="573" spans="1:15">
      <c r="A573" s="64">
        <v>470.37650582843094</v>
      </c>
      <c r="B573" s="64">
        <v>471.74812482461601</v>
      </c>
      <c r="C573" s="64">
        <v>469.67589468649464</v>
      </c>
      <c r="D573" s="64">
        <v>470.84029066886757</v>
      </c>
      <c r="E573" s="64">
        <v>4800255.3466468742</v>
      </c>
      <c r="F573" s="64" t="s">
        <v>511</v>
      </c>
      <c r="G573" s="25">
        <f t="shared" si="17"/>
        <v>-9.8501519438320972E-4</v>
      </c>
      <c r="I573" s="64">
        <v>46.15</v>
      </c>
      <c r="J573" s="64">
        <v>49.179900000000004</v>
      </c>
      <c r="K573" s="64">
        <v>45.04</v>
      </c>
      <c r="L573" s="64">
        <v>47.86</v>
      </c>
      <c r="M573" s="64">
        <v>2661470</v>
      </c>
      <c r="N573" s="64" t="s">
        <v>511</v>
      </c>
      <c r="O573" s="25">
        <f t="shared" si="18"/>
        <v>-3.572921019640618E-2</v>
      </c>
    </row>
    <row r="574" spans="1:15">
      <c r="A574" s="64">
        <v>470.18901833974377</v>
      </c>
      <c r="B574" s="64">
        <v>472.00468665124055</v>
      </c>
      <c r="C574" s="64">
        <v>466.17283897681324</v>
      </c>
      <c r="D574" s="64">
        <v>466.59715276700001</v>
      </c>
      <c r="E574" s="64">
        <v>5663046.6781255519</v>
      </c>
      <c r="F574" s="64" t="s">
        <v>512</v>
      </c>
      <c r="G574" s="25">
        <f t="shared" si="17"/>
        <v>7.6980014803849084E-3</v>
      </c>
      <c r="I574" s="64">
        <v>47.56</v>
      </c>
      <c r="J574" s="64">
        <v>48.29</v>
      </c>
      <c r="K574" s="64">
        <v>44.68</v>
      </c>
      <c r="L574" s="64">
        <v>45.68</v>
      </c>
      <c r="M574" s="64">
        <v>2930772</v>
      </c>
      <c r="N574" s="64" t="s">
        <v>512</v>
      </c>
      <c r="O574" s="25">
        <f t="shared" si="18"/>
        <v>4.1155866900175253E-2</v>
      </c>
    </row>
    <row r="575" spans="1:15">
      <c r="A575" s="64">
        <v>465.24526929593986</v>
      </c>
      <c r="B575" s="64">
        <v>475.11303185842269</v>
      </c>
      <c r="C575" s="64">
        <v>465.03804628212771</v>
      </c>
      <c r="D575" s="64">
        <v>474.83673450667311</v>
      </c>
      <c r="E575" s="64">
        <v>6963270.5048297672</v>
      </c>
      <c r="F575" s="64" t="s">
        <v>513</v>
      </c>
      <c r="G575" s="25">
        <f t="shared" si="17"/>
        <v>-2.0199501246882634E-2</v>
      </c>
      <c r="I575" s="64">
        <v>45.78</v>
      </c>
      <c r="J575" s="64">
        <v>48.43</v>
      </c>
      <c r="K575" s="64">
        <v>45.1</v>
      </c>
      <c r="L575" s="64">
        <v>46.7</v>
      </c>
      <c r="M575" s="64">
        <v>4618377</v>
      </c>
      <c r="N575" s="64" t="s">
        <v>513</v>
      </c>
      <c r="O575" s="25">
        <f t="shared" si="18"/>
        <v>-1.970021413276235E-2</v>
      </c>
    </row>
    <row r="576" spans="1:15">
      <c r="A576" s="64">
        <v>471.04751368267978</v>
      </c>
      <c r="B576" s="64">
        <v>472.47044504418977</v>
      </c>
      <c r="C576" s="64">
        <v>469.49827496036994</v>
      </c>
      <c r="D576" s="64">
        <v>469.54761377318232</v>
      </c>
      <c r="E576" s="64">
        <v>6308230.4226357285</v>
      </c>
      <c r="F576" s="64" t="s">
        <v>514</v>
      </c>
      <c r="G576" s="25">
        <f t="shared" si="17"/>
        <v>3.194351042367316E-3</v>
      </c>
      <c r="I576" s="64">
        <v>46.99</v>
      </c>
      <c r="J576" s="64">
        <v>51.239899999999999</v>
      </c>
      <c r="K576" s="64">
        <v>46.55</v>
      </c>
      <c r="L576" s="64">
        <v>49.7</v>
      </c>
      <c r="M576" s="64">
        <v>4822866</v>
      </c>
      <c r="N576" s="64" t="s">
        <v>514</v>
      </c>
      <c r="O576" s="25">
        <f t="shared" si="18"/>
        <v>-5.4527162977867194E-2</v>
      </c>
    </row>
    <row r="577" spans="1:15">
      <c r="A577" s="64">
        <v>470.62319989249301</v>
      </c>
      <c r="B577" s="64">
        <v>470.68240646786791</v>
      </c>
      <c r="C577" s="64">
        <v>468.43255660362178</v>
      </c>
      <c r="D577" s="64">
        <v>470.03113413874399</v>
      </c>
      <c r="E577" s="64">
        <v>4882385.4136066614</v>
      </c>
      <c r="F577" s="64" t="s">
        <v>515</v>
      </c>
      <c r="G577" s="25">
        <f t="shared" si="17"/>
        <v>1.259630928138078E-3</v>
      </c>
      <c r="I577" s="64">
        <v>50.45</v>
      </c>
      <c r="J577" s="64">
        <v>51.35</v>
      </c>
      <c r="K577" s="64">
        <v>44</v>
      </c>
      <c r="L577" s="64">
        <v>45.055</v>
      </c>
      <c r="M577" s="64">
        <v>9442857</v>
      </c>
      <c r="N577" s="64" t="s">
        <v>515</v>
      </c>
      <c r="O577" s="25">
        <f t="shared" si="18"/>
        <v>0.11974253689934522</v>
      </c>
    </row>
    <row r="578" spans="1:15">
      <c r="A578" s="64">
        <v>473.72167733711257</v>
      </c>
      <c r="B578" s="64">
        <v>475.58668446142184</v>
      </c>
      <c r="C578" s="64">
        <v>472.49807477936469</v>
      </c>
      <c r="D578" s="64">
        <v>475.07356080817272</v>
      </c>
      <c r="E578" s="64">
        <v>5810800.5372975701</v>
      </c>
      <c r="F578" s="64" t="s">
        <v>516</v>
      </c>
      <c r="G578" s="25">
        <f t="shared" ref="G578:G583" si="19">A578/D578-1</f>
        <v>-2.8456297773347128E-3</v>
      </c>
      <c r="I578" s="64">
        <v>45.97</v>
      </c>
      <c r="J578" s="64">
        <v>49.28</v>
      </c>
      <c r="K578" s="64">
        <v>44.395000000000003</v>
      </c>
      <c r="L578" s="64">
        <v>48.95</v>
      </c>
      <c r="M578" s="64">
        <v>12987945</v>
      </c>
      <c r="N578" s="64" t="s">
        <v>516</v>
      </c>
      <c r="O578" s="25">
        <f t="shared" ref="O578:O583" si="20">I578/L578-1</f>
        <v>-6.087844739530146E-2</v>
      </c>
    </row>
    <row r="579" spans="1:15">
      <c r="A579" s="64">
        <v>474.34334637854897</v>
      </c>
      <c r="B579" s="64">
        <v>475.78384235742027</v>
      </c>
      <c r="C579" s="64">
        <v>474.14934616657058</v>
      </c>
      <c r="D579" s="64">
        <v>474.51109834211121</v>
      </c>
      <c r="E579" s="64">
        <v>4119493.1214246862</v>
      </c>
      <c r="F579" s="64" t="s">
        <v>517</v>
      </c>
      <c r="G579" s="25">
        <f t="shared" si="19"/>
        <v>-3.5352590097126324E-4</v>
      </c>
      <c r="I579" s="64">
        <v>49.32</v>
      </c>
      <c r="J579" s="64">
        <v>55.3</v>
      </c>
      <c r="K579" s="64">
        <v>49.1</v>
      </c>
      <c r="L579" s="64">
        <v>54.52</v>
      </c>
      <c r="M579" s="64">
        <v>12694482</v>
      </c>
      <c r="N579" s="64" t="s">
        <v>517</v>
      </c>
      <c r="O579" s="25">
        <f t="shared" si="20"/>
        <v>-9.5377842993396911E-2</v>
      </c>
    </row>
    <row r="580" spans="1:15">
      <c r="A580" s="64">
        <v>474.40255295392387</v>
      </c>
      <c r="B580" s="64">
        <v>474.51109834211121</v>
      </c>
      <c r="C580" s="64">
        <v>471.13632354574207</v>
      </c>
      <c r="D580" s="64">
        <v>473.16908263361353</v>
      </c>
      <c r="E580" s="64">
        <v>5017782.8749399669</v>
      </c>
      <c r="F580" s="64" t="s">
        <v>518</v>
      </c>
      <c r="G580" s="25">
        <f t="shared" si="19"/>
        <v>2.6068278033826164E-3</v>
      </c>
      <c r="I580" s="64">
        <v>57.75</v>
      </c>
      <c r="J580" s="64">
        <v>63.76</v>
      </c>
      <c r="K580" s="64">
        <v>55.62</v>
      </c>
      <c r="L580" s="64">
        <v>63.76</v>
      </c>
      <c r="M580" s="64">
        <v>18758308</v>
      </c>
      <c r="N580" s="64" t="s">
        <v>518</v>
      </c>
      <c r="O580" s="25">
        <f t="shared" si="20"/>
        <v>-9.4259723964868258E-2</v>
      </c>
    </row>
    <row r="581" spans="1:15">
      <c r="A581" s="64">
        <v>470.29756372793105</v>
      </c>
      <c r="B581" s="64">
        <v>473.0309339577388</v>
      </c>
      <c r="C581" s="64">
        <v>470.12981176436887</v>
      </c>
      <c r="D581" s="64">
        <v>472.72503331830183</v>
      </c>
      <c r="E581" s="64">
        <v>8181694.6332853744</v>
      </c>
      <c r="F581" s="64" t="s">
        <v>519</v>
      </c>
      <c r="G581" s="25">
        <f t="shared" si="19"/>
        <v>-5.1350561516302351E-3</v>
      </c>
      <c r="I581" s="64">
        <v>65.11</v>
      </c>
      <c r="J581" s="64">
        <v>74.900000000000006</v>
      </c>
      <c r="K581" s="64">
        <v>63.21</v>
      </c>
      <c r="L581" s="64">
        <v>67.709999999999994</v>
      </c>
      <c r="M581" s="64">
        <v>35330978</v>
      </c>
      <c r="N581" s="64" t="s">
        <v>519</v>
      </c>
      <c r="O581" s="25">
        <f t="shared" si="20"/>
        <v>-3.8399054792497389E-2</v>
      </c>
    </row>
    <row r="582" spans="1:15">
      <c r="A582" s="64">
        <v>471.61984391130375</v>
      </c>
      <c r="B582" s="64">
        <v>472.45860372911483</v>
      </c>
      <c r="C582" s="64">
        <v>471.23500117136695</v>
      </c>
      <c r="D582" s="64">
        <v>471.41262089749165</v>
      </c>
      <c r="E582" s="64">
        <v>6162771.9166257447</v>
      </c>
      <c r="F582" s="64" t="s">
        <v>520</v>
      </c>
      <c r="G582" s="25">
        <f t="shared" si="19"/>
        <v>4.3957884160494842E-4</v>
      </c>
      <c r="I582" s="64">
        <v>59.8</v>
      </c>
      <c r="J582" s="64">
        <v>61.939900000000002</v>
      </c>
      <c r="K582" s="64">
        <v>46.08</v>
      </c>
      <c r="L582" s="64">
        <v>47.09</v>
      </c>
      <c r="M582" s="64">
        <v>24398838</v>
      </c>
      <c r="N582" s="64" t="s">
        <v>520</v>
      </c>
      <c r="O582" s="25">
        <f t="shared" si="20"/>
        <v>0.26990868549585878</v>
      </c>
    </row>
    <row r="583" spans="1:15">
      <c r="A583" s="64">
        <v>472.84344646905163</v>
      </c>
      <c r="B583" s="64">
        <v>473.96837140117464</v>
      </c>
      <c r="C583" s="64">
        <v>472.48820701680222</v>
      </c>
      <c r="D583" s="64">
        <v>473.52432208586293</v>
      </c>
      <c r="E583" s="64">
        <v>5960320.7543333527</v>
      </c>
      <c r="F583" s="64" t="s">
        <v>521</v>
      </c>
      <c r="G583" s="25">
        <f t="shared" si="19"/>
        <v>-1.4378894283868515E-3</v>
      </c>
      <c r="I583" s="64">
        <v>46</v>
      </c>
      <c r="J583" s="64">
        <v>51</v>
      </c>
      <c r="K583" s="64">
        <v>45.34</v>
      </c>
      <c r="L583" s="64">
        <v>48.88</v>
      </c>
      <c r="M583" s="64">
        <v>15983139</v>
      </c>
      <c r="N583" s="64" t="s">
        <v>521</v>
      </c>
      <c r="O583" s="25">
        <f t="shared" si="20"/>
        <v>-5.8919803600654741E-2</v>
      </c>
    </row>
    <row r="584" spans="1:15">
      <c r="A584" s="64">
        <v>473.46225385934514</v>
      </c>
      <c r="B584" s="64">
        <v>475.31636489814201</v>
      </c>
      <c r="C584" s="64">
        <v>473.32454799969969</v>
      </c>
      <c r="D584" s="64">
        <v>474.71144272898545</v>
      </c>
      <c r="E584" s="64">
        <v>5128722.9303001203</v>
      </c>
      <c r="F584" s="64" t="s">
        <v>522</v>
      </c>
      <c r="G584" s="25">
        <f>A584/D584-1</f>
        <v>-2.6314698934979397E-3</v>
      </c>
      <c r="I584" s="64">
        <v>50.44</v>
      </c>
      <c r="J584" s="64">
        <v>57.8</v>
      </c>
      <c r="K584" s="64">
        <v>45.05</v>
      </c>
      <c r="L584" s="64">
        <v>47</v>
      </c>
      <c r="M584" s="64">
        <v>48705533</v>
      </c>
      <c r="N584" s="64" t="s">
        <v>522</v>
      </c>
      <c r="O584" s="25">
        <f>I584/L584-1</f>
        <v>7.3191489361702056E-2</v>
      </c>
    </row>
    <row r="585" spans="1:15">
      <c r="G585" s="25"/>
      <c r="O585" s="25"/>
    </row>
    <row r="586" spans="1:15">
      <c r="G586" s="25"/>
      <c r="O586" s="25"/>
    </row>
    <row r="587" spans="1:15">
      <c r="G587" s="25"/>
      <c r="O587" s="25"/>
    </row>
    <row r="588" spans="1:15">
      <c r="G588" s="25"/>
      <c r="O588" s="25"/>
    </row>
    <row r="589" spans="1:15">
      <c r="G589" s="25"/>
      <c r="O589" s="25"/>
    </row>
    <row r="590" spans="1:15">
      <c r="G590" s="25"/>
      <c r="O590" s="25"/>
    </row>
    <row r="591" spans="1:15">
      <c r="G591" s="25"/>
      <c r="O591" s="25"/>
    </row>
    <row r="592" spans="1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  <row r="1558" spans="7:15">
      <c r="G1558" s="25"/>
      <c r="O1558" s="25"/>
    </row>
    <row r="1559" spans="7:15">
      <c r="G1559" s="25"/>
      <c r="O1559" s="25"/>
    </row>
    <row r="1560" spans="7:15">
      <c r="G1560" s="25"/>
      <c r="O1560" s="25"/>
    </row>
    <row r="1561" spans="7:15">
      <c r="G1561" s="25"/>
      <c r="O1561" s="25"/>
    </row>
    <row r="1562" spans="7:15">
      <c r="G1562" s="25"/>
      <c r="O1562" s="25"/>
    </row>
    <row r="1563" spans="7:15">
      <c r="G1563" s="25"/>
      <c r="O1563" s="25"/>
    </row>
    <row r="1564" spans="7:15">
      <c r="G1564" s="25"/>
      <c r="O1564" s="25"/>
    </row>
  </sheetData>
  <sortState xmlns:xlrd2="http://schemas.microsoft.com/office/spreadsheetml/2017/richdata2" ref="Q254:Q362">
    <sortCondition ref="Q25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2026-01-10T12:13:10Z</dcterms:modified>
</cp:coreProperties>
</file>