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F433FBD7-3334-41B3-B2C6-FDE27FBF136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83" i="2" l="1"/>
  <c r="CF42" i="2"/>
  <c r="CE42" i="2"/>
  <c r="CD42" i="2"/>
  <c r="CF41" i="2"/>
  <c r="CE41" i="2"/>
  <c r="CD41" i="2"/>
  <c r="CF40" i="2"/>
  <c r="CE40" i="2"/>
  <c r="CD40" i="2"/>
  <c r="CF39" i="2"/>
  <c r="CE39" i="2"/>
  <c r="CD39" i="2"/>
  <c r="CF38" i="2"/>
  <c r="CE38" i="2"/>
  <c r="CD38" i="2"/>
  <c r="CG42" i="2"/>
  <c r="CG41" i="2"/>
  <c r="CG40" i="2"/>
  <c r="CG39" i="2"/>
  <c r="CG38" i="2"/>
  <c r="CG47" i="2"/>
  <c r="CF47" i="2"/>
  <c r="CE47" i="2"/>
  <c r="CD47" i="2"/>
  <c r="CC47" i="2"/>
  <c r="CG46" i="2"/>
  <c r="CF46" i="2"/>
  <c r="CE46" i="2"/>
  <c r="CD46" i="2"/>
  <c r="CC46" i="2"/>
  <c r="CG45" i="2"/>
  <c r="CF45" i="2"/>
  <c r="CE45" i="2"/>
  <c r="CD45" i="2"/>
  <c r="CC45" i="2"/>
  <c r="CG44" i="2"/>
  <c r="CF44" i="2"/>
  <c r="CE44" i="2"/>
  <c r="CD44" i="2"/>
  <c r="CC44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CG111" i="2"/>
  <c r="CF111" i="2"/>
  <c r="CE111" i="2"/>
  <c r="CD111" i="2"/>
  <c r="CC111" i="2"/>
  <c r="CB111" i="2"/>
  <c r="CA111" i="2"/>
  <c r="BZ111" i="2"/>
  <c r="BY111" i="2"/>
  <c r="BX111" i="2"/>
  <c r="BW111" i="2"/>
  <c r="BV111" i="2"/>
  <c r="BU111" i="2"/>
  <c r="BT111" i="2"/>
  <c r="BS111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/>
  <c r="BT107" i="2"/>
  <c r="BS107" i="2"/>
  <c r="CG107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CG101" i="2"/>
  <c r="CF101" i="2"/>
  <c r="CE101" i="2"/>
  <c r="CG100" i="2"/>
  <c r="CF100" i="2"/>
  <c r="CE100" i="2"/>
  <c r="CG99" i="2" a="1"/>
  <c r="CG99" i="2" s="1"/>
  <c r="CF99" i="2" a="1"/>
  <c r="CF99" i="2" s="1"/>
  <c r="CE99" i="2" a="1"/>
  <c r="CE99" i="2" s="1"/>
  <c r="CG98" i="2"/>
  <c r="CF98" i="2"/>
  <c r="CE98" i="2"/>
  <c r="CG97" i="2"/>
  <c r="CF97" i="2"/>
  <c r="CE97" i="2"/>
  <c r="CG96" i="2"/>
  <c r="CF96" i="2"/>
  <c r="CE96" i="2"/>
  <c r="CG95" i="2"/>
  <c r="CF95" i="2"/>
  <c r="CE95" i="2"/>
  <c r="CG94" i="2"/>
  <c r="CF94" i="2"/>
  <c r="CE94" i="2"/>
  <c r="CG92" i="2"/>
  <c r="CF92" i="2"/>
  <c r="CE92" i="2"/>
  <c r="CG91" i="2"/>
  <c r="CF91" i="2"/>
  <c r="CE91" i="2"/>
  <c r="CG90" i="2"/>
  <c r="CF90" i="2"/>
  <c r="CE90" i="2"/>
  <c r="CG89" i="2"/>
  <c r="CF89" i="2"/>
  <c r="CE89" i="2"/>
  <c r="CG88" i="2"/>
  <c r="CF88" i="2"/>
  <c r="CE88" i="2"/>
  <c r="CG87" i="2"/>
  <c r="CF87" i="2"/>
  <c r="CE87" i="2"/>
  <c r="CG86" i="2"/>
  <c r="CF86" i="2"/>
  <c r="CE86" i="2"/>
  <c r="CG85" i="2"/>
  <c r="CF85" i="2"/>
  <c r="CE85" i="2"/>
  <c r="CG84" i="2"/>
  <c r="CF84" i="2"/>
  <c r="CE84" i="2"/>
  <c r="CG82" i="2"/>
  <c r="CF82" i="2"/>
  <c r="CE82" i="2"/>
  <c r="CG81" i="2"/>
  <c r="CF81" i="2"/>
  <c r="CE81" i="2"/>
  <c r="CG80" i="2"/>
  <c r="CF80" i="2"/>
  <c r="CE80" i="2"/>
  <c r="CG79" i="2"/>
  <c r="CF79" i="2"/>
  <c r="CE79" i="2"/>
  <c r="CG78" i="2"/>
  <c r="CF78" i="2"/>
  <c r="CE78" i="2"/>
  <c r="CG77" i="2"/>
  <c r="CF77" i="2"/>
  <c r="CE77" i="2"/>
  <c r="CG76" i="2"/>
  <c r="CF76" i="2"/>
  <c r="CE76" i="2"/>
  <c r="CG75" i="2"/>
  <c r="CF75" i="2"/>
  <c r="CE75" i="2"/>
  <c r="CG74" i="2"/>
  <c r="CF74" i="2"/>
  <c r="CE74" i="2"/>
  <c r="CG73" i="2"/>
  <c r="CF73" i="2"/>
  <c r="CE73" i="2"/>
  <c r="CG72" i="2"/>
  <c r="CF72" i="2"/>
  <c r="CE72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CG49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I99" i="2" a="1"/>
  <c r="BI99" i="2" s="1"/>
  <c r="BH99" i="2" a="1"/>
  <c r="BH99" i="2" s="1"/>
  <c r="BG99" i="2" a="1"/>
  <c r="BG99" i="2" s="1"/>
  <c r="BF99" i="2" a="1"/>
  <c r="BF99" i="2" s="1"/>
  <c r="BE99" i="2" a="1"/>
  <c r="BE99" i="2" s="1"/>
  <c r="BD99" i="2" a="1"/>
  <c r="BD99" i="2" s="1"/>
  <c r="BC99" i="2" a="1"/>
  <c r="BC99" i="2" s="1"/>
  <c r="BB99" i="2" a="1"/>
  <c r="BB99" i="2" s="1"/>
  <c r="BI96" i="2"/>
  <c r="BH96" i="2"/>
  <c r="BG96" i="2"/>
  <c r="BF96" i="2"/>
  <c r="BE96" i="2"/>
  <c r="BD96" i="2"/>
  <c r="BC96" i="2"/>
  <c r="BB96" i="2"/>
  <c r="BI95" i="2"/>
  <c r="BH95" i="2"/>
  <c r="BG95" i="2"/>
  <c r="BF95" i="2"/>
  <c r="BE95" i="2"/>
  <c r="BD95" i="2"/>
  <c r="BC95" i="2"/>
  <c r="BB95" i="2"/>
  <c r="BI94" i="2"/>
  <c r="BH94" i="2"/>
  <c r="BG94" i="2"/>
  <c r="BF94" i="2"/>
  <c r="BE94" i="2"/>
  <c r="BD94" i="2"/>
  <c r="BC94" i="2"/>
  <c r="BB94" i="2"/>
  <c r="BK99" i="2" a="1"/>
  <c r="BK99" i="2" s="1"/>
  <c r="BK96" i="2"/>
  <c r="BK95" i="2"/>
  <c r="BK94" i="2"/>
  <c r="BJ99" i="2" a="1"/>
  <c r="BJ99" i="2" s="1"/>
  <c r="BJ96" i="2"/>
  <c r="BJ95" i="2"/>
  <c r="BJ94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K107" i="2"/>
  <c r="R62" i="2"/>
  <c r="J62" i="2"/>
  <c r="C3" i="2" a="1"/>
  <c r="C3" i="2" s="1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I90" i="2"/>
  <c r="BI92" i="2" s="1"/>
  <c r="BH90" i="2"/>
  <c r="BH92" i="2" s="1"/>
  <c r="BG90" i="2"/>
  <c r="BG92" i="2" s="1"/>
  <c r="BF90" i="2"/>
  <c r="BF92" i="2" s="1"/>
  <c r="BE90" i="2"/>
  <c r="BE92" i="2" s="1"/>
  <c r="BD90" i="2"/>
  <c r="BD92" i="2" s="1"/>
  <c r="BC90" i="2"/>
  <c r="BC92" i="2" s="1"/>
  <c r="BB90" i="2"/>
  <c r="BB92" i="2" s="1"/>
  <c r="BI82" i="2"/>
  <c r="BH82" i="2"/>
  <c r="BG82" i="2"/>
  <c r="BF82" i="2"/>
  <c r="BE82" i="2"/>
  <c r="BD82" i="2"/>
  <c r="BC82" i="2"/>
  <c r="BB82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51" i="2"/>
  <c r="AL64" i="2" s="1"/>
  <c r="AK51" i="2"/>
  <c r="AK64" i="2" s="1"/>
  <c r="AJ51" i="2"/>
  <c r="AJ64" i="2" s="1"/>
  <c r="AI51" i="2"/>
  <c r="AI64" i="2" s="1"/>
  <c r="AH51" i="2"/>
  <c r="AH64" i="2" s="1"/>
  <c r="AG51" i="2"/>
  <c r="AG64" i="2" s="1"/>
  <c r="AF51" i="2"/>
  <c r="AF54" i="2" s="1"/>
  <c r="AF58" i="2" s="1"/>
  <c r="AF60" i="2" s="1"/>
  <c r="AF62" i="2" s="1"/>
  <c r="AE51" i="2"/>
  <c r="AE64" i="2" s="1"/>
  <c r="AD51" i="2"/>
  <c r="AD64" i="2" s="1"/>
  <c r="AC51" i="2"/>
  <c r="AB51" i="2"/>
  <c r="AB64" i="2" s="1"/>
  <c r="AA51" i="2"/>
  <c r="AA54" i="2" s="1"/>
  <c r="AA58" i="2" s="1"/>
  <c r="AA60" i="2" s="1"/>
  <c r="AA62" i="2" s="1"/>
  <c r="Z51" i="2"/>
  <c r="Z64" i="2" s="1"/>
  <c r="Y51" i="2"/>
  <c r="Y54" i="2" s="1"/>
  <c r="X51" i="2"/>
  <c r="X54" i="2" s="1"/>
  <c r="X58" i="2" s="1"/>
  <c r="X60" i="2" s="1"/>
  <c r="X62" i="2" s="1"/>
  <c r="W51" i="2"/>
  <c r="W64" i="2" s="1"/>
  <c r="V51" i="2"/>
  <c r="V54" i="2" s="1"/>
  <c r="U51" i="2"/>
  <c r="T51" i="2"/>
  <c r="T64" i="2" s="1"/>
  <c r="S51" i="2"/>
  <c r="S54" i="2" s="1"/>
  <c r="S58" i="2" s="1"/>
  <c r="S60" i="2" s="1"/>
  <c r="S62" i="2" s="1"/>
  <c r="R51" i="2"/>
  <c r="R54" i="2" s="1"/>
  <c r="R58" i="2" s="1"/>
  <c r="R60" i="2" s="1"/>
  <c r="Q51" i="2"/>
  <c r="Q64" i="2" s="1"/>
  <c r="P51" i="2"/>
  <c r="P54" i="2" s="1"/>
  <c r="P58" i="2" s="1"/>
  <c r="P60" i="2" s="1"/>
  <c r="P62" i="2" s="1"/>
  <c r="O51" i="2"/>
  <c r="O64" i="2" s="1"/>
  <c r="N51" i="2"/>
  <c r="N54" i="2" s="1"/>
  <c r="M51" i="2"/>
  <c r="L51" i="2"/>
  <c r="L64" i="2" s="1"/>
  <c r="K51" i="2"/>
  <c r="K54" i="2" s="1"/>
  <c r="K58" i="2" s="1"/>
  <c r="K60" i="2" s="1"/>
  <c r="K62" i="2" s="1"/>
  <c r="J51" i="2"/>
  <c r="J54" i="2" s="1"/>
  <c r="J58" i="2" s="1"/>
  <c r="J60" i="2" s="1"/>
  <c r="I51" i="2"/>
  <c r="I64" i="2" s="1"/>
  <c r="H51" i="2"/>
  <c r="H54" i="2" s="1"/>
  <c r="H58" i="2" s="1"/>
  <c r="H60" i="2" s="1"/>
  <c r="H62" i="2" s="1"/>
  <c r="G51" i="2"/>
  <c r="G64" i="2" s="1"/>
  <c r="F51" i="2"/>
  <c r="F64" i="2" s="1"/>
  <c r="E51" i="2"/>
  <c r="D51" i="2"/>
  <c r="D54" i="2" s="1"/>
  <c r="C51" i="2"/>
  <c r="C54" i="2" s="1"/>
  <c r="C58" i="2" s="1"/>
  <c r="C60" i="2" s="1"/>
  <c r="C62" i="2" s="1"/>
  <c r="AT35" i="2"/>
  <c r="AT34" i="2"/>
  <c r="AT33" i="2"/>
  <c r="AT32" i="2"/>
  <c r="AX35" i="2"/>
  <c r="AX34" i="2"/>
  <c r="AX33" i="2"/>
  <c r="AX32" i="2"/>
  <c r="AT22" i="2"/>
  <c r="CC22" i="2" s="1"/>
  <c r="AT21" i="2"/>
  <c r="CC21" i="2" s="1"/>
  <c r="AX22" i="2"/>
  <c r="CD22" i="2" s="1"/>
  <c r="AX21" i="2"/>
  <c r="AT7" i="2"/>
  <c r="AT5" i="2"/>
  <c r="AT4" i="2"/>
  <c r="AX7" i="2"/>
  <c r="AX5" i="2"/>
  <c r="AX4" i="2"/>
  <c r="BB22" i="2"/>
  <c r="BB21" i="2"/>
  <c r="BJ7" i="2"/>
  <c r="BJ5" i="2"/>
  <c r="BJ4" i="2"/>
  <c r="BB35" i="2"/>
  <c r="BB34" i="2"/>
  <c r="BB33" i="2"/>
  <c r="BB32" i="2"/>
  <c r="BF35" i="2"/>
  <c r="BF34" i="2"/>
  <c r="BF33" i="2"/>
  <c r="BF32" i="2"/>
  <c r="BJ35" i="2"/>
  <c r="BJ34" i="2"/>
  <c r="BJ33" i="2"/>
  <c r="BJ32" i="2"/>
  <c r="BB7" i="2"/>
  <c r="BB5" i="2"/>
  <c r="BB4" i="2"/>
  <c r="BF22" i="2"/>
  <c r="CF22" i="2" s="1"/>
  <c r="BF21" i="2"/>
  <c r="BF7" i="2"/>
  <c r="BF5" i="2"/>
  <c r="BF4" i="2"/>
  <c r="BJ22" i="2"/>
  <c r="BJ21" i="2"/>
  <c r="CG21" i="2" s="1"/>
  <c r="CH21" i="2" s="1"/>
  <c r="BK26" i="2"/>
  <c r="BI26" i="2"/>
  <c r="BH26" i="2"/>
  <c r="BG26" i="2"/>
  <c r="BE26" i="2"/>
  <c r="BD26" i="2"/>
  <c r="BC26" i="2"/>
  <c r="BA26" i="2"/>
  <c r="AZ26" i="2"/>
  <c r="AY26" i="2"/>
  <c r="AW26" i="2"/>
  <c r="AV26" i="2"/>
  <c r="AU26" i="2"/>
  <c r="BK25" i="2"/>
  <c r="BI25" i="2"/>
  <c r="BH25" i="2"/>
  <c r="BG25" i="2"/>
  <c r="BE25" i="2"/>
  <c r="BD25" i="2"/>
  <c r="BC25" i="2"/>
  <c r="BA25" i="2"/>
  <c r="AZ25" i="2"/>
  <c r="AY25" i="2"/>
  <c r="AW25" i="2"/>
  <c r="AV25" i="2"/>
  <c r="AU25" i="2"/>
  <c r="BK23" i="2"/>
  <c r="BK30" i="2" s="1"/>
  <c r="BI23" i="2"/>
  <c r="BI29" i="2" s="1"/>
  <c r="BH23" i="2"/>
  <c r="BH29" i="2" s="1"/>
  <c r="BG23" i="2"/>
  <c r="BG29" i="2" s="1"/>
  <c r="BE23" i="2"/>
  <c r="BE30" i="2" s="1"/>
  <c r="BD23" i="2"/>
  <c r="BC23" i="2"/>
  <c r="BC30" i="2" s="1"/>
  <c r="BA23" i="2"/>
  <c r="BA29" i="2" s="1"/>
  <c r="AZ23" i="2"/>
  <c r="AZ29" i="2" s="1"/>
  <c r="AY23" i="2"/>
  <c r="AY29" i="2" s="1"/>
  <c r="AW23" i="2"/>
  <c r="AW30" i="2" s="1"/>
  <c r="AV23" i="2"/>
  <c r="AV30" i="2" s="1"/>
  <c r="AU23" i="2"/>
  <c r="AU29" i="2" s="1"/>
  <c r="AS23" i="2"/>
  <c r="AS30" i="2" s="1"/>
  <c r="AR23" i="2"/>
  <c r="AR29" i="2" s="1"/>
  <c r="AQ23" i="2"/>
  <c r="AQ29" i="2" s="1"/>
  <c r="AI54" i="2" l="1"/>
  <c r="AI58" i="2" s="1"/>
  <c r="AI60" i="2" s="1"/>
  <c r="AI62" i="2" s="1"/>
  <c r="AJ54" i="2"/>
  <c r="AJ58" i="2" s="1"/>
  <c r="AJ60" i="2" s="1"/>
  <c r="AJ62" i="2" s="1"/>
  <c r="AX25" i="2"/>
  <c r="AG54" i="2"/>
  <c r="AG58" i="2" s="1"/>
  <c r="AG60" i="2" s="1"/>
  <c r="AG62" i="2" s="1"/>
  <c r="I54" i="2"/>
  <c r="I58" i="2" s="1"/>
  <c r="I60" i="2" s="1"/>
  <c r="I62" i="2" s="1"/>
  <c r="AL54" i="2"/>
  <c r="AL58" i="2" s="1"/>
  <c r="AL60" i="2" s="1"/>
  <c r="AL62" i="2" s="1"/>
  <c r="Z54" i="2"/>
  <c r="Z58" i="2" s="1"/>
  <c r="Z60" i="2" s="1"/>
  <c r="Z62" i="2" s="1"/>
  <c r="AH54" i="2"/>
  <c r="AH58" i="2" s="1"/>
  <c r="AH60" i="2" s="1"/>
  <c r="AH62" i="2" s="1"/>
  <c r="AK54" i="2"/>
  <c r="AK58" i="2" s="1"/>
  <c r="P68" i="2"/>
  <c r="S68" i="2"/>
  <c r="G54" i="2"/>
  <c r="G67" i="2" s="1"/>
  <c r="D64" i="2"/>
  <c r="T54" i="2"/>
  <c r="T58" i="2" s="1"/>
  <c r="T60" i="2" s="1"/>
  <c r="T62" i="2" s="1"/>
  <c r="AB54" i="2"/>
  <c r="AB67" i="2" s="1"/>
  <c r="S69" i="2"/>
  <c r="L54" i="2"/>
  <c r="H64" i="2"/>
  <c r="H103" i="2"/>
  <c r="O54" i="2"/>
  <c r="O67" i="2" s="1"/>
  <c r="K64" i="2"/>
  <c r="AA64" i="2"/>
  <c r="X68" i="2"/>
  <c r="C69" i="2"/>
  <c r="AA69" i="2"/>
  <c r="J103" i="2"/>
  <c r="R103" i="2"/>
  <c r="X64" i="2"/>
  <c r="P103" i="2"/>
  <c r="Q54" i="2"/>
  <c r="Q58" i="2" s="1"/>
  <c r="Q60" i="2" s="1"/>
  <c r="C67" i="2"/>
  <c r="X67" i="2"/>
  <c r="C68" i="2"/>
  <c r="AA68" i="2"/>
  <c r="H69" i="2"/>
  <c r="AF69" i="2"/>
  <c r="C103" i="2"/>
  <c r="K103" i="2"/>
  <c r="S103" i="2"/>
  <c r="AA103" i="2"/>
  <c r="AE54" i="2"/>
  <c r="AE58" i="2" s="1"/>
  <c r="AE60" i="2" s="1"/>
  <c r="AE62" i="2" s="1"/>
  <c r="P67" i="2"/>
  <c r="P64" i="2"/>
  <c r="AF64" i="2"/>
  <c r="H67" i="2"/>
  <c r="AA67" i="2"/>
  <c r="H68" i="2"/>
  <c r="AF68" i="2"/>
  <c r="K69" i="2"/>
  <c r="AJ103" i="2"/>
  <c r="X103" i="2"/>
  <c r="W54" i="2"/>
  <c r="W67" i="2" s="1"/>
  <c r="I67" i="2"/>
  <c r="AF67" i="2"/>
  <c r="K68" i="2"/>
  <c r="AJ69" i="2"/>
  <c r="AF103" i="2"/>
  <c r="C64" i="2"/>
  <c r="S64" i="2"/>
  <c r="K67" i="2"/>
  <c r="AJ68" i="2"/>
  <c r="P69" i="2"/>
  <c r="Y64" i="2"/>
  <c r="S67" i="2"/>
  <c r="X69" i="2"/>
  <c r="U64" i="2"/>
  <c r="U54" i="2"/>
  <c r="Y58" i="2"/>
  <c r="Y67" i="2"/>
  <c r="E64" i="2"/>
  <c r="E54" i="2"/>
  <c r="AC64" i="2"/>
  <c r="AC54" i="2"/>
  <c r="D58" i="2"/>
  <c r="D67" i="2"/>
  <c r="N58" i="2"/>
  <c r="N67" i="2"/>
  <c r="V58" i="2"/>
  <c r="V67" i="2"/>
  <c r="M54" i="2"/>
  <c r="M64" i="2"/>
  <c r="I68" i="2"/>
  <c r="AG68" i="2"/>
  <c r="F54" i="2"/>
  <c r="AD54" i="2"/>
  <c r="J64" i="2"/>
  <c r="R64" i="2"/>
  <c r="J67" i="2"/>
  <c r="R67" i="2"/>
  <c r="J68" i="2"/>
  <c r="R68" i="2"/>
  <c r="J69" i="2"/>
  <c r="R69" i="2"/>
  <c r="AY30" i="2"/>
  <c r="G58" i="2"/>
  <c r="BA30" i="2"/>
  <c r="N64" i="2"/>
  <c r="V64" i="2"/>
  <c r="AS29" i="2"/>
  <c r="AV29" i="2"/>
  <c r="AR30" i="2"/>
  <c r="AQ30" i="2"/>
  <c r="AU30" i="2"/>
  <c r="AX23" i="2"/>
  <c r="AX30" i="2" s="1"/>
  <c r="AX26" i="2"/>
  <c r="BD27" i="2"/>
  <c r="AZ30" i="2"/>
  <c r="AW29" i="2"/>
  <c r="BE27" i="2"/>
  <c r="AT23" i="2"/>
  <c r="AT30" i="2" s="1"/>
  <c r="BC29" i="2"/>
  <c r="BD29" i="2"/>
  <c r="BD30" i="2"/>
  <c r="BH30" i="2"/>
  <c r="BE29" i="2"/>
  <c r="BI30" i="2"/>
  <c r="BJ23" i="2"/>
  <c r="BJ29" i="2" s="1"/>
  <c r="CD21" i="2"/>
  <c r="CE22" i="2"/>
  <c r="CF26" i="2" s="1"/>
  <c r="BB25" i="2"/>
  <c r="BB26" i="2"/>
  <c r="BB23" i="2"/>
  <c r="BB29" i="2" s="1"/>
  <c r="CE21" i="2"/>
  <c r="CF21" i="2"/>
  <c r="BF26" i="2"/>
  <c r="BF23" i="2"/>
  <c r="BF30" i="2" s="1"/>
  <c r="BF25" i="2"/>
  <c r="BJ26" i="2"/>
  <c r="CG22" i="2"/>
  <c r="CH22" i="2" s="1"/>
  <c r="CI22" i="2" s="1"/>
  <c r="CJ22" i="2" s="1"/>
  <c r="CK22" i="2" s="1"/>
  <c r="CL22" i="2" s="1"/>
  <c r="CM22" i="2" s="1"/>
  <c r="CN22" i="2" s="1"/>
  <c r="CO22" i="2" s="1"/>
  <c r="CP22" i="2" s="1"/>
  <c r="CQ22" i="2" s="1"/>
  <c r="BJ25" i="2"/>
  <c r="BG30" i="2"/>
  <c r="BK29" i="2"/>
  <c r="BA27" i="2"/>
  <c r="AU27" i="2"/>
  <c r="BI27" i="2"/>
  <c r="BC27" i="2"/>
  <c r="BK27" i="2"/>
  <c r="AW27" i="2"/>
  <c r="AY27" i="2"/>
  <c r="BG27" i="2"/>
  <c r="AV27" i="2"/>
  <c r="CD26" i="2"/>
  <c r="CI21" i="2"/>
  <c r="AZ27" i="2"/>
  <c r="BH27" i="2"/>
  <c r="AI103" i="2" l="1"/>
  <c r="Z67" i="2"/>
  <c r="AI69" i="2"/>
  <c r="AI67" i="2"/>
  <c r="AI68" i="2"/>
  <c r="Q69" i="2"/>
  <c r="Q62" i="2"/>
  <c r="Z69" i="2"/>
  <c r="CD23" i="2"/>
  <c r="CD30" i="2" s="1"/>
  <c r="I69" i="2"/>
  <c r="AJ67" i="2"/>
  <c r="AG69" i="2"/>
  <c r="AG103" i="2"/>
  <c r="AG67" i="2"/>
  <c r="AH68" i="2"/>
  <c r="I103" i="2"/>
  <c r="AH67" i="2"/>
  <c r="AH69" i="2"/>
  <c r="AL67" i="2"/>
  <c r="AL69" i="2"/>
  <c r="AL68" i="2"/>
  <c r="AL103" i="2"/>
  <c r="AK67" i="2"/>
  <c r="AH103" i="2"/>
  <c r="Z103" i="2"/>
  <c r="Z68" i="2"/>
  <c r="Q67" i="2"/>
  <c r="AB58" i="2"/>
  <c r="AB60" i="2" s="1"/>
  <c r="AE68" i="2"/>
  <c r="AE67" i="2"/>
  <c r="T67" i="2"/>
  <c r="L58" i="2"/>
  <c r="L67" i="2"/>
  <c r="O58" i="2"/>
  <c r="O68" i="2" s="1"/>
  <c r="T68" i="2"/>
  <c r="W58" i="2"/>
  <c r="W60" i="2" s="1"/>
  <c r="T69" i="2"/>
  <c r="T103" i="2"/>
  <c r="Q103" i="2"/>
  <c r="AE103" i="2"/>
  <c r="Q68" i="2"/>
  <c r="AE69" i="2"/>
  <c r="M58" i="2"/>
  <c r="M67" i="2"/>
  <c r="AC58" i="2"/>
  <c r="AC67" i="2"/>
  <c r="F58" i="2"/>
  <c r="F67" i="2"/>
  <c r="V60" i="2"/>
  <c r="V68" i="2"/>
  <c r="N60" i="2"/>
  <c r="N68" i="2"/>
  <c r="AK60" i="2"/>
  <c r="AK68" i="2"/>
  <c r="U58" i="2"/>
  <c r="U67" i="2"/>
  <c r="AD58" i="2"/>
  <c r="AD67" i="2"/>
  <c r="E58" i="2"/>
  <c r="E67" i="2"/>
  <c r="G60" i="2"/>
  <c r="G68" i="2"/>
  <c r="D60" i="2"/>
  <c r="D68" i="2"/>
  <c r="Y60" i="2"/>
  <c r="Y68" i="2"/>
  <c r="CE23" i="2"/>
  <c r="CE30" i="2" s="1"/>
  <c r="AX29" i="2"/>
  <c r="CC23" i="2"/>
  <c r="CC30" i="2" s="1"/>
  <c r="AT29" i="2"/>
  <c r="AX27" i="2"/>
  <c r="CE26" i="2"/>
  <c r="CD29" i="2"/>
  <c r="CD25" i="2"/>
  <c r="CE25" i="2"/>
  <c r="CE29" i="2"/>
  <c r="CF25" i="2"/>
  <c r="CF23" i="2"/>
  <c r="BJ30" i="2"/>
  <c r="CG23" i="2"/>
  <c r="BJ27" i="2"/>
  <c r="BB30" i="2"/>
  <c r="BB27" i="2"/>
  <c r="BF27" i="2"/>
  <c r="CG25" i="2"/>
  <c r="BF29" i="2"/>
  <c r="CG26" i="2"/>
  <c r="CJ21" i="2"/>
  <c r="G103" i="2" l="1"/>
  <c r="G62" i="2"/>
  <c r="AK103" i="2"/>
  <c r="AK62" i="2"/>
  <c r="W103" i="2"/>
  <c r="W62" i="2"/>
  <c r="AB103" i="2"/>
  <c r="AB62" i="2"/>
  <c r="N103" i="2"/>
  <c r="N62" i="2"/>
  <c r="Y103" i="2"/>
  <c r="Y62" i="2"/>
  <c r="V103" i="2"/>
  <c r="V62" i="2"/>
  <c r="D103" i="2"/>
  <c r="D62" i="2"/>
  <c r="AB68" i="2"/>
  <c r="CE27" i="2"/>
  <c r="O60" i="2"/>
  <c r="W68" i="2"/>
  <c r="L60" i="2"/>
  <c r="L62" i="2" s="1"/>
  <c r="L68" i="2"/>
  <c r="G69" i="2"/>
  <c r="E60" i="2"/>
  <c r="E68" i="2"/>
  <c r="N69" i="2"/>
  <c r="F60" i="2"/>
  <c r="F68" i="2"/>
  <c r="Y69" i="2"/>
  <c r="D69" i="2"/>
  <c r="AD60" i="2"/>
  <c r="AD68" i="2"/>
  <c r="AC60" i="2"/>
  <c r="AC68" i="2"/>
  <c r="W69" i="2"/>
  <c r="AK69" i="2"/>
  <c r="AB69" i="2"/>
  <c r="U60" i="2"/>
  <c r="U68" i="2"/>
  <c r="V69" i="2"/>
  <c r="M60" i="2"/>
  <c r="M68" i="2"/>
  <c r="CC29" i="2"/>
  <c r="CD27" i="2"/>
  <c r="CF27" i="2"/>
  <c r="CF30" i="2"/>
  <c r="CF29" i="2"/>
  <c r="CH23" i="2"/>
  <c r="CI23" i="2" s="1"/>
  <c r="CG30" i="2"/>
  <c r="CG29" i="2"/>
  <c r="CG27" i="2"/>
  <c r="CK21" i="2"/>
  <c r="E103" i="2" l="1"/>
  <c r="E62" i="2"/>
  <c r="AD103" i="2"/>
  <c r="AD62" i="2"/>
  <c r="U103" i="2"/>
  <c r="U62" i="2"/>
  <c r="F103" i="2"/>
  <c r="F62" i="2"/>
  <c r="O103" i="2"/>
  <c r="O62" i="2"/>
  <c r="M103" i="2"/>
  <c r="M62" i="2"/>
  <c r="AC103" i="2"/>
  <c r="AC62" i="2"/>
  <c r="O69" i="2"/>
  <c r="L103" i="2"/>
  <c r="L69" i="2"/>
  <c r="U69" i="2"/>
  <c r="AC69" i="2"/>
  <c r="F69" i="2"/>
  <c r="E69" i="2"/>
  <c r="AD69" i="2"/>
  <c r="M69" i="2"/>
  <c r="CL21" i="2"/>
  <c r="CJ23" i="2"/>
  <c r="CK23" i="2" l="1"/>
  <c r="CM21" i="2"/>
  <c r="CN21" i="2" l="1"/>
  <c r="CL23" i="2"/>
  <c r="CM23" i="2" l="1"/>
  <c r="CO21" i="2"/>
  <c r="CP21" i="2" l="1"/>
  <c r="CN23" i="2"/>
  <c r="CO23" i="2" l="1"/>
  <c r="CQ21" i="2"/>
  <c r="CP23" i="2" l="1"/>
  <c r="CQ23" i="2" l="1"/>
  <c r="BJ36" i="2" l="1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BK6" i="2"/>
  <c r="BK36" i="2"/>
  <c r="BK90" i="2"/>
  <c r="BJ90" i="2"/>
  <c r="BG44" i="2" l="1"/>
  <c r="BG46" i="2"/>
  <c r="BG47" i="2"/>
  <c r="BG45" i="2"/>
  <c r="BE46" i="2"/>
  <c r="BE44" i="2"/>
  <c r="BE47" i="2"/>
  <c r="BE45" i="2"/>
  <c r="BK42" i="2"/>
  <c r="BK47" i="2"/>
  <c r="BK45" i="2"/>
  <c r="BK46" i="2"/>
  <c r="BK44" i="2"/>
  <c r="BG8" i="2"/>
  <c r="BG18" i="2" s="1"/>
  <c r="AS45" i="2"/>
  <c r="AS46" i="2"/>
  <c r="AS47" i="2"/>
  <c r="AS44" i="2"/>
  <c r="AS8" i="2"/>
  <c r="AS18" i="2" s="1"/>
  <c r="AR45" i="2"/>
  <c r="AR46" i="2"/>
  <c r="AR47" i="2"/>
  <c r="AR44" i="2"/>
  <c r="AR8" i="2"/>
  <c r="AQ45" i="2"/>
  <c r="AQ47" i="2"/>
  <c r="AQ46" i="2"/>
  <c r="AQ44" i="2"/>
  <c r="AQ8" i="2"/>
  <c r="AQ18" i="2" s="1"/>
  <c r="AU46" i="2"/>
  <c r="AU42" i="2"/>
  <c r="AU47" i="2"/>
  <c r="AU44" i="2"/>
  <c r="AU45" i="2"/>
  <c r="AU8" i="2"/>
  <c r="AU18" i="2" s="1"/>
  <c r="AV45" i="2"/>
  <c r="AV44" i="2"/>
  <c r="AV46" i="2"/>
  <c r="AV42" i="2"/>
  <c r="AV47" i="2"/>
  <c r="AV8" i="2"/>
  <c r="AV18" i="2" s="1"/>
  <c r="AZ47" i="2"/>
  <c r="AZ46" i="2"/>
  <c r="AZ44" i="2"/>
  <c r="AZ45" i="2"/>
  <c r="AZ42" i="2"/>
  <c r="AZ8" i="2"/>
  <c r="AZ18" i="2" s="1"/>
  <c r="AW8" i="2"/>
  <c r="AW44" i="2"/>
  <c r="AW47" i="2"/>
  <c r="AW42" i="2"/>
  <c r="AW46" i="2"/>
  <c r="AW45" i="2"/>
  <c r="BA45" i="2"/>
  <c r="BA42" i="2"/>
  <c r="BA46" i="2"/>
  <c r="BE42" i="2"/>
  <c r="BA44" i="2"/>
  <c r="BA47" i="2"/>
  <c r="BA8" i="2"/>
  <c r="BA18" i="2" s="1"/>
  <c r="AT45" i="2"/>
  <c r="CC36" i="2"/>
  <c r="AT47" i="2"/>
  <c r="AT46" i="2"/>
  <c r="AT44" i="2"/>
  <c r="AX44" i="2"/>
  <c r="CD36" i="2"/>
  <c r="AX46" i="2"/>
  <c r="AX47" i="2"/>
  <c r="AX45" i="2"/>
  <c r="AX42" i="2"/>
  <c r="AX8" i="2"/>
  <c r="AX18" i="2" s="1"/>
  <c r="AY45" i="2"/>
  <c r="AY46" i="2"/>
  <c r="CE36" i="2"/>
  <c r="AY47" i="2"/>
  <c r="AY44" i="2"/>
  <c r="AY42" i="2"/>
  <c r="BB47" i="2"/>
  <c r="BB42" i="2"/>
  <c r="BB45" i="2"/>
  <c r="BB46" i="2"/>
  <c r="BB44" i="2"/>
  <c r="BC45" i="2"/>
  <c r="BC46" i="2"/>
  <c r="BC47" i="2"/>
  <c r="BG42" i="2"/>
  <c r="BC42" i="2"/>
  <c r="BC44" i="2"/>
  <c r="AY8" i="2"/>
  <c r="AY18" i="2" s="1"/>
  <c r="BC8" i="2"/>
  <c r="BC18" i="2" s="1"/>
  <c r="BI42" i="2"/>
  <c r="BI47" i="2"/>
  <c r="BI46" i="2"/>
  <c r="BI45" i="2"/>
  <c r="BI44" i="2"/>
  <c r="BF47" i="2"/>
  <c r="BF42" i="2"/>
  <c r="BF46" i="2"/>
  <c r="BF45" i="2"/>
  <c r="BF44" i="2"/>
  <c r="BD45" i="2"/>
  <c r="CF36" i="2"/>
  <c r="BD44" i="2"/>
  <c r="BD47" i="2"/>
  <c r="BD42" i="2"/>
  <c r="BD46" i="2"/>
  <c r="BF8" i="2"/>
  <c r="BF18" i="2" s="1"/>
  <c r="BD8" i="2"/>
  <c r="BJ47" i="2"/>
  <c r="BJ45" i="2"/>
  <c r="BJ42" i="2"/>
  <c r="BJ46" i="2"/>
  <c r="BJ44" i="2"/>
  <c r="CG36" i="2"/>
  <c r="BH47" i="2"/>
  <c r="BH45" i="2"/>
  <c r="BH42" i="2"/>
  <c r="BH44" i="2"/>
  <c r="BH46" i="2"/>
  <c r="BJ8" i="2"/>
  <c r="BJ18" i="2" s="1"/>
  <c r="BH8" i="2"/>
  <c r="BE8" i="2"/>
  <c r="BI8" i="2"/>
  <c r="BI18" i="2" s="1"/>
  <c r="AT8" i="2"/>
  <c r="BB8" i="2"/>
  <c r="BK8" i="2"/>
  <c r="BK19" i="2" s="1"/>
  <c r="BH16" i="2" l="1"/>
  <c r="BH17" i="2"/>
  <c r="BH19" i="2"/>
  <c r="BE19" i="2"/>
  <c r="BE17" i="2"/>
  <c r="BE16" i="2"/>
  <c r="BH18" i="2"/>
  <c r="BI19" i="2"/>
  <c r="BI16" i="2"/>
  <c r="BI17" i="2"/>
  <c r="BG17" i="2"/>
  <c r="BG19" i="2"/>
  <c r="BG16" i="2"/>
  <c r="BE18" i="2"/>
  <c r="AS16" i="2"/>
  <c r="AS17" i="2"/>
  <c r="AS19" i="2"/>
  <c r="AR17" i="2"/>
  <c r="AR16" i="2"/>
  <c r="AR19" i="2"/>
  <c r="AR18" i="2"/>
  <c r="AQ17" i="2"/>
  <c r="AQ16" i="2"/>
  <c r="AQ19" i="2"/>
  <c r="AU19" i="2"/>
  <c r="AU17" i="2"/>
  <c r="AU16" i="2"/>
  <c r="AV17" i="2"/>
  <c r="AV16" i="2"/>
  <c r="AV19" i="2"/>
  <c r="AZ16" i="2"/>
  <c r="AZ19" i="2"/>
  <c r="AZ17" i="2"/>
  <c r="AW17" i="2"/>
  <c r="AW19" i="2"/>
  <c r="AW16" i="2"/>
  <c r="AW18" i="2"/>
  <c r="BA17" i="2"/>
  <c r="BA16" i="2"/>
  <c r="BA19" i="2"/>
  <c r="AT16" i="2"/>
  <c r="AT19" i="2"/>
  <c r="AT17" i="2"/>
  <c r="AT18" i="2"/>
  <c r="AX17" i="2"/>
  <c r="AX19" i="2"/>
  <c r="AX16" i="2"/>
  <c r="BB19" i="2"/>
  <c r="BB16" i="2"/>
  <c r="BB17" i="2"/>
  <c r="AY19" i="2"/>
  <c r="AY17" i="2"/>
  <c r="AY16" i="2"/>
  <c r="BB18" i="2"/>
  <c r="BC19" i="2"/>
  <c r="BC16" i="2"/>
  <c r="BC17" i="2"/>
  <c r="BD17" i="2"/>
  <c r="BD19" i="2"/>
  <c r="BD16" i="2"/>
  <c r="BD18" i="2"/>
  <c r="BF19" i="2"/>
  <c r="BF17" i="2"/>
  <c r="BF16" i="2"/>
  <c r="BJ19" i="2"/>
  <c r="BJ17" i="2"/>
  <c r="BJ16" i="2"/>
  <c r="BK18" i="2"/>
  <c r="U243" i="3" l="1"/>
  <c r="T244" i="3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U275" i="3" s="1"/>
  <c r="T242" i="3"/>
  <c r="T241" i="3" s="1"/>
  <c r="T240" i="3" s="1"/>
  <c r="T239" i="3" s="1"/>
  <c r="T238" i="3" s="1"/>
  <c r="T237" i="3" s="1"/>
  <c r="T236" i="3" s="1"/>
  <c r="T235" i="3" s="1"/>
  <c r="T234" i="3" s="1"/>
  <c r="T233" i="3" s="1"/>
  <c r="T232" i="3" s="1"/>
  <c r="T231" i="3" s="1"/>
  <c r="T230" i="3" s="1"/>
  <c r="T229" i="3" s="1"/>
  <c r="T228" i="3" s="1"/>
  <c r="T227" i="3" s="1"/>
  <c r="T226" i="3" s="1"/>
  <c r="T225" i="3" s="1"/>
  <c r="T224" i="3" s="1"/>
  <c r="T223" i="3" s="1"/>
  <c r="T222" i="3" s="1"/>
  <c r="T221" i="3" s="1"/>
  <c r="T220" i="3" s="1"/>
  <c r="T219" i="3" s="1"/>
  <c r="T218" i="3" s="1"/>
  <c r="T217" i="3" s="1"/>
  <c r="T216" i="3" s="1"/>
  <c r="T215" i="3" s="1"/>
  <c r="T214" i="3" s="1"/>
  <c r="T213" i="3" s="1"/>
  <c r="T212" i="3" s="1"/>
  <c r="T211" i="3" s="1"/>
  <c r="U211" i="3" s="1"/>
  <c r="S204" i="3"/>
  <c r="S203" i="3"/>
  <c r="S202" i="3"/>
  <c r="S201" i="3"/>
  <c r="S200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C7" i="1"/>
  <c r="C6" i="1"/>
  <c r="U272" i="3" l="1"/>
  <c r="U267" i="3"/>
  <c r="U256" i="3"/>
  <c r="U251" i="3"/>
  <c r="U274" i="3"/>
  <c r="U258" i="3"/>
  <c r="U268" i="3"/>
  <c r="U252" i="3"/>
  <c r="U266" i="3"/>
  <c r="U250" i="3"/>
  <c r="U264" i="3"/>
  <c r="U248" i="3"/>
  <c r="U260" i="3"/>
  <c r="U244" i="3"/>
  <c r="U259" i="3"/>
  <c r="U236" i="3"/>
  <c r="U212" i="3"/>
  <c r="U235" i="3"/>
  <c r="U227" i="3"/>
  <c r="U219" i="3"/>
  <c r="U220" i="3"/>
  <c r="U242" i="3"/>
  <c r="U234" i="3"/>
  <c r="U226" i="3"/>
  <c r="U218" i="3"/>
  <c r="U228" i="3"/>
  <c r="U273" i="3"/>
  <c r="U265" i="3"/>
  <c r="U257" i="3"/>
  <c r="U249" i="3"/>
  <c r="U241" i="3"/>
  <c r="U233" i="3"/>
  <c r="U225" i="3"/>
  <c r="U217" i="3"/>
  <c r="U240" i="3"/>
  <c r="U216" i="3"/>
  <c r="U271" i="3"/>
  <c r="U263" i="3"/>
  <c r="U255" i="3"/>
  <c r="U247" i="3"/>
  <c r="U239" i="3"/>
  <c r="U231" i="3"/>
  <c r="U223" i="3"/>
  <c r="U215" i="3"/>
  <c r="U232" i="3"/>
  <c r="U270" i="3"/>
  <c r="U262" i="3"/>
  <c r="U254" i="3"/>
  <c r="U246" i="3"/>
  <c r="U238" i="3"/>
  <c r="U230" i="3"/>
  <c r="U222" i="3"/>
  <c r="U214" i="3"/>
  <c r="U224" i="3"/>
  <c r="U269" i="3"/>
  <c r="U261" i="3"/>
  <c r="U253" i="3"/>
  <c r="U245" i="3"/>
  <c r="U237" i="3"/>
  <c r="U229" i="3"/>
  <c r="U221" i="3"/>
  <c r="U213" i="3"/>
  <c r="BK106" i="2" l="1"/>
  <c r="BK82" i="2"/>
  <c r="BK41" i="2"/>
  <c r="BK40" i="2"/>
  <c r="BK39" i="2"/>
  <c r="BK38" i="2"/>
  <c r="BK13" i="2"/>
  <c r="BK12" i="2"/>
  <c r="BK11" i="2"/>
  <c r="BK10" i="2"/>
  <c r="BK17" i="2"/>
  <c r="CG50" i="2"/>
  <c r="CG35" i="2"/>
  <c r="CG34" i="2"/>
  <c r="CG33" i="2"/>
  <c r="CG32" i="2"/>
  <c r="CG7" i="2"/>
  <c r="CG6" i="2"/>
  <c r="CG5" i="2"/>
  <c r="CG4" i="2"/>
  <c r="CL84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P111" i="2" s="1"/>
  <c r="AO106" i="2"/>
  <c r="AO111" i="2" s="1"/>
  <c r="AN106" i="2"/>
  <c r="AN111" i="2" s="1"/>
  <c r="AM106" i="2"/>
  <c r="AM111" i="2" s="1"/>
  <c r="AL106" i="2"/>
  <c r="AL111" i="2" s="1"/>
  <c r="AK106" i="2"/>
  <c r="AK111" i="2" s="1"/>
  <c r="AJ106" i="2"/>
  <c r="AJ111" i="2" s="1"/>
  <c r="AI106" i="2"/>
  <c r="AI111" i="2" s="1"/>
  <c r="AH106" i="2"/>
  <c r="AH111" i="2" s="1"/>
  <c r="AG106" i="2"/>
  <c r="AG111" i="2" s="1"/>
  <c r="AF106" i="2"/>
  <c r="AF111" i="2" s="1"/>
  <c r="AE106" i="2"/>
  <c r="AE111" i="2" s="1"/>
  <c r="AD106" i="2"/>
  <c r="AD111" i="2" s="1"/>
  <c r="AC106" i="2"/>
  <c r="AC111" i="2" s="1"/>
  <c r="AB106" i="2"/>
  <c r="AB111" i="2" s="1"/>
  <c r="AA106" i="2"/>
  <c r="AA111" i="2" s="1"/>
  <c r="Z106" i="2"/>
  <c r="Z111" i="2" s="1"/>
  <c r="Y106" i="2"/>
  <c r="Y111" i="2" s="1"/>
  <c r="X106" i="2"/>
  <c r="X111" i="2" s="1"/>
  <c r="W106" i="2"/>
  <c r="W111" i="2" s="1"/>
  <c r="V106" i="2"/>
  <c r="V111" i="2" s="1"/>
  <c r="U106" i="2"/>
  <c r="U111" i="2" s="1"/>
  <c r="T106" i="2"/>
  <c r="T111" i="2" s="1"/>
  <c r="S106" i="2"/>
  <c r="S111" i="2" s="1"/>
  <c r="R106" i="2"/>
  <c r="R111" i="2" s="1"/>
  <c r="Q106" i="2"/>
  <c r="Q111" i="2" s="1"/>
  <c r="P106" i="2"/>
  <c r="P111" i="2" s="1"/>
  <c r="O106" i="2"/>
  <c r="O111" i="2" s="1"/>
  <c r="N106" i="2"/>
  <c r="N111" i="2" s="1"/>
  <c r="M106" i="2"/>
  <c r="M111" i="2" s="1"/>
  <c r="L106" i="2"/>
  <c r="L111" i="2" s="1"/>
  <c r="K106" i="2"/>
  <c r="K111" i="2" s="1"/>
  <c r="J106" i="2"/>
  <c r="J111" i="2" s="1"/>
  <c r="I106" i="2"/>
  <c r="I111" i="2" s="1"/>
  <c r="H106" i="2"/>
  <c r="H111" i="2" s="1"/>
  <c r="G106" i="2"/>
  <c r="G111" i="2" s="1"/>
  <c r="F106" i="2"/>
  <c r="F111" i="2" s="1"/>
  <c r="E106" i="2"/>
  <c r="E111" i="2" s="1"/>
  <c r="D106" i="2"/>
  <c r="D111" i="2" s="1"/>
  <c r="C106" i="2"/>
  <c r="C111" i="2" s="1"/>
  <c r="BJ106" i="2"/>
  <c r="BJ82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BH41" i="2"/>
  <c r="BH40" i="2"/>
  <c r="BH39" i="2"/>
  <c r="BH38" i="2"/>
  <c r="BI41" i="2"/>
  <c r="BI40" i="2"/>
  <c r="BI39" i="2"/>
  <c r="BI38" i="2"/>
  <c r="BJ41" i="2"/>
  <c r="BJ40" i="2"/>
  <c r="BJ39" i="2"/>
  <c r="BJ38" i="2"/>
  <c r="BK108" i="2" l="1"/>
  <c r="CH5" i="2"/>
  <c r="CH6" i="2"/>
  <c r="CH7" i="2"/>
  <c r="CH4" i="2"/>
  <c r="BK49" i="2"/>
  <c r="BK16" i="2"/>
  <c r="CQ86" i="2"/>
  <c r="CQ84" i="2"/>
  <c r="CQ76" i="2"/>
  <c r="CQ77" i="2" s="1"/>
  <c r="CN76" i="2"/>
  <c r="BK111" i="2" l="1"/>
  <c r="BK97" i="2"/>
  <c r="BK98" i="2"/>
  <c r="CH8" i="2"/>
  <c r="BK112" i="2"/>
  <c r="BK110" i="2"/>
  <c r="BK51" i="2"/>
  <c r="BK66" i="2"/>
  <c r="BK65" i="2"/>
  <c r="CG71" i="2"/>
  <c r="CJ76" i="2" s="1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J108" i="2"/>
  <c r="BI49" i="2"/>
  <c r="BH49" i="2"/>
  <c r="BF49" i="2"/>
  <c r="BE49" i="2"/>
  <c r="BD14" i="2"/>
  <c r="BA14" i="2"/>
  <c r="AZ14" i="2"/>
  <c r="BJ14" i="2"/>
  <c r="BI14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BJ13" i="2"/>
  <c r="BJ12" i="2"/>
  <c r="BJ11" i="2"/>
  <c r="BJ1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G187" i="3"/>
  <c r="BA49" i="2"/>
  <c r="AZ49" i="2"/>
  <c r="AX49" i="2"/>
  <c r="AS49" i="2"/>
  <c r="AR49" i="2"/>
  <c r="CE71" i="2"/>
  <c r="CF71" i="2"/>
  <c r="CI76" i="2" s="1"/>
  <c r="CA49" i="2"/>
  <c r="BZ49" i="2"/>
  <c r="BY49" i="2"/>
  <c r="BX49" i="2"/>
  <c r="BW49" i="2"/>
  <c r="BV49" i="2"/>
  <c r="BU49" i="2"/>
  <c r="BT49" i="2"/>
  <c r="BS49" i="2"/>
  <c r="CF35" i="2"/>
  <c r="CE35" i="2"/>
  <c r="CD35" i="2"/>
  <c r="CC35" i="2"/>
  <c r="CF34" i="2"/>
  <c r="CE34" i="2"/>
  <c r="CD34" i="2"/>
  <c r="CC34" i="2"/>
  <c r="CF33" i="2"/>
  <c r="CE33" i="2"/>
  <c r="CD33" i="2"/>
  <c r="CC33" i="2"/>
  <c r="CF32" i="2"/>
  <c r="CE32" i="2"/>
  <c r="CD32" i="2"/>
  <c r="CC32" i="2"/>
  <c r="CF7" i="2"/>
  <c r="CI7" i="2" s="1"/>
  <c r="CJ7" i="2" s="1"/>
  <c r="CK7" i="2" s="1"/>
  <c r="CL7" i="2" s="1"/>
  <c r="CM7" i="2" s="1"/>
  <c r="CN7" i="2" s="1"/>
  <c r="CO7" i="2" s="1"/>
  <c r="CP7" i="2" s="1"/>
  <c r="CQ7" i="2" s="1"/>
  <c r="CE7" i="2"/>
  <c r="CD7" i="2"/>
  <c r="CC7" i="2"/>
  <c r="CF6" i="2"/>
  <c r="CE6" i="2"/>
  <c r="CD6" i="2"/>
  <c r="CC6" i="2"/>
  <c r="CF5" i="2"/>
  <c r="CI5" i="2" s="1"/>
  <c r="CJ5" i="2" s="1"/>
  <c r="CK5" i="2" s="1"/>
  <c r="CL5" i="2" s="1"/>
  <c r="CM5" i="2" s="1"/>
  <c r="CN5" i="2" s="1"/>
  <c r="CO5" i="2" s="1"/>
  <c r="CP5" i="2" s="1"/>
  <c r="CQ5" i="2" s="1"/>
  <c r="CE5" i="2"/>
  <c r="CD5" i="2"/>
  <c r="CC5" i="2"/>
  <c r="CC4" i="2"/>
  <c r="CE4" i="2"/>
  <c r="CF4" i="2"/>
  <c r="CD4" i="2"/>
  <c r="BT3" i="2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O187" i="3"/>
  <c r="S205" i="3" s="1"/>
  <c r="C5" i="1"/>
  <c r="BI98" i="2" l="1"/>
  <c r="BI97" i="2"/>
  <c r="BE98" i="2"/>
  <c r="BE97" i="2"/>
  <c r="BH98" i="2"/>
  <c r="BH97" i="2"/>
  <c r="BF98" i="2"/>
  <c r="BF97" i="2"/>
  <c r="BA112" i="2"/>
  <c r="BA110" i="2"/>
  <c r="BA111" i="2"/>
  <c r="BE112" i="2"/>
  <c r="BE110" i="2"/>
  <c r="BE111" i="2"/>
  <c r="BF112" i="2"/>
  <c r="BF110" i="2"/>
  <c r="BF111" i="2"/>
  <c r="AX112" i="2"/>
  <c r="AX110" i="2"/>
  <c r="AX111" i="2"/>
  <c r="BH112" i="2"/>
  <c r="BH110" i="2"/>
  <c r="BH111" i="2"/>
  <c r="AZ112" i="2"/>
  <c r="AZ110" i="2"/>
  <c r="AZ111" i="2"/>
  <c r="BI112" i="2"/>
  <c r="BI110" i="2"/>
  <c r="BI111" i="2"/>
  <c r="AR112" i="2"/>
  <c r="AR110" i="2"/>
  <c r="AR111" i="2"/>
  <c r="AS112" i="2"/>
  <c r="AS110" i="2"/>
  <c r="AS111" i="2"/>
  <c r="BA51" i="2"/>
  <c r="BA66" i="2"/>
  <c r="BA65" i="2"/>
  <c r="BE66" i="2"/>
  <c r="BE65" i="2"/>
  <c r="AN51" i="2"/>
  <c r="AN65" i="2"/>
  <c r="AN66" i="2"/>
  <c r="BF51" i="2"/>
  <c r="BF66" i="2"/>
  <c r="BF65" i="2"/>
  <c r="AO66" i="2"/>
  <c r="AO65" i="2"/>
  <c r="BH51" i="2"/>
  <c r="BH66" i="2"/>
  <c r="BH65" i="2"/>
  <c r="AM51" i="2"/>
  <c r="AM66" i="2"/>
  <c r="AM65" i="2"/>
  <c r="AP51" i="2"/>
  <c r="AP66" i="2"/>
  <c r="AP65" i="2"/>
  <c r="BI51" i="2"/>
  <c r="BI66" i="2"/>
  <c r="BI65" i="2"/>
  <c r="AR51" i="2"/>
  <c r="AR66" i="2"/>
  <c r="AR65" i="2"/>
  <c r="AS51" i="2"/>
  <c r="AS66" i="2"/>
  <c r="AS65" i="2"/>
  <c r="AX51" i="2"/>
  <c r="AX66" i="2"/>
  <c r="AX65" i="2"/>
  <c r="AZ51" i="2"/>
  <c r="AZ66" i="2"/>
  <c r="AZ65" i="2"/>
  <c r="BK54" i="2"/>
  <c r="BK64" i="2"/>
  <c r="CI4" i="2"/>
  <c r="CJ4" i="2" s="1"/>
  <c r="CK4" i="2" s="1"/>
  <c r="CL4" i="2" s="1"/>
  <c r="CM4" i="2" s="1"/>
  <c r="CN4" i="2" s="1"/>
  <c r="CO4" i="2" s="1"/>
  <c r="CP4" i="2" s="1"/>
  <c r="CQ4" i="2" s="1"/>
  <c r="BF14" i="2"/>
  <c r="CG13" i="2"/>
  <c r="BE14" i="2"/>
  <c r="CD11" i="2"/>
  <c r="BB49" i="2"/>
  <c r="BG49" i="2"/>
  <c r="CG8" i="2"/>
  <c r="BK14" i="2"/>
  <c r="S206" i="3"/>
  <c r="CL88" i="2" s="1"/>
  <c r="CL90" i="2" s="1"/>
  <c r="C8" i="1"/>
  <c r="CL81" i="2"/>
  <c r="CD8" i="2"/>
  <c r="CD16" i="2" s="1"/>
  <c r="CF8" i="2"/>
  <c r="CG10" i="2"/>
  <c r="CG11" i="2"/>
  <c r="CE11" i="2"/>
  <c r="CG12" i="2"/>
  <c r="CD13" i="2"/>
  <c r="AT49" i="2"/>
  <c r="AX14" i="2"/>
  <c r="CE8" i="2"/>
  <c r="CL76" i="2"/>
  <c r="CN77" i="2" s="1"/>
  <c r="CI3" i="2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CE13" i="2"/>
  <c r="AV14" i="2"/>
  <c r="AU49" i="2"/>
  <c r="BD49" i="2"/>
  <c r="AW14" i="2"/>
  <c r="AU14" i="2"/>
  <c r="CF12" i="2"/>
  <c r="AV49" i="2"/>
  <c r="CC8" i="2"/>
  <c r="BC49" i="2"/>
  <c r="AW49" i="2"/>
  <c r="CE12" i="2"/>
  <c r="BB14" i="2"/>
  <c r="CD12" i="2"/>
  <c r="CF11" i="2"/>
  <c r="CF13" i="2"/>
  <c r="CB49" i="2"/>
  <c r="AQ49" i="2"/>
  <c r="AY49" i="2"/>
  <c r="AY14" i="2"/>
  <c r="BG14" i="2"/>
  <c r="BH14" i="2"/>
  <c r="BC14" i="2"/>
  <c r="AO51" i="2"/>
  <c r="BJ49" i="2"/>
  <c r="BE51" i="2"/>
  <c r="CD10" i="2"/>
  <c r="CE10" i="2"/>
  <c r="CI6" i="2"/>
  <c r="CJ6" i="2" s="1"/>
  <c r="CK6" i="2" s="1"/>
  <c r="CL6" i="2" s="1"/>
  <c r="CM6" i="2" s="1"/>
  <c r="CN6" i="2" s="1"/>
  <c r="CO6" i="2" s="1"/>
  <c r="CP6" i="2" s="1"/>
  <c r="CQ6" i="2" s="1"/>
  <c r="CF10" i="2"/>
  <c r="X222" i="3"/>
  <c r="BB98" i="2" l="1"/>
  <c r="BB97" i="2"/>
  <c r="BD98" i="2"/>
  <c r="BD97" i="2"/>
  <c r="BC98" i="2"/>
  <c r="BC97" i="2"/>
  <c r="BJ97" i="2"/>
  <c r="BJ98" i="2"/>
  <c r="BG98" i="2"/>
  <c r="BG97" i="2"/>
  <c r="BD112" i="2"/>
  <c r="BD110" i="2"/>
  <c r="BD111" i="2"/>
  <c r="AT112" i="2"/>
  <c r="AT110" i="2"/>
  <c r="AT111" i="2"/>
  <c r="AY112" i="2"/>
  <c r="AY110" i="2"/>
  <c r="AY111" i="2"/>
  <c r="AW112" i="2"/>
  <c r="AW110" i="2"/>
  <c r="AW111" i="2"/>
  <c r="AU112" i="2"/>
  <c r="AU110" i="2"/>
  <c r="AU111" i="2"/>
  <c r="BC110" i="2"/>
  <c r="BC112" i="2"/>
  <c r="BC111" i="2"/>
  <c r="BJ112" i="2"/>
  <c r="BJ110" i="2"/>
  <c r="BJ111" i="2"/>
  <c r="BB112" i="2"/>
  <c r="BB110" i="2"/>
  <c r="BB111" i="2"/>
  <c r="AQ112" i="2"/>
  <c r="AQ110" i="2"/>
  <c r="AQ111" i="2"/>
  <c r="AV112" i="2"/>
  <c r="AV110" i="2"/>
  <c r="AV111" i="2"/>
  <c r="BG112" i="2"/>
  <c r="BG110" i="2"/>
  <c r="BG111" i="2"/>
  <c r="BI54" i="2"/>
  <c r="BI64" i="2"/>
  <c r="BJ51" i="2"/>
  <c r="BJ66" i="2"/>
  <c r="BJ65" i="2"/>
  <c r="BG65" i="2"/>
  <c r="BG66" i="2"/>
  <c r="BH54" i="2"/>
  <c r="BH64" i="2"/>
  <c r="AN54" i="2"/>
  <c r="AN64" i="2"/>
  <c r="BB51" i="2"/>
  <c r="BB66" i="2"/>
  <c r="BB65" i="2"/>
  <c r="AS54" i="2"/>
  <c r="AS64" i="2"/>
  <c r="AX54" i="2"/>
  <c r="AX64" i="2"/>
  <c r="AP54" i="2"/>
  <c r="AP64" i="2"/>
  <c r="CQ8" i="2"/>
  <c r="BD66" i="2"/>
  <c r="BD65" i="2"/>
  <c r="AT51" i="2"/>
  <c r="AT66" i="2"/>
  <c r="AT65" i="2"/>
  <c r="AZ54" i="2"/>
  <c r="AZ64" i="2"/>
  <c r="AO54" i="2"/>
  <c r="AO64" i="2"/>
  <c r="AV51" i="2"/>
  <c r="AV66" i="2"/>
  <c r="AV65" i="2"/>
  <c r="AY66" i="2"/>
  <c r="AY65" i="2"/>
  <c r="AW51" i="2"/>
  <c r="AW66" i="2"/>
  <c r="AW65" i="2"/>
  <c r="AU51" i="2"/>
  <c r="AU66" i="2"/>
  <c r="AU65" i="2"/>
  <c r="AR54" i="2"/>
  <c r="AR64" i="2"/>
  <c r="BE54" i="2"/>
  <c r="BE64" i="2"/>
  <c r="AQ66" i="2"/>
  <c r="AQ65" i="2"/>
  <c r="BC51" i="2"/>
  <c r="BC66" i="2"/>
  <c r="BC65" i="2"/>
  <c r="AM54" i="2"/>
  <c r="AM64" i="2"/>
  <c r="BF54" i="2"/>
  <c r="BF64" i="2"/>
  <c r="BA54" i="2"/>
  <c r="BA64" i="2"/>
  <c r="CH14" i="2"/>
  <c r="CG17" i="2"/>
  <c r="CG19" i="2"/>
  <c r="CG18" i="2"/>
  <c r="CG16" i="2"/>
  <c r="BK58" i="2"/>
  <c r="BK67" i="2"/>
  <c r="CC17" i="2"/>
  <c r="CC19" i="2"/>
  <c r="CC16" i="2"/>
  <c r="CC18" i="2"/>
  <c r="CD17" i="2"/>
  <c r="CD19" i="2"/>
  <c r="CD18" i="2"/>
  <c r="CE17" i="2"/>
  <c r="CE19" i="2"/>
  <c r="CE16" i="2"/>
  <c r="CE18" i="2"/>
  <c r="CF17" i="2"/>
  <c r="CF19" i="2"/>
  <c r="CF16" i="2"/>
  <c r="CF18" i="2"/>
  <c r="CC49" i="2"/>
  <c r="CE14" i="2"/>
  <c r="CF14" i="2"/>
  <c r="BG51" i="2"/>
  <c r="CD49" i="2"/>
  <c r="CG14" i="2"/>
  <c r="CQ80" i="2"/>
  <c r="CQ81" i="2" s="1"/>
  <c r="CQ85" i="2" s="1"/>
  <c r="CQ87" i="2" s="1"/>
  <c r="CR87" i="2" s="1"/>
  <c r="CL83" i="2"/>
  <c r="CL82" i="2"/>
  <c r="BD51" i="2"/>
  <c r="CD14" i="2"/>
  <c r="CF49" i="2"/>
  <c r="AY51" i="2"/>
  <c r="CE49" i="2"/>
  <c r="AQ51" i="2"/>
  <c r="CM8" i="2"/>
  <c r="CN8" i="2"/>
  <c r="CP8" i="2"/>
  <c r="CJ8" i="2"/>
  <c r="CO8" i="2"/>
  <c r="CK8" i="2"/>
  <c r="CI8" i="2"/>
  <c r="CI14" i="2" s="1"/>
  <c r="CL8" i="2"/>
  <c r="X212" i="3"/>
  <c r="X211" i="3"/>
  <c r="X214" i="3"/>
  <c r="X221" i="3"/>
  <c r="X213" i="3"/>
  <c r="X224" i="3"/>
  <c r="X220" i="3"/>
  <c r="X216" i="3"/>
  <c r="X219" i="3"/>
  <c r="X223" i="3"/>
  <c r="X218" i="3"/>
  <c r="X215" i="3"/>
  <c r="X217" i="3"/>
  <c r="BA58" i="2" l="1"/>
  <c r="BA67" i="2"/>
  <c r="AU54" i="2"/>
  <c r="AU64" i="2"/>
  <c r="AV54" i="2"/>
  <c r="AV64" i="2"/>
  <c r="AS58" i="2"/>
  <c r="AS67" i="2"/>
  <c r="BC54" i="2"/>
  <c r="BC64" i="2"/>
  <c r="AT54" i="2"/>
  <c r="AT64" i="2"/>
  <c r="BF58" i="2"/>
  <c r="BF67" i="2"/>
  <c r="AO58" i="2"/>
  <c r="AO67" i="2"/>
  <c r="AY54" i="2"/>
  <c r="AY64" i="2"/>
  <c r="BE58" i="2"/>
  <c r="BE67" i="2"/>
  <c r="AW54" i="2"/>
  <c r="AW64" i="2"/>
  <c r="BB54" i="2"/>
  <c r="BB64" i="2"/>
  <c r="AQ54" i="2"/>
  <c r="AQ64" i="2"/>
  <c r="AM58" i="2"/>
  <c r="AM67" i="2"/>
  <c r="AZ58" i="2"/>
  <c r="AZ67" i="2"/>
  <c r="AP58" i="2"/>
  <c r="AP67" i="2"/>
  <c r="BJ54" i="2"/>
  <c r="BJ64" i="2"/>
  <c r="BH58" i="2"/>
  <c r="BH67" i="2"/>
  <c r="BG54" i="2"/>
  <c r="BG64" i="2"/>
  <c r="AR58" i="2"/>
  <c r="AR67" i="2"/>
  <c r="AN58" i="2"/>
  <c r="AN67" i="2"/>
  <c r="BD54" i="2"/>
  <c r="BD64" i="2"/>
  <c r="AX58" i="2"/>
  <c r="AX67" i="2"/>
  <c r="BI58" i="2"/>
  <c r="BI67" i="2"/>
  <c r="BK68" i="2"/>
  <c r="BK60" i="2"/>
  <c r="CP88" i="2" a="1"/>
  <c r="CP88" i="2" s="1"/>
  <c r="CK14" i="2"/>
  <c r="CL14" i="2"/>
  <c r="CM14" i="2"/>
  <c r="CN14" i="2"/>
  <c r="CP14" i="2"/>
  <c r="CO14" i="2"/>
  <c r="CQ14" i="2"/>
  <c r="CJ14" i="2"/>
  <c r="BK103" i="2" l="1"/>
  <c r="BK101" i="2"/>
  <c r="BK62" i="2"/>
  <c r="BK100" i="2"/>
  <c r="AR60" i="2"/>
  <c r="AR68" i="2"/>
  <c r="AS60" i="2"/>
  <c r="AS68" i="2"/>
  <c r="AO60" i="2"/>
  <c r="AO68" i="2"/>
  <c r="AX60" i="2"/>
  <c r="AX68" i="2"/>
  <c r="BG58" i="2"/>
  <c r="BG67" i="2"/>
  <c r="AZ60" i="2"/>
  <c r="AZ68" i="2"/>
  <c r="AW58" i="2"/>
  <c r="AW67" i="2"/>
  <c r="BF60" i="2"/>
  <c r="BF68" i="2"/>
  <c r="AV58" i="2"/>
  <c r="AV67" i="2"/>
  <c r="BB58" i="2"/>
  <c r="BB67" i="2"/>
  <c r="AP60" i="2"/>
  <c r="AP68" i="2"/>
  <c r="BD58" i="2"/>
  <c r="BD67" i="2"/>
  <c r="BH60" i="2"/>
  <c r="BH68" i="2"/>
  <c r="AM60" i="2"/>
  <c r="AM68" i="2"/>
  <c r="BE60" i="2"/>
  <c r="BE68" i="2"/>
  <c r="AT58" i="2"/>
  <c r="AT67" i="2"/>
  <c r="AU58" i="2"/>
  <c r="AU67" i="2"/>
  <c r="BI60" i="2"/>
  <c r="BI68" i="2"/>
  <c r="AN60" i="2"/>
  <c r="AN68" i="2"/>
  <c r="BJ58" i="2"/>
  <c r="BJ67" i="2"/>
  <c r="AQ58" i="2"/>
  <c r="AQ67" i="2"/>
  <c r="AY58" i="2"/>
  <c r="AY67" i="2"/>
  <c r="BC58" i="2"/>
  <c r="BC67" i="2"/>
  <c r="BA60" i="2"/>
  <c r="BA68" i="2"/>
  <c r="BK69" i="2"/>
  <c r="AN103" i="2" l="1"/>
  <c r="AN62" i="2"/>
  <c r="BE103" i="2"/>
  <c r="BE62" i="2"/>
  <c r="BE101" i="2"/>
  <c r="BE100" i="2"/>
  <c r="AP103" i="2"/>
  <c r="AP62" i="2"/>
  <c r="AO103" i="2"/>
  <c r="AO62" i="2"/>
  <c r="BI103" i="2"/>
  <c r="BI101" i="2"/>
  <c r="BI100" i="2"/>
  <c r="BI62" i="2"/>
  <c r="AM103" i="2"/>
  <c r="AM62" i="2"/>
  <c r="BH103" i="2"/>
  <c r="BH100" i="2"/>
  <c r="BH62" i="2"/>
  <c r="BH101" i="2"/>
  <c r="BF103" i="2"/>
  <c r="BF101" i="2"/>
  <c r="BF100" i="2"/>
  <c r="AZ103" i="2"/>
  <c r="AZ62" i="2"/>
  <c r="BA103" i="2"/>
  <c r="BA62" i="2"/>
  <c r="AX103" i="2"/>
  <c r="AX62" i="2"/>
  <c r="AR103" i="2"/>
  <c r="AR62" i="2"/>
  <c r="AS103" i="2"/>
  <c r="AS62" i="2"/>
  <c r="BJ60" i="2"/>
  <c r="BJ68" i="2"/>
  <c r="BA69" i="2"/>
  <c r="AN69" i="2"/>
  <c r="BE69" i="2"/>
  <c r="AP69" i="2"/>
  <c r="AW60" i="2"/>
  <c r="AW68" i="2"/>
  <c r="AO69" i="2"/>
  <c r="AX69" i="2"/>
  <c r="BD60" i="2"/>
  <c r="BD68" i="2"/>
  <c r="AY60" i="2"/>
  <c r="AY68" i="2"/>
  <c r="BI69" i="2"/>
  <c r="AM69" i="2"/>
  <c r="BB60" i="2"/>
  <c r="BB68" i="2"/>
  <c r="AZ69" i="2"/>
  <c r="AS69" i="2"/>
  <c r="AT60" i="2"/>
  <c r="AT68" i="2"/>
  <c r="BF62" i="2"/>
  <c r="BF69" i="2"/>
  <c r="BC60" i="2"/>
  <c r="BC68" i="2"/>
  <c r="AQ60" i="2"/>
  <c r="AQ68" i="2"/>
  <c r="AU60" i="2"/>
  <c r="AU68" i="2"/>
  <c r="BH69" i="2"/>
  <c r="AV60" i="2"/>
  <c r="AV68" i="2"/>
  <c r="BG60" i="2"/>
  <c r="BG68" i="2"/>
  <c r="AR69" i="2"/>
  <c r="BJ92" i="2"/>
  <c r="BK92" i="2"/>
  <c r="BG103" i="2" l="1"/>
  <c r="BG101" i="2"/>
  <c r="BG100" i="2"/>
  <c r="BG62" i="2"/>
  <c r="BC103" i="2"/>
  <c r="BC100" i="2"/>
  <c r="BC62" i="2"/>
  <c r="BC101" i="2"/>
  <c r="BB101" i="2"/>
  <c r="BB100" i="2"/>
  <c r="BJ103" i="2"/>
  <c r="BJ101" i="2"/>
  <c r="BJ62" i="2"/>
  <c r="BJ100" i="2"/>
  <c r="BD103" i="2"/>
  <c r="BD62" i="2"/>
  <c r="BD101" i="2"/>
  <c r="BD100" i="2"/>
  <c r="BB103" i="2"/>
  <c r="BB62" i="2"/>
  <c r="AY103" i="2"/>
  <c r="AY62" i="2"/>
  <c r="AT103" i="2"/>
  <c r="AT62" i="2"/>
  <c r="AQ103" i="2"/>
  <c r="AQ62" i="2"/>
  <c r="AU103" i="2"/>
  <c r="AU62" i="2"/>
  <c r="AV103" i="2"/>
  <c r="AV62" i="2"/>
  <c r="AW103" i="2"/>
  <c r="AW62" i="2"/>
  <c r="AU69" i="2"/>
  <c r="AQ69" i="2"/>
  <c r="AT69" i="2"/>
  <c r="BG69" i="2"/>
  <c r="AV69" i="2"/>
  <c r="BC69" i="2"/>
  <c r="AY69" i="2"/>
  <c r="AW69" i="2"/>
  <c r="BB69" i="2"/>
  <c r="BD69" i="2"/>
  <c r="BJ6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<sst xmlns="http://schemas.openxmlformats.org/spreadsheetml/2006/main" count="3294" uniqueCount="1742">
  <si>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</si>
  <si>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</si>
  <si>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</si>
  <si>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</si>
  <si>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</si>
  <si>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</si>
  <si>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</si>
  <si>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</si>
  <si>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</si>
  <si>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</si>
  <si>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</si>
  <si>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</si>
  <si>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</si>
  <si>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</si>
  <si>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</si>
  <si>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</si>
  <si>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</si>
  <si>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</si>
  <si>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</si>
  <si>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</si>
  <si>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</si>
  <si>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</si>
  <si>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</si>
  <si>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</si>
  <si>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</si>
  <si>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</si>
  <si>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</si>
  <si>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</si>
  <si>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</si>
  <si>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</si>
  <si>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</si>
  <si>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</si>
  <si>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</si>
  <si>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</si>
  <si>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</si>
  <si>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</si>
  <si>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</si>
  <si>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</si>
  <si>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</si>
  <si>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</si>
  <si>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</si>
  <si>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</si>
  <si>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</si>
  <si>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</si>
  <si>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</si>
  <si>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</si>
  <si>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</si>
  <si>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</si>
  <si>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</si>
  <si>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</si>
  <si>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</si>
  <si>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</si>
  <si>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</si>
  <si>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</si>
  <si>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U.S. Revenues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</si>
  <si>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</si>
  <si>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</si>
  <si>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</si>
  <si>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</si>
  <si>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</si>
  <si>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</si>
  <si>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</si>
  <si>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</si>
  <si>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</si>
  <si>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</si>
  <si>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</si>
  <si>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</si>
  <si>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</si>
  <si>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</si>
  <si>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</si>
  <si>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</si>
  <si>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</si>
  <si>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</si>
  <si>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</si>
  <si>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</si>
  <si>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</si>
  <si>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</si>
  <si>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</si>
  <si>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</si>
  <si>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</si>
  <si>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</si>
  <si>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</si>
  <si>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</si>
  <si>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</si>
  <si>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</si>
  <si>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</si>
  <si>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</si>
  <si>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</si>
  <si>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</si>
  <si>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</si>
  <si>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</si>
  <si>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</si>
  <si>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</si>
  <si>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</si>
  <si>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</si>
  <si>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</si>
  <si>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</si>
  <si>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</si>
  <si>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</si>
  <si>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</si>
  <si>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</si>
  <si>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</si>
  <si>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</si>
  <si>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</si>
  <si>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</si>
  <si>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</si>
  <si>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</si>
  <si>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</si>
  <si>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</si>
  <si>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</si>
  <si>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</si>
  <si>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</si>
  <si>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</si>
  <si>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</si>
  <si>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</si>
  <si>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</si>
  <si>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</si>
  <si>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</si>
  <si>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</si>
  <si>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</si>
  <si>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[Godel Snapshot of projected earnings/EPS + CFFO]</t>
  </si>
  <si>
    <t>VOO Historical Returns</t>
  </si>
  <si>
    <t>Cost of Equity</t>
  </si>
  <si>
    <t>Capital Structure</t>
  </si>
  <si>
    <t>Mkt Cap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</si>
  <si>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</si>
  <si>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</si>
  <si>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</si>
  <si>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</si>
  <si>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</si>
  <si>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</si>
  <si>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</si>
  <si>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</si>
  <si>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</si>
  <si>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</si>
  <si>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</si>
  <si>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</si>
  <si>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</si>
  <si>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</si>
  <si>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LT Debt / Equity</t>
  </si>
  <si>
    <t>Institutional Ownership Snapshot Q4'25</t>
  </si>
  <si>
    <t>General Notes/Observations (Updated Q1'26)</t>
  </si>
  <si>
    <t>Financial Stmts. Notes/Observations (Updated Q1'26)</t>
  </si>
  <si>
    <t>CFFO Margin</t>
  </si>
  <si>
    <t>FCF Margin</t>
  </si>
  <si>
    <t>CapEx as % of Revenue</t>
  </si>
  <si>
    <t>Q1'26</t>
  </si>
  <si>
    <t>ILMN</t>
  </si>
  <si>
    <t>Illumina, Inc. (ILMN)</t>
  </si>
  <si>
    <t>Founder(s): Larry Bock, John Stuelpnagel, David Walt, Mark Chee, and Anthony Czarnik</t>
  </si>
  <si>
    <t>Founded: April 1998</t>
  </si>
  <si>
    <t>Headquarters: San Diego, CA</t>
  </si>
  <si>
    <t>Current CEO: Jacob Thaysen</t>
  </si>
  <si>
    <t>Employees: 10,080</t>
  </si>
  <si>
    <t>Industry: Diagnostics &amp; Research</t>
  </si>
  <si>
    <t>Sector: Healthcare</t>
  </si>
  <si>
    <t>IPO: Jul 28, 2000 -- $500M valuation</t>
  </si>
  <si>
    <t>Fiscal Year: [January - December]</t>
  </si>
  <si>
    <t>Illumina, Inc. provides sequencing- and array-based solutions for genetic and genomic analysis in the Americas, Europe, Greater China, the Asia Pacific, the Middle East, and Africa</t>
  </si>
  <si>
    <t>Whole-genome sequencing kits, which sequence entire genomes of various size and complexity</t>
  </si>
  <si>
    <t>Targeted resequencing kits, which sequence exomes, specific genes, and RNA or other genomic regions of interest</t>
  </si>
  <si>
    <t>The Company offers sequencing- and array-based instruments and consumables, which include reagents, flow cells, and library preparation</t>
  </si>
  <si>
    <t>It also provides whole-genome sequencing, genotyping, noninvasive prenatal testing, and product support services</t>
  </si>
  <si>
    <t>The Company serves genomic research centers, academic institutions, government laboratories, and hospitals, as well as pharmaceutical, biotechnology, commercial molecular diagnostic laboratories, and consumer genomics companies</t>
  </si>
  <si>
    <t>The Company markets and distributes its products directly to customers, as well as through life-science distributors</t>
  </si>
  <si>
    <t>It also has a data partnership with Center for Data-Driven Discovery in Biomedicine to advance research in pediatric cancer and rare disease</t>
  </si>
  <si>
    <t>The Company has a collaboration with Labcorp Holdings Inc. for the development of oncology treatments through applications of sequencing solutions across the healthcare ecosystem</t>
  </si>
  <si>
    <t>Also strategic collaboration with Integrated DNA Technologies to enable a DRAGEN, secondary analysis pipeline for IDT xGena, FFPE and cfDNA next generation sequencing (NGS) library preparation with custom panels, delivering an integrated, end-to-end solution for somatic oncology research</t>
  </si>
  <si>
    <t>Illumina, Inc. was incorporated in 1998 and is headquartered in San Diego, California</t>
  </si>
  <si>
    <t>Registered Exchange: NASDAQ</t>
  </si>
  <si>
    <t>Address: 5200 Illumina Way San Diego, CA 92122 U.S.</t>
  </si>
  <si>
    <t>(858) 202 - 4500</t>
  </si>
  <si>
    <t>https://www.sec.gov/edgar/browse/?CIK=1110803&amp;owner=exclude</t>
  </si>
  <si>
    <t>https://www.illumina.com/</t>
  </si>
  <si>
    <t>https://investor.illumina.com/investors/default.aspx</t>
  </si>
  <si>
    <t>https://stockanalysis.com/stocks/ilmn/company/</t>
  </si>
  <si>
    <t>https://www.macrotrends.net/stocks/charts/ILMN/illumina/revenue</t>
  </si>
  <si>
    <t>https://www.gurufocus.com/term/wacc/ILMN</t>
  </si>
  <si>
    <t>Thu, 02 Jul 2026 00:00:00 GMT</t>
  </si>
  <si>
    <t>Wed, 01 Jul 2026 00:00:00 GMT</t>
  </si>
  <si>
    <t>Tue, 30 Jun 2026 00:00:00 GMT</t>
  </si>
  <si>
    <t>Mon, 29 Jun 2026 00:00:00 GMT</t>
  </si>
  <si>
    <t>Fri, 26 Jun 2026 00:00:00 GMT</t>
  </si>
  <si>
    <t>Thu, 25 Jun 2026 00:00:00 GMT</t>
  </si>
  <si>
    <t>Wed, 24 Jun 2026 00:00:00 GMT</t>
  </si>
  <si>
    <t>Tue, 23 Jun 2026 00:00:00 GMT</t>
  </si>
  <si>
    <t>Mon, 22 Jun 2026 00:00:00 GMT</t>
  </si>
  <si>
    <t>Thu, 18 Jun 2026 00:00:00 GMT</t>
  </si>
  <si>
    <t>Wed, 17 Jun 2026 00:00:00 GMT</t>
  </si>
  <si>
    <t>Tue, 16 Jun 2026 00:00:00 GMT</t>
  </si>
  <si>
    <t>Mon, 15 Jun 2026 00:00:00 GMT</t>
  </si>
  <si>
    <t>Fri, 12 Jun 2026 00:00:00 GMT</t>
  </si>
  <si>
    <t>Thu, 11 Jun 2026 00:00:00 GMT</t>
  </si>
  <si>
    <t>Wed, 10 Jun 2026 00:00:00 GMT</t>
  </si>
  <si>
    <t>Tue, 09 Jun 2026 00:00:00 GMT</t>
  </si>
  <si>
    <t>Mon, 08 Jun 2026 00:00:00 GMT</t>
  </si>
  <si>
    <t>Fri, 05 Jun 2026 00:00:00 GMT</t>
  </si>
  <si>
    <t>Thu, 04 Jun 2026 00:00:00 GMT</t>
  </si>
  <si>
    <t>Wed, 03 Jun 2026 00:00:00 GMT</t>
  </si>
  <si>
    <t>Tue, 02 Jun 2026 00:00:00 GMT</t>
  </si>
  <si>
    <t>Mon, 01 Jun 2026 00:00:00 GMT</t>
  </si>
  <si>
    <t>Fri, 29 May 2026 00:00:00 GMT</t>
  </si>
  <si>
    <t>Thu, 28 May 2026 00:00:00 GMT</t>
  </si>
  <si>
    <t>Wed, 27 May 2026 00:00:00 GMT</t>
  </si>
  <si>
    <t>Tue, 26 May 2026 00:00:00 GMT</t>
  </si>
  <si>
    <t>Fri, 22 May 2026 00:00:00 GMT</t>
  </si>
  <si>
    <t>Thu, 21 May 2026 00:00:00 GMT</t>
  </si>
  <si>
    <t>Wed, 20 May 2026 00:00:00 GMT</t>
  </si>
  <si>
    <t>Tue, 19 May 2026 00:00:00 GMT</t>
  </si>
  <si>
    <t>Mon, 18 May 2026 00:00:00 GMT</t>
  </si>
  <si>
    <t>Fri, 15 May 2026 00:00:00 GMT</t>
  </si>
  <si>
    <t>Thu, 14 May 2026 00:00:00 GMT</t>
  </si>
  <si>
    <t>Wed, 13 May 2026 00:00:00 GMT</t>
  </si>
  <si>
    <t>Tue, 12 May 2026 00:00:00 GMT</t>
  </si>
  <si>
    <t>Mon, 11 May 2026 00:00:00 GMT</t>
  </si>
  <si>
    <t>Fri, 08 May 2026 00:00:00 GMT</t>
  </si>
  <si>
    <t>Thu, 07 May 2026 00:00:00 GMT</t>
  </si>
  <si>
    <t>Wed, 06 May 2026 00:00:00 GMT</t>
  </si>
  <si>
    <t>Tue, 05 May 2026 00:00:00 GMT</t>
  </si>
  <si>
    <t>Mon, 04 May 2026 00:00:00 GMT</t>
  </si>
  <si>
    <t>Fri, 01 May 2026 00:00:00 GMT</t>
  </si>
  <si>
    <t>Thu, 30 Apr 2026 00:00:00 GMT</t>
  </si>
  <si>
    <t>Wed, 29 Apr 2026 00:00:00 GMT</t>
  </si>
  <si>
    <t>Tue, 28 Apr 2026 00:00:00 GMT</t>
  </si>
  <si>
    <t>Mon, 27 Apr 2026 00:00:00 GMT</t>
  </si>
  <si>
    <t>Fri, 24 Apr 2026 00:00:00 GMT</t>
  </si>
  <si>
    <t>Thu, 23 Apr 2026 00:00:00 GMT</t>
  </si>
  <si>
    <t>Wed, 22 Apr 2026 00:00:00 GMT</t>
  </si>
  <si>
    <t>Tue, 21 Apr 2026 00:00:00 GMT</t>
  </si>
  <si>
    <t>Mon, 20 Apr 2026 00:00:00 GMT</t>
  </si>
  <si>
    <t>Fri, 17 Apr 2026 00:00:00 GMT</t>
  </si>
  <si>
    <t>Thu, 16 Apr 2026 00:00:00 GMT</t>
  </si>
  <si>
    <t>Wed, 15 Apr 2026 00:00:00 GMT</t>
  </si>
  <si>
    <t>Tue, 14 Apr 2026 00:00:00 GMT</t>
  </si>
  <si>
    <t>Mon, 13 Apr 2026 00:00:00 GMT</t>
  </si>
  <si>
    <t>Fri, 10 Apr 2026 00:00:00 GMT</t>
  </si>
  <si>
    <t>Thu, 09 Apr 2026 00:00:00 GMT</t>
  </si>
  <si>
    <t>Wed, 08 Apr 2026 00:00:00 GMT</t>
  </si>
  <si>
    <t>Tue, 07 Apr 2026 00:00:00 GMT</t>
  </si>
  <si>
    <t>Mon, 06 Apr 2026 00:00:00 GMT</t>
  </si>
  <si>
    <t>Thu, 02 Apr 2026 00:00:00 GMT</t>
  </si>
  <si>
    <t>Wed, 01 Apr 2026 00:00:00 GMT</t>
  </si>
  <si>
    <t>Tue, 31 Mar 2026 00:00:00 GMT</t>
  </si>
  <si>
    <t>Mon, 30 Mar 2026 00:00:00 GMT</t>
  </si>
  <si>
    <t>Fri, 27 Mar 2026 00:00:00 GMT</t>
  </si>
  <si>
    <t>Thu, 26 Mar 2026 00:00:00 GMT</t>
  </si>
  <si>
    <t>Wed, 25 Mar 2026 00:00:00 GMT</t>
  </si>
  <si>
    <t>Tue, 24 Mar 2026 00:00:00 GMT</t>
  </si>
  <si>
    <t>Mon, 23 Mar 2026 00:00:00 GMT</t>
  </si>
  <si>
    <t>Fri, 20 Mar 2026 00:00:00 GMT</t>
  </si>
  <si>
    <t>Thu, 19 Mar 2026 00:00:00 GMT</t>
  </si>
  <si>
    <t>Wed, 18 Mar 2026 00:00:00 GMT</t>
  </si>
  <si>
    <t>Tue, 17 Mar 2026 00:00:00 GMT</t>
  </si>
  <si>
    <t>Mon, 16 Mar 2026 00:00:00 GMT</t>
  </si>
  <si>
    <t>Fri, 13 Mar 2026 00:00:00 GMT</t>
  </si>
  <si>
    <t>Thu, 12 Mar 2026 00:00:00 GMT</t>
  </si>
  <si>
    <t>Wed, 11 Mar 2026 00:00:00 GMT</t>
  </si>
  <si>
    <t>Tue, 10 Mar 2026 00:00:00 GMT</t>
  </si>
  <si>
    <t>Mon, 09 Mar 2026 00:00:00 GMT</t>
  </si>
  <si>
    <t>Fri, 06 Mar 2026 00:00:00 GMT</t>
  </si>
  <si>
    <t>Thu, 05 Mar 2026 00:00:00 GMT</t>
  </si>
  <si>
    <t>Wed, 04 Mar 2026 00:00:00 GMT</t>
  </si>
  <si>
    <t>Tue, 03 Mar 2026 00:00:00 GMT</t>
  </si>
  <si>
    <t>Mon, 02 Mar 2026 00:00:00 GMT</t>
  </si>
  <si>
    <t>Fri, 27 Feb 2026 00:00:00 GMT</t>
  </si>
  <si>
    <t>Thu, 26 Feb 2026 00:00:00 GMT</t>
  </si>
  <si>
    <t>Wed, 25 Feb 2026 00:00:00 GMT</t>
  </si>
  <si>
    <t>Tue, 24 Feb 2026 00:00:00 GMT</t>
  </si>
  <si>
    <t>Mon, 23 Feb 2026 00:00:00 GMT</t>
  </si>
  <si>
    <t>Fri, 20 Feb 2026 00:00:00 GMT</t>
  </si>
  <si>
    <t>Thu, 19 Feb 2026 00:00:00 GMT</t>
  </si>
  <si>
    <t>Wed, 18 Feb 2026 00:00:00 GMT</t>
  </si>
  <si>
    <t>Tue, 17 Feb 2026 00:00:00 GMT</t>
  </si>
  <si>
    <t>Fri, 13 Feb 2026 00:00:00 GMT</t>
  </si>
  <si>
    <t>Thu, 12 Feb 2026 00:00:00 GMT</t>
  </si>
  <si>
    <t>Wed, 11 Feb 2026 00:00:00 GMT</t>
  </si>
  <si>
    <t>Tue, 10 Feb 2026 00:00:00 GMT</t>
  </si>
  <si>
    <t>Mon, 09 Feb 2026 00:00:00 GMT</t>
  </si>
  <si>
    <t>Fri, 06 Feb 2026 00:00:00 GMT</t>
  </si>
  <si>
    <t>Thu, 05 Feb 2026 00:00:00 GMT</t>
  </si>
  <si>
    <t>Wed, 04 Feb 2026 00:00:00 GMT</t>
  </si>
  <si>
    <t>Tue, 03 Feb 2026 00:00:00 GMT</t>
  </si>
  <si>
    <t>Mon, 02 Feb 2026 00:00:00 GMT</t>
  </si>
  <si>
    <t>Fri, 30 Jan 2026 00:00:00 GMT</t>
  </si>
  <si>
    <t>Thu, 29 Jan 2026 00:00:00 GMT</t>
  </si>
  <si>
    <t>Wed, 28 Jan 2026 00:00:00 GMT</t>
  </si>
  <si>
    <t>Tue, 27 Jan 2026 00:00:00 GMT</t>
  </si>
  <si>
    <t>Mon, 26 Jan 2026 00:00:00 GMT</t>
  </si>
  <si>
    <t>Fri, 23 Jan 2026 00:00:00 GMT</t>
  </si>
  <si>
    <t>Thu, 22 Jan 2026 00:00:00 GMT</t>
  </si>
  <si>
    <t>Wed, 21 Jan 2026 00:00:00 GMT</t>
  </si>
  <si>
    <t>Tue, 20 Jan 2026 00:00:00 GMT</t>
  </si>
  <si>
    <t>Fri, 16 Jan 2026 00:00:00 GMT</t>
  </si>
  <si>
    <t>Thu, 15 Jan 2026 00:00:00 GMT</t>
  </si>
  <si>
    <t>Wed, 14 Jan 2026 00:00:00 GMT</t>
  </si>
  <si>
    <t>Tue, 13 Jan 2026 00:00:00 GMT</t>
  </si>
  <si>
    <t>Mon, 12 Jan 2026 00:00:00 GMT</t>
  </si>
  <si>
    <t>Fri, 09 Jan 2026 00:00:00 GMT</t>
  </si>
  <si>
    <t>Thu, 08 Jan 2026 00:00:00 GMT</t>
  </si>
  <si>
    <t>Wed, 07 Jan 2026 00:00:00 GMT</t>
  </si>
  <si>
    <t>Tue, 06 Jan 2026 00:00:00 GMT</t>
  </si>
  <si>
    <t>Mon, 05 Jan 2026 00:00:00 GMT</t>
  </si>
  <si>
    <t>Fri, 02 Jan 2026 00:00:00 GMT</t>
  </si>
  <si>
    <t>Wed, 31 Dec 2025 00:00:00 GMT</t>
  </si>
  <si>
    <t>Tue, 30 Dec 2025 00:00:00 GMT</t>
  </si>
  <si>
    <t>Mon, 29 Dec 2025 00:00:00 GMT</t>
  </si>
  <si>
    <t>Fri, 26 Dec 2025 00:00:00 GMT</t>
  </si>
  <si>
    <t>Wed, 24 Dec 2025 00:00:00 GMT</t>
  </si>
  <si>
    <t>Tue, 23 Dec 2025 00:00:00 GMT</t>
  </si>
  <si>
    <t>Mon, 22 Dec 2025 00:00:00 GMT</t>
  </si>
  <si>
    <t>Fri, 19 Dec 2025 00:00:00 GMT</t>
  </si>
  <si>
    <t>Thu, 18 Dec 2025 00:00:00 GMT</t>
  </si>
  <si>
    <t>Wed, 17 Dec 2025 00:00:00 GMT</t>
  </si>
  <si>
    <t>Tue, 16 Dec 2025 00:00:00 GMT</t>
  </si>
  <si>
    <t>Mon, 15 Dec 2025 00:00:00 GMT</t>
  </si>
  <si>
    <t>Fri, 12 Dec 2025 00:00:00 GMT</t>
  </si>
  <si>
    <t>Thu, 11 Dec 2025 00:00:00 GMT</t>
  </si>
  <si>
    <t>Wed, 10 Dec 2025 00:00:00 GMT</t>
  </si>
  <si>
    <t>Tue, 09 Dec 2025 00:00:00 GMT</t>
  </si>
  <si>
    <t>Mon, 08 Dec 2025 00:00:00 GMT</t>
  </si>
  <si>
    <t>Fri, 05 Dec 2025 00:00:00 GMT</t>
  </si>
  <si>
    <t>Thu, 04 Dec 2025 00:00:00 GMT</t>
  </si>
  <si>
    <t>Wed, 03 Dec 2025 00:00:00 GMT</t>
  </si>
  <si>
    <t>Tue, 02 Dec 2025 00:00:00 GMT</t>
  </si>
  <si>
    <t>Mon, 01 Dec 2025 00:00:00 GMT</t>
  </si>
  <si>
    <t>Fri, 28 Nov 2025 00:00:00 GMT</t>
  </si>
  <si>
    <t>Wed, 26 Nov 2025 00:00:00 GMT</t>
  </si>
  <si>
    <t>Tue, 25 Nov 2025 00:00:00 GMT</t>
  </si>
  <si>
    <t>Mon, 24 Nov 2025 00:00:00 GMT</t>
  </si>
  <si>
    <t>Fri, 21 Nov 2025 00:00:00 GMT</t>
  </si>
  <si>
    <t>Thu, 20 Nov 2025 00:00:00 GMT</t>
  </si>
  <si>
    <t>Wed, 19 Nov 2025 00:00:00 GMT</t>
  </si>
  <si>
    <t>Tue, 18 Nov 2025 00:00:00 GMT</t>
  </si>
  <si>
    <t>Mon, 17 Nov 2025 00:00:00 GMT</t>
  </si>
  <si>
    <t>Fri, 14 Nov 2025 00:00:00 GMT</t>
  </si>
  <si>
    <t>Thu, 13 Nov 2025 00:00:00 GMT</t>
  </si>
  <si>
    <t>Wed, 12 Nov 2025 00:00:00 GMT</t>
  </si>
  <si>
    <t>Tue, 11 Nov 2025 00:00:00 GMT</t>
  </si>
  <si>
    <t>Mon, 10 Nov 2025 00:00:00 GMT</t>
  </si>
  <si>
    <t>Fri, 07 Nov 2025 00:00:00 GMT</t>
  </si>
  <si>
    <t>Thu, 06 Nov 2025 00:00:00 GMT</t>
  </si>
  <si>
    <t>Wed, 05 Nov 2025 00:00:00 GMT</t>
  </si>
  <si>
    <t>Tue, 04 Nov 2025 00:00:00 GMT</t>
  </si>
  <si>
    <t>Mon, 03 Nov 2025 00:00:00 GMT</t>
  </si>
  <si>
    <t>Fri, 31 Oct 2025 00:00:00 GMT</t>
  </si>
  <si>
    <t>Thu, 30 Oct 2025 00:00:00 GMT</t>
  </si>
  <si>
    <t>Wed, 29 Oct 2025 00:00:00 GMT</t>
  </si>
  <si>
    <t>Tue, 28 Oct 2025 00:00:00 GMT</t>
  </si>
  <si>
    <t>Mon, 27 Oct 2025 00:00:00 GMT</t>
  </si>
  <si>
    <t>Fri, 24 Oct 2025 00:00:00 GMT</t>
  </si>
  <si>
    <t>Thu, 23 Oct 2025 00:00:00 GMT</t>
  </si>
  <si>
    <t>Wed, 22 Oct 2025 00:00:00 GMT</t>
  </si>
  <si>
    <t>Tue, 21 Oct 2025 00:00:00 GMT</t>
  </si>
  <si>
    <t>Mon, 20 Oct 2025 00:00:00 GMT</t>
  </si>
  <si>
    <t>Fri, 17 Oct 2025 00:00:00 GMT</t>
  </si>
  <si>
    <t>Thu, 16 Oct 2025 00:00:00 GMT</t>
  </si>
  <si>
    <t>Wed, 15 Oct 2025 00:00:00 GMT</t>
  </si>
  <si>
    <t>Tue, 14 Oct 2025 00:00:00 GMT</t>
  </si>
  <si>
    <t>Mon, 13 Oct 2025 00:00:00 GMT</t>
  </si>
  <si>
    <t>Fri, 10 Oct 2025 00:00:00 GMT</t>
  </si>
  <si>
    <t>Thu, 09 Oct 2025 00:00:00 GMT</t>
  </si>
  <si>
    <t>Wed, 08 Oct 2025 00:00:00 GMT</t>
  </si>
  <si>
    <t>Tue, 07 Oct 2025 00:00:00 GMT</t>
  </si>
  <si>
    <t>Mon, 06 Oct 2025 00:00:00 GMT</t>
  </si>
  <si>
    <t>Fri, 03 Oct 2025 00:00:00 GMT</t>
  </si>
  <si>
    <t>Thu, 02 Oct 2025 00:00:00 GMT</t>
  </si>
  <si>
    <t>Wed, 01 Oct 2025 00:00:00 GMT</t>
  </si>
  <si>
    <t>Tue, 30 Sep 2025 00:00:00 GMT</t>
  </si>
  <si>
    <t>Mon, 29 Sep 2025 00:00:00 GMT</t>
  </si>
  <si>
    <t>Fri, 26 Sep 2025 00:00:00 GMT</t>
  </si>
  <si>
    <t>Thu, 25 Sep 2025 00:00:00 GMT</t>
  </si>
  <si>
    <t>Wed, 24 Sep 2025 00:00:00 GMT</t>
  </si>
  <si>
    <t>Tue, 23 Sep 2025 00:00:00 GMT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</si>
  <si>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</si>
  <si>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</si>
  <si>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</si>
  <si>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</si>
  <si>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</si>
  <si>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</si>
  <si>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</si>
  <si>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</si>
  <si>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</si>
  <si>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</si>
  <si>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</si>
  <si>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</si>
  <si>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</si>
  <si>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</si>
  <si>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</si>
  <si>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</si>
  <si>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</si>
  <si>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</si>
  <si>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</si>
  <si>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</si>
  <si>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</si>
  <si>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</si>
  <si>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</si>
  <si>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</si>
  <si>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</si>
  <si>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</si>
  <si>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</si>
  <si>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</si>
  <si>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</si>
  <si>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</si>
  <si>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</si>
  <si>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</si>
  <si>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</si>
  <si>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</si>
  <si>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</si>
  <si>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</si>
  <si>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</si>
  <si>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</si>
  <si>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</si>
  <si>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</si>
  <si>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</si>
  <si>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</si>
  <si>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</si>
  <si>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</si>
  <si>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</si>
  <si>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</si>
  <si>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</si>
  <si>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</si>
  <si>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</si>
  <si>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</si>
  <si>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</si>
  <si>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</si>
  <si>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</si>
  <si>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</si>
  <si>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</si>
  <si>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</si>
  <si>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</si>
  <si>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</si>
  <si>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</si>
  <si>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</si>
  <si>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</si>
  <si>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</si>
  <si>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</si>
  <si>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</si>
  <si>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</si>
  <si>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</si>
  <si>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</si>
  <si>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</si>
  <si>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</si>
  <si>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</si>
  <si>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</si>
  <si>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</si>
  <si>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</si>
  <si>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</si>
  <si>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</si>
  <si>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</si>
  <si>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</si>
  <si>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</si>
  <si>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</si>
  <si>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</si>
  <si>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</si>
  <si>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</si>
  <si>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</si>
  <si>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</si>
  <si>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</si>
  <si>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</si>
  <si>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</si>
  <si>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</si>
  <si>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</si>
  <si>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</si>
  <si>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</si>
  <si>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</si>
  <si>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</si>
  <si>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</si>
  <si>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</si>
  <si>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</si>
  <si>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</si>
  <si>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</si>
  <si>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</si>
  <si>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</si>
  <si>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</si>
  <si>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</si>
  <si>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</si>
  <si>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</si>
  <si>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</si>
  <si>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</si>
  <si>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</si>
  <si>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</si>
  <si>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</si>
  <si>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</si>
  <si>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</si>
  <si>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</si>
  <si>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</si>
  <si>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</si>
  <si>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</si>
  <si>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</si>
  <si>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</si>
  <si>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</si>
  <si>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</si>
  <si>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</si>
  <si>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</si>
  <si>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</si>
  <si>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</si>
  <si>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</si>
  <si>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</si>
  <si>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</si>
  <si>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</si>
  <si>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</si>
  <si>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</si>
  <si>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</si>
  <si>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</si>
  <si>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</si>
  <si>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</si>
  <si>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</si>
  <si>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</si>
  <si>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</si>
  <si>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</si>
  <si>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</si>
  <si>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</si>
  <si>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</si>
  <si>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</si>
  <si>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</si>
  <si>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</si>
  <si>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</si>
  <si>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</si>
  <si>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</si>
  <si>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</si>
  <si>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</si>
  <si>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</si>
  <si>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</si>
  <si>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</si>
  <si>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</si>
  <si>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</si>
  <si>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</si>
  <si>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</si>
  <si>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</si>
  <si>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</si>
  <si>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</si>
  <si>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</si>
  <si>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</si>
  <si>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</si>
  <si>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</si>
  <si>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</si>
  <si>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</si>
  <si>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</si>
  <si>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</si>
  <si>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</si>
  <si>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</si>
  <si>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</si>
  <si>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</si>
  <si>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</si>
  <si>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</si>
  <si>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</si>
  <si>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</si>
  <si>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</si>
  <si>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</si>
  <si>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</si>
  <si>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</si>
  <si>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</si>
  <si>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</si>
  <si>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</si>
  <si>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</si>
  <si>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</si>
  <si>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</si>
  <si>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</si>
  <si>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</si>
  <si>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</si>
  <si>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</si>
  <si>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</si>
  <si>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</si>
  <si>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</si>
  <si>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</si>
  <si>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</si>
  <si>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</si>
  <si>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</si>
  <si>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</si>
  <si>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</si>
  <si>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</si>
  <si>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</si>
  <si>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</si>
  <si>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</si>
  <si>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</si>
  <si>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</si>
  <si>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</si>
  <si>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</si>
  <si>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</si>
  <si>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</si>
  <si>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</si>
  <si>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</si>
  <si>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</si>
  <si>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</si>
  <si>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</si>
  <si>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</si>
  <si>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</si>
  <si>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</si>
  <si>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</si>
  <si>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</si>
  <si>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</si>
  <si>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</si>
  <si>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</si>
  <si>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</si>
  <si>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</si>
  <si>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</si>
  <si>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</si>
  <si>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</si>
  <si>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</si>
  <si>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</si>
  <si>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</si>
  <si>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</si>
  <si>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</si>
  <si>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</si>
  <si>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</si>
  <si>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</si>
  <si>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</si>
  <si>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</si>
  <si>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</si>
  <si>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</si>
  <si>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</si>
  <si>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</si>
  <si>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</si>
  <si>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</si>
  <si>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</si>
  <si>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</si>
  <si>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</si>
  <si>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</si>
  <si>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</si>
  <si>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</si>
  <si>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</si>
  <si>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</si>
  <si>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</si>
  <si>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</si>
  <si>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</si>
  <si>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</si>
  <si>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</si>
  <si>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</si>
  <si>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</si>
  <si>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</si>
  <si>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</si>
  <si>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</si>
  <si>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</si>
  <si>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</si>
  <si>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</si>
  <si>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</si>
  <si>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</si>
  <si>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</si>
  <si>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</si>
  <si>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</si>
  <si>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</si>
  <si>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</si>
  <si>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</si>
  <si>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</si>
  <si>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</si>
  <si>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</si>
  <si>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</si>
  <si>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</si>
  <si>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</si>
  <si>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</si>
  <si>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</si>
  <si>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</si>
  <si>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</si>
  <si>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</si>
  <si>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</si>
  <si>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</si>
  <si>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</si>
  <si>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</si>
  <si>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</si>
  <si>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</si>
  <si>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</si>
  <si>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</si>
  <si>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</si>
  <si>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</si>
  <si>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</si>
  <si>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</si>
  <si>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</si>
  <si>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</si>
  <si>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</si>
  <si>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</si>
  <si>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</si>
  <si>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</si>
  <si>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</si>
  <si>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</si>
  <si>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</si>
  <si>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</si>
  <si>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</si>
  <si>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</si>
  <si>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</si>
  <si>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</si>
  <si>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</si>
  <si>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</si>
  <si>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</si>
  <si>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</si>
  <si>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</si>
  <si>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</si>
  <si>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</si>
  <si>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</si>
  <si>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</si>
  <si>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</si>
  <si>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</si>
  <si>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</si>
  <si>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</si>
  <si>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</si>
  <si>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</si>
  <si>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</si>
  <si>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</si>
  <si>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</si>
  <si>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</si>
  <si>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</si>
  <si>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</si>
  <si>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</si>
  <si>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</si>
  <si>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</si>
  <si>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</si>
  <si>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</si>
  <si>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</si>
  <si>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</si>
  <si>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</si>
  <si>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</si>
  <si>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</si>
  <si>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</si>
  <si>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</si>
  <si>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</si>
  <si>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</si>
  <si>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</si>
  <si>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</si>
  <si>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</si>
  <si>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</si>
  <si>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</si>
  <si>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</si>
  <si>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</si>
  <si>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</si>
  <si>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</si>
  <si>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</si>
  <si>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</si>
  <si>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</si>
  <si>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</si>
  <si>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</si>
  <si>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</si>
  <si>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</si>
  <si>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</si>
  <si>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</si>
  <si>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</si>
  <si>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</si>
  <si>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</si>
  <si>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</si>
  <si>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</si>
  <si>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</si>
  <si>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</si>
  <si>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</si>
  <si>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</si>
  <si>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</si>
  <si>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</si>
  <si>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</si>
  <si>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</si>
  <si>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</si>
  <si>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</si>
  <si>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</si>
  <si>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</si>
  <si>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</si>
  <si>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</si>
  <si>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</si>
  <si>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</si>
  <si>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</si>
  <si>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</si>
  <si>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</si>
  <si>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</si>
  <si>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</si>
  <si>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</si>
  <si>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</si>
  <si>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</si>
  <si>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</si>
  <si>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</si>
  <si>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</si>
  <si>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</si>
  <si>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</si>
  <si>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</si>
  <si>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</si>
  <si>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</si>
  <si>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</si>
  <si>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</si>
  <si>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</si>
  <si>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</si>
  <si>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</si>
  <si>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</si>
  <si>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</si>
  <si>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</si>
  <si>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</si>
  <si>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</si>
  <si>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</si>
  <si>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</si>
  <si>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</si>
  <si>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</si>
  <si>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</si>
  <si>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</si>
  <si>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</si>
  <si>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</si>
  <si>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</si>
  <si>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</si>
  <si>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</si>
  <si>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</si>
  <si>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</si>
  <si>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</si>
  <si>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</si>
  <si>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</si>
  <si>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</si>
  <si>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</si>
  <si>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</si>
  <si>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</si>
  <si>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</si>
  <si>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</si>
  <si>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</si>
  <si>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</si>
  <si>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</si>
  <si>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</si>
  <si>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</si>
  <si>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</si>
  <si>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</si>
  <si>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</si>
  <si>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</si>
  <si>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</si>
  <si>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</si>
  <si>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</si>
  <si>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</si>
  <si>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</si>
  <si>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</si>
  <si>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</si>
  <si>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</si>
  <si>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</si>
  <si>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</si>
  <si>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</si>
  <si>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</si>
  <si>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</si>
  <si>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</si>
  <si>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</si>
  <si>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</si>
  <si>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</si>
  <si>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</si>
  <si>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</si>
  <si>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</si>
  <si>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</si>
  <si>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</si>
  <si>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</si>
  <si>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</si>
  <si>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</si>
  <si>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</si>
  <si>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</si>
  <si>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</si>
  <si>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</si>
  <si>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</si>
  <si>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</si>
  <si>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</si>
  <si>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</si>
  <si>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</si>
  <si>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</si>
  <si>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</si>
  <si>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</si>
  <si>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</si>
  <si>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</si>
  <si>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</si>
  <si>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</si>
  <si>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</si>
  <si>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</si>
  <si>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</si>
  <si>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</si>
  <si>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</si>
  <si>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</si>
  <si>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</si>
  <si>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</si>
  <si>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</si>
  <si>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</si>
  <si>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</si>
  <si>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</si>
  <si>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</si>
  <si>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</si>
  <si>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</si>
  <si>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</si>
  <si>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</si>
  <si>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</si>
  <si>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</si>
  <si>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</si>
  <si>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</si>
  <si>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</si>
  <si>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</si>
  <si>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</si>
  <si>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</si>
  <si>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</si>
  <si>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</si>
  <si>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</si>
  <si>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</si>
  <si>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</si>
  <si>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</si>
  <si>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</si>
  <si>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</si>
  <si>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</si>
  <si>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</si>
  <si>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</si>
  <si>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</si>
  <si>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</si>
  <si>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</si>
  <si>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</si>
  <si>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</si>
  <si>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</si>
  <si>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</si>
  <si>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</si>
  <si>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</si>
  <si>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</si>
  <si>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</si>
  <si>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</si>
  <si>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</si>
  <si>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</si>
  <si>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</si>
  <si>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</si>
  <si>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</si>
  <si>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</si>
  <si>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</si>
  <si>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</si>
  <si>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</si>
  <si>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</si>
  <si>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</si>
  <si>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</si>
  <si>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</si>
  <si>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</si>
  <si>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</si>
  <si>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</si>
  <si>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</si>
  <si>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</si>
  <si>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</si>
  <si>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</si>
  <si>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</si>
  <si>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</si>
  <si>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</si>
  <si>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</si>
  <si>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</si>
  <si>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</si>
  <si>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</si>
  <si>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</si>
  <si>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</si>
  <si>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</si>
  <si>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</si>
  <si>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</si>
  <si>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</si>
  <si>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</si>
  <si>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</si>
  <si>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</si>
  <si>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</si>
  <si>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</si>
  <si>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</si>
  <si>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</si>
  <si>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</si>
  <si>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</si>
  <si>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</si>
  <si>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</si>
  <si>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</si>
  <si>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</si>
  <si>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</si>
  <si>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</si>
  <si>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</si>
  <si>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</si>
  <si>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</si>
  <si>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</si>
  <si>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</si>
  <si>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</si>
  <si>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</si>
  <si>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</si>
  <si>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</si>
  <si>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</si>
  <si>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</si>
  <si>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</si>
  <si>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</si>
  <si>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</si>
  <si>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</si>
  <si>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</si>
  <si>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</si>
  <si>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</si>
  <si>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</si>
  <si>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</si>
  <si>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</si>
  <si>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</si>
  <si>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</si>
  <si>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</si>
  <si>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</si>
  <si>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</si>
  <si>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</si>
  <si>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</si>
  <si>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</si>
  <si>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</si>
  <si>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</si>
  <si>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</si>
  <si>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</si>
  <si>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</si>
  <si>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</si>
  <si>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</si>
  <si>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</si>
  <si>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</si>
  <si>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</si>
  <si>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</si>
  <si>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</si>
  <si>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</si>
  <si>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</si>
  <si>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</si>
  <si>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</si>
  <si>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</si>
  <si>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</si>
  <si>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</si>
  <si>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</si>
  <si>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</si>
  <si>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</si>
  <si>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</si>
  <si>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</si>
  <si>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</si>
  <si>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</si>
  <si>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</si>
  <si>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</si>
  <si>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</si>
  <si>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</si>
  <si>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</si>
  <si>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</si>
  <si>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</si>
  <si>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</si>
  <si>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</si>
  <si>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</si>
  <si>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</si>
  <si>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</si>
  <si>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</si>
  <si>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</si>
  <si>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</si>
  <si>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</si>
  <si>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</si>
  <si>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</si>
  <si>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</si>
  <si>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</si>
  <si>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</si>
  <si>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</si>
  <si>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</si>
  <si>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</si>
  <si>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</si>
  <si>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</si>
  <si>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</si>
  <si>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</si>
  <si>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</si>
  <si>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</si>
  <si>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</si>
  <si>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</si>
  <si>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</si>
  <si>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</si>
  <si>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</si>
  <si>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</si>
  <si>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</si>
  <si>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</si>
  <si>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</si>
  <si>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</si>
  <si>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</si>
  <si>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</si>
  <si>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</si>
  <si>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</si>
  <si>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</si>
  <si>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</si>
  <si>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</si>
  <si>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</si>
  <si>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</si>
  <si>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</si>
  <si>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</si>
  <si>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</si>
  <si>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</si>
  <si>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</si>
  <si>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</si>
  <si>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</si>
  <si>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</si>
  <si>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</si>
  <si>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</si>
  <si>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</si>
  <si>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</si>
  <si>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</si>
  <si>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</si>
  <si>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</si>
  <si>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</si>
  <si>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</si>
  <si>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</si>
  <si>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</si>
  <si>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</si>
  <si>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</si>
  <si>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</si>
  <si>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</si>
  <si>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</si>
  <si>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</si>
  <si>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</si>
  <si>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</si>
  <si>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</si>
  <si>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</si>
  <si>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</si>
  <si>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</si>
  <si>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</si>
  <si>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</si>
  <si>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</si>
  <si>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</si>
  <si>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</si>
  <si>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</si>
  <si>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</si>
  <si>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</si>
  <si>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</si>
  <si>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</si>
  <si>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</si>
  <si>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</si>
  <si>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</si>
  <si>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</si>
  <si>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</si>
  <si>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</si>
  <si>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</si>
  <si>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</si>
  <si>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</si>
  <si>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</si>
  <si>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</si>
  <si>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</si>
  <si>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</si>
  <si>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</si>
  <si>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</si>
  <si>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</si>
  <si>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</si>
  <si>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</si>
  <si>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</si>
  <si>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</si>
  <si>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</si>
  <si>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</si>
  <si>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</si>
  <si>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</si>
  <si>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</si>
  <si>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</si>
  <si>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</si>
  <si>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</si>
  <si>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</si>
  <si>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</si>
  <si>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</si>
  <si>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</si>
  <si>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</si>
  <si>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</si>
  <si>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</si>
  <si>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</si>
  <si>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</si>
  <si>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</si>
  <si>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</si>
  <si>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</si>
  <si>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</si>
  <si>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</si>
  <si>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</si>
  <si>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</si>
  <si>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</si>
  <si>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</si>
  <si>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</si>
  <si>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</si>
  <si>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</si>
  <si>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</si>
  <si>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</si>
  <si>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</si>
  <si>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</si>
  <si>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</si>
  <si>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</si>
  <si>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</si>
  <si>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</si>
  <si>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</si>
  <si>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</si>
  <si>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</si>
  <si>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</si>
  <si>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</si>
  <si>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</si>
  <si>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</si>
  <si>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</si>
  <si>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</si>
  <si>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</si>
  <si>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</si>
  <si>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</si>
  <si>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</si>
  <si>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</si>
  <si>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</si>
  <si>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</si>
  <si>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</si>
  <si>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</si>
  <si>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</si>
  <si>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</si>
  <si>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</si>
  <si>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</si>
  <si>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</si>
  <si>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</si>
  <si>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</si>
  <si>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</si>
  <si>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</si>
  <si>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</si>
  <si>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</si>
  <si>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</si>
  <si>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</si>
  <si>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</si>
  <si>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</si>
  <si>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</si>
  <si>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</si>
  <si>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</si>
  <si>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</si>
  <si>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</si>
  <si>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</si>
  <si>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</si>
  <si>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</si>
  <si>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</si>
  <si>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</si>
  <si>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</si>
  <si>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</si>
  <si>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</si>
  <si>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</si>
  <si>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</si>
  <si>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</si>
  <si>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</si>
  <si>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</si>
  <si>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</si>
  <si>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</si>
  <si>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</si>
  <si>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</si>
  <si>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</si>
  <si>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</si>
  <si>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</si>
  <si>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</si>
  <si>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</si>
  <si>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</si>
  <si>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</si>
  <si>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</si>
  <si>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</si>
  <si>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</si>
  <si>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</si>
  <si>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</si>
  <si>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</si>
  <si>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</si>
  <si>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</si>
  <si>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</si>
  <si>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</si>
  <si>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</si>
  <si>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</si>
  <si>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</si>
  <si>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</si>
  <si>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</si>
  <si>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</si>
  <si>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</si>
  <si>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</si>
  <si>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</si>
  <si>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</si>
  <si>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</si>
  <si>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</si>
  <si>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</si>
  <si>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</si>
  <si>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</si>
  <si>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</si>
  <si>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</si>
  <si>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</si>
  <si>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</si>
  <si>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</si>
  <si>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</si>
  <si>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</si>
  <si>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</si>
  <si>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</si>
  <si>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</si>
  <si>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</si>
  <si>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</si>
  <si>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</si>
  <si>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</si>
  <si>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</si>
  <si>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</si>
  <si>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</si>
  <si>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</si>
  <si>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</si>
  <si>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</si>
  <si>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</si>
  <si>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</si>
  <si>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</si>
  <si>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</si>
  <si>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</si>
  <si>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</si>
  <si>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</si>
  <si>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</si>
  <si>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</si>
  <si>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</si>
  <si>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</si>
  <si>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</si>
  <si>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</si>
  <si>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</si>
  <si>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</si>
  <si>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</si>
  <si>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</si>
  <si>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</si>
  <si>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</si>
  <si>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</si>
  <si>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</si>
  <si>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</si>
  <si>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</si>
  <si>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</si>
  <si>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</si>
  <si>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</si>
  <si>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</si>
  <si>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</si>
  <si>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</si>
  <si>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</si>
  <si>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</si>
  <si>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</si>
  <si>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</si>
  <si>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</si>
  <si>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</si>
  <si>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</si>
  <si>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</si>
  <si>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</si>
  <si>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</si>
  <si>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</si>
  <si>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</si>
  <si>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</si>
  <si>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</si>
  <si>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</si>
  <si>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</si>
  <si>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</si>
  <si>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</si>
  <si>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</si>
  <si>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</si>
  <si>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</si>
  <si>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</si>
  <si>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</si>
  <si>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</si>
  <si>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</si>
  <si>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</si>
  <si>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</si>
  <si>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</si>
  <si>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</si>
  <si>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</si>
  <si>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</si>
  <si>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</si>
  <si>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</si>
  <si>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</si>
  <si>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</si>
  <si>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</si>
  <si>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</si>
  <si>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</si>
  <si>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</si>
  <si>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</si>
  <si>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</si>
  <si>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</si>
  <si>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</si>
  <si>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</si>
  <si>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</si>
  <si>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</si>
  <si>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</si>
  <si>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</si>
  <si>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</si>
  <si>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</si>
  <si>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</si>
  <si>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</si>
  <si>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</si>
  <si>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</si>
  <si>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</si>
  <si>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</si>
  <si>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</si>
  <si>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</si>
  <si>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</si>
  <si>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</si>
  <si>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</si>
  <si>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</si>
  <si>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</si>
  <si>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</si>
  <si>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</si>
  <si>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</si>
  <si>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</si>
  <si>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</si>
  <si>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</si>
  <si>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</si>
  <si>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</si>
  <si>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</si>
  <si>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</si>
  <si>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</si>
  <si>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</si>
  <si>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</si>
  <si>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</si>
  <si>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</si>
  <si>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</si>
  <si>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</si>
  <si>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</si>
  <si>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</si>
  <si>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</si>
  <si>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</si>
  <si>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</si>
  <si>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</si>
  <si>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</si>
  <si>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</si>
  <si>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</si>
  <si>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</si>
  <si>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</si>
  <si>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</si>
  <si>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</si>
  <si>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</si>
  <si>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</si>
  <si>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</si>
  <si>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</si>
  <si>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</si>
  <si>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</si>
  <si>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</si>
  <si>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</si>
  <si>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</si>
  <si>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</si>
  <si>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</si>
  <si>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</si>
  <si>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</si>
  <si>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</si>
  <si>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</si>
  <si>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</si>
  <si>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</si>
  <si>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</si>
  <si>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</si>
  <si>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</si>
  <si>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</si>
  <si>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</si>
  <si>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</si>
  <si>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</si>
  <si>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</si>
  <si>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</si>
  <si>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</si>
  <si>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</si>
  <si>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</si>
  <si>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</si>
  <si>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</si>
  <si>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</si>
  <si>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</si>
  <si>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</si>
  <si>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</si>
  <si>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</si>
  <si>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</si>
  <si>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</si>
  <si>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</si>
  <si>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</si>
  <si>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</si>
  <si>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</si>
  <si>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</si>
  <si>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</si>
  <si>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</si>
  <si>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</si>
  <si>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</si>
  <si>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</si>
  <si>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</si>
  <si>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</si>
  <si>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</si>
  <si>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</si>
  <si>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</si>
  <si>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</si>
  <si>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</si>
  <si>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</si>
  <si>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</si>
  <si>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</si>
  <si>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</si>
  <si>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</si>
  <si>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</si>
  <si>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</si>
  <si>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</si>
  <si>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</si>
  <si>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</si>
  <si>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</si>
  <si>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</si>
  <si>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</si>
  <si>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</si>
  <si>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</si>
  <si>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</si>
  <si>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</si>
  <si>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</si>
  <si>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</si>
  <si>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</si>
  <si>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</si>
  <si>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</si>
  <si>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</si>
  <si>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</si>
  <si>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</si>
  <si>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</si>
  <si>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</si>
  <si>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</si>
  <si>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</si>
  <si>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</si>
  <si>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</si>
  <si>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</si>
  <si>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</si>
  <si>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</si>
  <si>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</si>
  <si>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</si>
  <si>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</si>
  <si>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</si>
  <si>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</si>
  <si>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</si>
  <si>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</si>
  <si>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</si>
  <si>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</si>
  <si>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</si>
  <si>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</si>
  <si>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</si>
  <si>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</si>
  <si>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</si>
  <si>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</si>
  <si>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</si>
  <si>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</si>
  <si>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</si>
  <si>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</si>
  <si>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</si>
  <si>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</si>
  <si>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</si>
  <si>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</si>
  <si>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</si>
  <si>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</si>
  <si>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</si>
  <si>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</si>
  <si>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</si>
  <si>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</si>
  <si>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</si>
  <si>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</si>
  <si>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</si>
  <si>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</si>
  <si>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</si>
  <si>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</si>
  <si>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</si>
  <si>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</si>
  <si>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</si>
  <si>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</si>
  <si>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</si>
  <si>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</si>
  <si>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</si>
  <si>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</si>
  <si>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</si>
  <si>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</si>
  <si>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</si>
  <si>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</si>
  <si>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</si>
  <si>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</si>
  <si>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</si>
  <si>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</si>
  <si>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</si>
  <si>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</si>
  <si>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</si>
  <si>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</si>
  <si>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</si>
  <si>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</si>
  <si>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</si>
  <si>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</si>
  <si>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</si>
  <si>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</si>
  <si>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</si>
  <si>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</si>
  <si>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</si>
  <si>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</si>
  <si>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</si>
  <si>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</si>
  <si>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</si>
  <si>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</si>
  <si>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</si>
  <si>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</si>
  <si>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</si>
  <si>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</si>
  <si>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</si>
  <si>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</si>
  <si>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</si>
  <si>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</si>
  <si>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</si>
  <si>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</si>
  <si>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</si>
  <si>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</si>
  <si>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</si>
  <si>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</si>
  <si>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</si>
  <si>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</si>
  <si>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</si>
  <si>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</si>
  <si>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</si>
  <si>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</si>
  <si>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</si>
  <si>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</si>
  <si>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</si>
  <si>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</si>
  <si>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</si>
  <si>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</si>
  <si>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</si>
  <si>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</si>
  <si>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</si>
  <si>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</si>
  <si>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</si>
  <si>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</si>
  <si>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</si>
  <si>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</si>
  <si>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</si>
  <si>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</si>
  <si>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</si>
  <si>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</si>
  <si>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</si>
  <si>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</si>
  <si>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</si>
  <si>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</si>
  <si>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</si>
  <si>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</si>
  <si>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</si>
  <si>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</si>
  <si>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</si>
  <si>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</si>
  <si>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</si>
  <si>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</si>
  <si>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</si>
  <si>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</si>
  <si>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</si>
  <si>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</si>
  <si>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</si>
  <si>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</si>
  <si>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</si>
  <si>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</si>
  <si>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</si>
  <si>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</si>
  <si>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</si>
  <si>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</si>
  <si>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</si>
  <si>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</si>
  <si>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</si>
  <si>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</si>
  <si>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</si>
  <si>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</si>
  <si>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</si>
  <si>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</si>
  <si>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</si>
  <si>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</si>
  <si>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</si>
  <si>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</si>
  <si>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</si>
  <si>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</si>
  <si>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</si>
  <si>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</si>
  <si>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</si>
  <si>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</si>
  <si>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</si>
  <si>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</si>
  <si>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</si>
  <si>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</si>
  <si>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</si>
  <si>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</si>
  <si>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</si>
  <si>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</si>
  <si>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</si>
  <si>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</si>
  <si>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</si>
  <si>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</si>
  <si>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</si>
  <si>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Fri, 18 Sep 2020 00:00:00 GMT</t>
  </si>
  <si>
    <t>Thu, 17 Sep 2020 00:00:00 GMT</t>
  </si>
  <si>
    <t>Wed, 16 Sep 2020 00:00:00 GMT</t>
  </si>
  <si>
    <t>Tue, 15 Sep 2020 00:00:00 GMT</t>
  </si>
  <si>
    <t>Mon, 14 Sep 2020 00:00:00 GMT</t>
  </si>
  <si>
    <t>Fri, 11 Sep 2020 00:00:00 GMT</t>
  </si>
  <si>
    <t>Thu, 10 Sep 2020 00:00:00 GMT</t>
  </si>
  <si>
    <t>Wed, 09 Sep 2020 00:00:00 GMT</t>
  </si>
  <si>
    <t>Tue, 08 Sep 2020 00:00:00 GMT</t>
  </si>
  <si>
    <t>Fri, 04 Sep 2020 00:00:00 GMT</t>
  </si>
  <si>
    <t>Thu, 03 Sep 2020 00:00:00 GMT</t>
  </si>
  <si>
    <t>Wed, 02 Sep 2020 00:00:00 GMT</t>
  </si>
  <si>
    <t>Tue, 01 Sep 2020 00:00:00 GMT</t>
  </si>
  <si>
    <t>Mon, 31 Aug 2020 00:00:00 GMT</t>
  </si>
  <si>
    <t>Fri, 28 Aug 2020 00:00:00 GMT</t>
  </si>
  <si>
    <t>Thu, 27 Aug 2020 00:00:00 GMT</t>
  </si>
  <si>
    <t>Wed, 26 Aug 2020 00:00:00 GMT</t>
  </si>
  <si>
    <t>Tue, 25 Aug 2020 00:00:00 GMT</t>
  </si>
  <si>
    <t>Mon, 24 Aug 2020 00:00:00 GMT</t>
  </si>
  <si>
    <t>Fri, 21 Aug 2020 00:00:00 GMT</t>
  </si>
  <si>
    <t>Thu, 20 Aug 2020 00:00:00 GMT</t>
  </si>
  <si>
    <t>Wed, 19 Aug 2020 00:00:00 GMT</t>
  </si>
  <si>
    <t>Tue, 18 Aug 2020 00:00:00 GMT</t>
  </si>
  <si>
    <t>Mon, 17 Aug 2020 00:00:00 GMT</t>
  </si>
  <si>
    <t>Fri, 14 Aug 2020 00:00:00 GMT</t>
  </si>
  <si>
    <t>Thu, 13 Aug 2020 00:00:00 GMT</t>
  </si>
  <si>
    <t>Wed, 12 Aug 2020 00:00:00 GMT</t>
  </si>
  <si>
    <t>Tue, 11 Aug 2020 00:00:00 GMT</t>
  </si>
  <si>
    <t>Mon, 10 Aug 2020 00:00:00 GMT</t>
  </si>
  <si>
    <t>Fri, 07 Aug 2020 00:00:00 GMT</t>
  </si>
  <si>
    <t>Thu, 06 Aug 2020 00:00:00 GMT</t>
  </si>
  <si>
    <t>Wed, 05 Aug 2020 00:00:00 GMT</t>
  </si>
  <si>
    <t>Tue, 04 Aug 2020 00:00:00 GMT</t>
  </si>
  <si>
    <t>Mon, 03 Aug 2020 00:00:00 GMT</t>
  </si>
  <si>
    <t>Fri, 31 Jul 2020 00:00:00 GMT</t>
  </si>
  <si>
    <t>Thu, 30 Jul 2020 00:00:00 GMT</t>
  </si>
  <si>
    <t>Wed, 29 Jul 2020 00:00:00 GMT</t>
  </si>
  <si>
    <t>Tue, 28 Jul 2020 00:00:00 GMT</t>
  </si>
  <si>
    <t>Mon, 27 Jul 2020 00:00:00 GMT</t>
  </si>
  <si>
    <t>Fri, 24 Jul 2020 00:00:00 GMT</t>
  </si>
  <si>
    <t>Thu, 23 Jul 2020 00:00:00 GMT</t>
  </si>
  <si>
    <t>Wed, 22 Jul 2020 00:00:00 GMT</t>
  </si>
  <si>
    <t>Tue, 21 Jul 2020 00:00:00 GMT</t>
  </si>
  <si>
    <t>Mon, 20 Jul 2020 00:00:00 GMT</t>
  </si>
  <si>
    <t>Fri, 17 Jul 2020 00:00:00 GMT</t>
  </si>
  <si>
    <t>Thu, 16 Jul 2020 00:00:00 GMT</t>
  </si>
  <si>
    <t>Wed, 15 Jul 2020 00:00:00 GMT</t>
  </si>
  <si>
    <t>Tue, 14 Jul 2020 00:00:00 GMT</t>
  </si>
  <si>
    <t>Mon, 13 Jul 2020 00:00:00 GMT</t>
  </si>
  <si>
    <t>Fri, 10 Jul 2020 00:00:00 GMT</t>
  </si>
  <si>
    <t>Thu, 09 Jul 2020 00:00:00 GMT</t>
  </si>
  <si>
    <t>Wed, 08 Jul 2020 00:00:00 GMT</t>
  </si>
  <si>
    <t>Tue, 07 Jul 2020 00:00:00 GMT</t>
  </si>
  <si>
    <t>Mon, 06 Jul 2020 00:00:00 GMT</t>
  </si>
  <si>
    <r>
      <t xml:space="preserve">1506 Trading Days? (From: </t>
    </r>
    <r>
      <rPr>
        <i/>
        <sz val="11"/>
        <color theme="1"/>
        <rFont val="Calibre"/>
      </rPr>
      <t>7/4/2020 - 7/4/2026</t>
    </r>
    <r>
      <rPr>
        <sz val="11"/>
        <color theme="1"/>
        <rFont val="Calibre"/>
      </rPr>
      <t>)</t>
    </r>
  </si>
  <si>
    <t>More</t>
  </si>
  <si>
    <t>Consumables</t>
  </si>
  <si>
    <t>Instruments</t>
  </si>
  <si>
    <t>Ttl Product Revenues</t>
  </si>
  <si>
    <t xml:space="preserve">Services </t>
  </si>
  <si>
    <t>Euro, Mid-East, Africa, LatAm Revenues</t>
  </si>
  <si>
    <t>Taiwan, China Revenues</t>
  </si>
  <si>
    <t>APAC Revenues</t>
  </si>
  <si>
    <t>U.S. Revenues Growth Y/y</t>
  </si>
  <si>
    <t>Euro, Mid-East, Africa, LatAm Revenues Growth Y/y</t>
  </si>
  <si>
    <t>Taiwan, China Revenues Growth Y/y</t>
  </si>
  <si>
    <t>APAC Revenues Growth Y/y</t>
  </si>
  <si>
    <t>Ttl Revenues Growth Y/y</t>
  </si>
  <si>
    <t>Consumables % of Ttl Revenues</t>
  </si>
  <si>
    <t>Instruments % of Ttl Revenues</t>
  </si>
  <si>
    <t>Product % of Ttl Revenues</t>
  </si>
  <si>
    <t>Services % of Ttl Revenues</t>
  </si>
  <si>
    <t>Consumables Growth Y/y</t>
  </si>
  <si>
    <t>Instruments Growth Y/y</t>
  </si>
  <si>
    <t>Ttl Product Revenues Growth Y/y</t>
  </si>
  <si>
    <t>Services Growth Y/y</t>
  </si>
  <si>
    <t>U.S. Revenues % of Revenues</t>
  </si>
  <si>
    <t>Euro, Mid-East, Africa, LatAm Revenues % of Revenues</t>
  </si>
  <si>
    <t>Taiwan, China Revenues % of Revenues</t>
  </si>
  <si>
    <t>APAC Revenues % of Revenues</t>
  </si>
  <si>
    <t>R&amp;D</t>
  </si>
  <si>
    <t>SG&amp;A</t>
  </si>
  <si>
    <t>Operating Income</t>
  </si>
  <si>
    <t>Interest Income</t>
  </si>
  <si>
    <t>Interest Expenses</t>
  </si>
  <si>
    <t>Other Income (Expenses)</t>
  </si>
  <si>
    <t>Pretax Income</t>
  </si>
  <si>
    <t>Taxes</t>
  </si>
  <si>
    <t>A/R</t>
  </si>
  <si>
    <t>Inventory</t>
  </si>
  <si>
    <t>PP&amp;E</t>
  </si>
  <si>
    <t>Goodwill</t>
  </si>
  <si>
    <t>Intangible Assets</t>
  </si>
  <si>
    <t>LT Deferred Taxes</t>
  </si>
  <si>
    <t>Other LT Assets</t>
  </si>
  <si>
    <t>Other ST Assets</t>
  </si>
  <si>
    <t>A/P</t>
  </si>
  <si>
    <t>ST Accrued Liabilities</t>
  </si>
  <si>
    <t>ST Debt</t>
  </si>
  <si>
    <t>LT Operating Lease Liabilities</t>
  </si>
  <si>
    <t>LT Operating Lease Assets</t>
  </si>
  <si>
    <t>LT Debt</t>
  </si>
  <si>
    <t>Other LT Liabilities</t>
  </si>
  <si>
    <t>7/5/2026</t>
  </si>
  <si>
    <t>Sequencing</t>
  </si>
  <si>
    <t>Microarray</t>
  </si>
  <si>
    <t>Sequencing Growth Y/y</t>
  </si>
  <si>
    <t>Microarray Growth Y/y</t>
  </si>
  <si>
    <t>Microarray % of Ttl Revenues</t>
  </si>
  <si>
    <t>Sequencing % of Ttl Revenues</t>
  </si>
  <si>
    <t>Q1 2026</t>
  </si>
  <si>
    <t xml:space="preserve"> "Razor and Blade" business model … The Company sells the sequencing hardware (razors) to lock customers in, then relies on continuous sales of high-margin chemical reagents and flow cells (blades)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</si>
</sst>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9" fontId="13" fillId="0" borderId="0" xfId="0" applyNumberFormat="1" applyFont="1"/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1" fontId="13" fillId="0" borderId="0" xfId="0" applyNumberFormat="1" applyFont="1"/>
    <xf numFmtId="2" fontId="13" fillId="0" borderId="0" xfId="0" applyNumberFormat="1" applyFont="1"/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7" fillId="0" borderId="0" xfId="0" applyFont="1"/>
    <xf numFmtId="0" fontId="17" fillId="0" borderId="0" xfId="0" applyFont="1"/>
    <xf numFmtId="1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8" xfId="0" applyFill="1" applyBorder="1" applyAlignment="1"/>
    <xf numFmtId="0" fontId="9" fillId="0" borderId="17" xfId="0" applyFont="1" applyFill="1" applyBorder="1" applyAlignment="1">
      <alignment horizontal="center"/>
    </xf>
    <xf numFmtId="0" fontId="2" fillId="0" borderId="0" xfId="0" applyFont="1" applyAlignment="1">
      <alignment horizontal="left" indent="1"/>
    </xf>
    <xf numFmtId="165" fontId="2" fillId="0" borderId="0" xfId="1" applyNumberFormat="1" applyFont="1"/>
    <xf numFmtId="165" fontId="3" fillId="0" borderId="0" xfId="1" applyNumberFormat="1" applyFont="1"/>
    <xf numFmtId="1" fontId="3" fillId="0" borderId="0" xfId="0" applyNumberFormat="1" applyFont="1"/>
    <xf numFmtId="1" fontId="2" fillId="0" borderId="0" xfId="0" applyNumberFormat="1" applyFont="1"/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(ILMN)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(ILMN)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(ILMN) 1-Day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Analysis'!$Q$209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3652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Analysis'!$Q$211:$Q$273</c:f>
              <c:numCache>
                <c:formatCode>0.00%</c:formatCode>
                <c:ptCount val="63"/>
                <c:pt idx="0">
                  <c:v>-7.7500000000000027E-2</c:v>
                </c:pt>
                <c:pt idx="1">
                  <c:v>-7.5000000000000025E-2</c:v>
                </c:pt>
                <c:pt idx="2">
                  <c:v>-7.2500000000000023E-2</c:v>
                </c:pt>
                <c:pt idx="3">
                  <c:v>-7.0000000000000021E-2</c:v>
                </c:pt>
                <c:pt idx="4">
                  <c:v>-6.7500000000000018E-2</c:v>
                </c:pt>
                <c:pt idx="5">
                  <c:v>-6.5000000000000016E-2</c:v>
                </c:pt>
                <c:pt idx="6">
                  <c:v>-6.2500000000000014E-2</c:v>
                </c:pt>
                <c:pt idx="7">
                  <c:v>-6.0000000000000019E-2</c:v>
                </c:pt>
                <c:pt idx="8">
                  <c:v>-5.7500000000000016E-2</c:v>
                </c:pt>
                <c:pt idx="9">
                  <c:v>-5.5000000000000014E-2</c:v>
                </c:pt>
                <c:pt idx="10">
                  <c:v>-5.2500000000000012E-2</c:v>
                </c:pt>
                <c:pt idx="11">
                  <c:v>-5.000000000000001E-2</c:v>
                </c:pt>
                <c:pt idx="12">
                  <c:v>-4.7500000000000007E-2</c:v>
                </c:pt>
                <c:pt idx="13">
                  <c:v>-4.5000000000000005E-2</c:v>
                </c:pt>
                <c:pt idx="14">
                  <c:v>-4.2500000000000003E-2</c:v>
                </c:pt>
                <c:pt idx="15">
                  <c:v>-0.04</c:v>
                </c:pt>
                <c:pt idx="16">
                  <c:v>-3.7499999999999999E-2</c:v>
                </c:pt>
                <c:pt idx="17">
                  <c:v>-3.4999999999999996E-2</c:v>
                </c:pt>
                <c:pt idx="18">
                  <c:v>-3.2499999999999994E-2</c:v>
                </c:pt>
                <c:pt idx="19">
                  <c:v>-2.9999999999999995E-2</c:v>
                </c:pt>
                <c:pt idx="20">
                  <c:v>-2.7499999999999997E-2</c:v>
                </c:pt>
                <c:pt idx="21">
                  <c:v>-2.4999999999999998E-2</c:v>
                </c:pt>
                <c:pt idx="22">
                  <c:v>-2.2499999999999999E-2</c:v>
                </c:pt>
                <c:pt idx="23">
                  <c:v>-0.02</c:v>
                </c:pt>
                <c:pt idx="24">
                  <c:v>-1.7500000000000002E-2</c:v>
                </c:pt>
                <c:pt idx="25">
                  <c:v>-1.5000000000000001E-2</c:v>
                </c:pt>
                <c:pt idx="26">
                  <c:v>-1.2500000000000001E-2</c:v>
                </c:pt>
                <c:pt idx="27">
                  <c:v>-0.01</c:v>
                </c:pt>
                <c:pt idx="28">
                  <c:v>-7.4999999999999997E-3</c:v>
                </c:pt>
                <c:pt idx="29">
                  <c:v>-5.0000000000000001E-3</c:v>
                </c:pt>
                <c:pt idx="30">
                  <c:v>-2.5000000000000001E-3</c:v>
                </c:pt>
                <c:pt idx="31">
                  <c:v>0</c:v>
                </c:pt>
                <c:pt idx="32">
                  <c:v>2.5000000000000001E-3</c:v>
                </c:pt>
                <c:pt idx="33">
                  <c:v>5.0000000000000001E-3</c:v>
                </c:pt>
                <c:pt idx="34">
                  <c:v>7.4999999999999997E-3</c:v>
                </c:pt>
                <c:pt idx="35">
                  <c:v>0.01</c:v>
                </c:pt>
                <c:pt idx="36">
                  <c:v>1.2500000000000001E-2</c:v>
                </c:pt>
                <c:pt idx="37">
                  <c:v>1.5000000000000001E-2</c:v>
                </c:pt>
                <c:pt idx="38">
                  <c:v>1.7500000000000002E-2</c:v>
                </c:pt>
                <c:pt idx="39">
                  <c:v>0.02</c:v>
                </c:pt>
                <c:pt idx="40">
                  <c:v>2.2499999999999999E-2</c:v>
                </c:pt>
                <c:pt idx="41">
                  <c:v>2.4999999999999998E-2</c:v>
                </c:pt>
                <c:pt idx="42">
                  <c:v>2.7499999999999997E-2</c:v>
                </c:pt>
                <c:pt idx="43">
                  <c:v>2.9999999999999995E-2</c:v>
                </c:pt>
                <c:pt idx="44">
                  <c:v>3.2499999999999994E-2</c:v>
                </c:pt>
                <c:pt idx="45">
                  <c:v>3.4999999999999996E-2</c:v>
                </c:pt>
                <c:pt idx="46">
                  <c:v>3.7499999999999999E-2</c:v>
                </c:pt>
                <c:pt idx="47">
                  <c:v>0.04</c:v>
                </c:pt>
                <c:pt idx="48">
                  <c:v>4.2500000000000003E-2</c:v>
                </c:pt>
                <c:pt idx="49">
                  <c:v>4.5000000000000005E-2</c:v>
                </c:pt>
                <c:pt idx="50">
                  <c:v>4.7500000000000007E-2</c:v>
                </c:pt>
                <c:pt idx="51">
                  <c:v>5.000000000000001E-2</c:v>
                </c:pt>
                <c:pt idx="52">
                  <c:v>5.2500000000000012E-2</c:v>
                </c:pt>
                <c:pt idx="53">
                  <c:v>5.5000000000000014E-2</c:v>
                </c:pt>
                <c:pt idx="54">
                  <c:v>5.7500000000000016E-2</c:v>
                </c:pt>
                <c:pt idx="55">
                  <c:v>6.0000000000000019E-2</c:v>
                </c:pt>
                <c:pt idx="56">
                  <c:v>6.2500000000000014E-2</c:v>
                </c:pt>
                <c:pt idx="57">
                  <c:v>6.5000000000000016E-2</c:v>
                </c:pt>
                <c:pt idx="58">
                  <c:v>6.7500000000000018E-2</c:v>
                </c:pt>
                <c:pt idx="59">
                  <c:v>7.0000000000000021E-2</c:v>
                </c:pt>
                <c:pt idx="60">
                  <c:v>7.2500000000000023E-2</c:v>
                </c:pt>
                <c:pt idx="61">
                  <c:v>7.5000000000000025E-2</c:v>
                </c:pt>
                <c:pt idx="62">
                  <c:v>7.7500000000000027E-2</c:v>
                </c:pt>
              </c:numCache>
            </c:numRef>
          </c:xVal>
          <c:yVal>
            <c:numRef>
              <c:f>'Notes | Quant Analysis'!$R$211:$R$273</c:f>
              <c:numCache>
                <c:formatCode>General</c:formatCode>
                <c:ptCount val="63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7</c:v>
                </c:pt>
                <c:pt idx="12">
                  <c:v>10</c:v>
                </c:pt>
                <c:pt idx="13">
                  <c:v>9</c:v>
                </c:pt>
                <c:pt idx="14">
                  <c:v>11</c:v>
                </c:pt>
                <c:pt idx="15">
                  <c:v>10</c:v>
                </c:pt>
                <c:pt idx="16">
                  <c:v>11</c:v>
                </c:pt>
                <c:pt idx="17">
                  <c:v>18</c:v>
                </c:pt>
                <c:pt idx="18">
                  <c:v>17</c:v>
                </c:pt>
                <c:pt idx="19">
                  <c:v>16</c:v>
                </c:pt>
                <c:pt idx="20">
                  <c:v>24</c:v>
                </c:pt>
                <c:pt idx="21">
                  <c:v>23</c:v>
                </c:pt>
                <c:pt idx="22">
                  <c:v>38</c:v>
                </c:pt>
                <c:pt idx="23">
                  <c:v>50</c:v>
                </c:pt>
                <c:pt idx="24">
                  <c:v>43</c:v>
                </c:pt>
                <c:pt idx="25">
                  <c:v>45</c:v>
                </c:pt>
                <c:pt idx="26">
                  <c:v>49</c:v>
                </c:pt>
                <c:pt idx="27">
                  <c:v>68</c:v>
                </c:pt>
                <c:pt idx="28">
                  <c:v>77</c:v>
                </c:pt>
                <c:pt idx="29">
                  <c:v>70</c:v>
                </c:pt>
                <c:pt idx="30">
                  <c:v>70</c:v>
                </c:pt>
                <c:pt idx="31">
                  <c:v>91</c:v>
                </c:pt>
                <c:pt idx="32">
                  <c:v>64</c:v>
                </c:pt>
                <c:pt idx="33">
                  <c:v>72</c:v>
                </c:pt>
                <c:pt idx="34">
                  <c:v>65</c:v>
                </c:pt>
                <c:pt idx="35">
                  <c:v>68</c:v>
                </c:pt>
                <c:pt idx="36">
                  <c:v>63</c:v>
                </c:pt>
                <c:pt idx="37">
                  <c:v>59</c:v>
                </c:pt>
                <c:pt idx="38">
                  <c:v>55</c:v>
                </c:pt>
                <c:pt idx="39">
                  <c:v>35</c:v>
                </c:pt>
                <c:pt idx="40">
                  <c:v>33</c:v>
                </c:pt>
                <c:pt idx="41">
                  <c:v>29</c:v>
                </c:pt>
                <c:pt idx="42">
                  <c:v>20</c:v>
                </c:pt>
                <c:pt idx="43">
                  <c:v>25</c:v>
                </c:pt>
                <c:pt idx="44">
                  <c:v>18</c:v>
                </c:pt>
                <c:pt idx="45">
                  <c:v>22</c:v>
                </c:pt>
                <c:pt idx="46">
                  <c:v>10</c:v>
                </c:pt>
                <c:pt idx="47">
                  <c:v>16</c:v>
                </c:pt>
                <c:pt idx="48">
                  <c:v>16</c:v>
                </c:pt>
                <c:pt idx="49">
                  <c:v>9</c:v>
                </c:pt>
                <c:pt idx="50">
                  <c:v>9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3</c:v>
                </c:pt>
                <c:pt idx="55">
                  <c:v>2</c:v>
                </c:pt>
                <c:pt idx="56">
                  <c:v>0</c:v>
                </c:pt>
                <c:pt idx="57">
                  <c:v>3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Analysis'!$T$209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Analysis'!$T$211:$T$275</c:f>
              <c:numCache>
                <c:formatCode>0.00%</c:formatCode>
                <c:ptCount val="65"/>
                <c:pt idx="0">
                  <c:v>-8.0000000000000029E-2</c:v>
                </c:pt>
                <c:pt idx="1">
                  <c:v>-7.7500000000000027E-2</c:v>
                </c:pt>
                <c:pt idx="2">
                  <c:v>-7.5000000000000025E-2</c:v>
                </c:pt>
                <c:pt idx="3">
                  <c:v>-7.2500000000000023E-2</c:v>
                </c:pt>
                <c:pt idx="4">
                  <c:v>-7.0000000000000021E-2</c:v>
                </c:pt>
                <c:pt idx="5">
                  <c:v>-6.7500000000000018E-2</c:v>
                </c:pt>
                <c:pt idx="6">
                  <c:v>-6.5000000000000016E-2</c:v>
                </c:pt>
                <c:pt idx="7">
                  <c:v>-6.2500000000000014E-2</c:v>
                </c:pt>
                <c:pt idx="8">
                  <c:v>-6.0000000000000019E-2</c:v>
                </c:pt>
                <c:pt idx="9">
                  <c:v>-5.7500000000000016E-2</c:v>
                </c:pt>
                <c:pt idx="10">
                  <c:v>-5.5000000000000014E-2</c:v>
                </c:pt>
                <c:pt idx="11">
                  <c:v>-5.2500000000000012E-2</c:v>
                </c:pt>
                <c:pt idx="12">
                  <c:v>-5.000000000000001E-2</c:v>
                </c:pt>
                <c:pt idx="13">
                  <c:v>-4.7500000000000007E-2</c:v>
                </c:pt>
                <c:pt idx="14">
                  <c:v>-4.5000000000000005E-2</c:v>
                </c:pt>
                <c:pt idx="15">
                  <c:v>-4.2500000000000003E-2</c:v>
                </c:pt>
                <c:pt idx="16">
                  <c:v>-0.04</c:v>
                </c:pt>
                <c:pt idx="17">
                  <c:v>-3.7499999999999999E-2</c:v>
                </c:pt>
                <c:pt idx="18">
                  <c:v>-3.4999999999999996E-2</c:v>
                </c:pt>
                <c:pt idx="19">
                  <c:v>-3.2499999999999994E-2</c:v>
                </c:pt>
                <c:pt idx="20">
                  <c:v>-2.9999999999999995E-2</c:v>
                </c:pt>
                <c:pt idx="21">
                  <c:v>-2.7499999999999997E-2</c:v>
                </c:pt>
                <c:pt idx="22">
                  <c:v>-2.4999999999999998E-2</c:v>
                </c:pt>
                <c:pt idx="23">
                  <c:v>-2.2499999999999999E-2</c:v>
                </c:pt>
                <c:pt idx="24">
                  <c:v>-0.02</c:v>
                </c:pt>
                <c:pt idx="25">
                  <c:v>-1.7500000000000002E-2</c:v>
                </c:pt>
                <c:pt idx="26">
                  <c:v>-1.5000000000000001E-2</c:v>
                </c:pt>
                <c:pt idx="27">
                  <c:v>-1.2500000000000001E-2</c:v>
                </c:pt>
                <c:pt idx="28">
                  <c:v>-0.01</c:v>
                </c:pt>
                <c:pt idx="29">
                  <c:v>-7.4999999999999997E-3</c:v>
                </c:pt>
                <c:pt idx="30">
                  <c:v>-5.0000000000000001E-3</c:v>
                </c:pt>
                <c:pt idx="31">
                  <c:v>-2.5000000000000001E-3</c:v>
                </c:pt>
                <c:pt idx="32">
                  <c:v>0</c:v>
                </c:pt>
                <c:pt idx="33">
                  <c:v>2.5000000000000001E-3</c:v>
                </c:pt>
                <c:pt idx="34">
                  <c:v>5.0000000000000001E-3</c:v>
                </c:pt>
                <c:pt idx="35">
                  <c:v>7.4999999999999997E-3</c:v>
                </c:pt>
                <c:pt idx="36">
                  <c:v>0.01</c:v>
                </c:pt>
                <c:pt idx="37">
                  <c:v>1.2500000000000001E-2</c:v>
                </c:pt>
                <c:pt idx="38">
                  <c:v>1.5000000000000001E-2</c:v>
                </c:pt>
                <c:pt idx="39">
                  <c:v>1.7500000000000002E-2</c:v>
                </c:pt>
                <c:pt idx="40">
                  <c:v>0.02</c:v>
                </c:pt>
                <c:pt idx="41">
                  <c:v>2.2499999999999999E-2</c:v>
                </c:pt>
                <c:pt idx="42">
                  <c:v>2.4999999999999998E-2</c:v>
                </c:pt>
                <c:pt idx="43">
                  <c:v>2.7499999999999997E-2</c:v>
                </c:pt>
                <c:pt idx="44">
                  <c:v>2.9999999999999995E-2</c:v>
                </c:pt>
                <c:pt idx="45">
                  <c:v>3.2499999999999994E-2</c:v>
                </c:pt>
                <c:pt idx="46">
                  <c:v>3.4999999999999996E-2</c:v>
                </c:pt>
                <c:pt idx="47">
                  <c:v>3.7499999999999999E-2</c:v>
                </c:pt>
                <c:pt idx="48">
                  <c:v>0.04</c:v>
                </c:pt>
                <c:pt idx="49">
                  <c:v>4.2500000000000003E-2</c:v>
                </c:pt>
                <c:pt idx="50">
                  <c:v>4.5000000000000005E-2</c:v>
                </c:pt>
                <c:pt idx="51">
                  <c:v>4.7500000000000007E-2</c:v>
                </c:pt>
                <c:pt idx="52">
                  <c:v>5.000000000000001E-2</c:v>
                </c:pt>
                <c:pt idx="53">
                  <c:v>5.2500000000000012E-2</c:v>
                </c:pt>
                <c:pt idx="54">
                  <c:v>5.5000000000000014E-2</c:v>
                </c:pt>
                <c:pt idx="55">
                  <c:v>5.7500000000000016E-2</c:v>
                </c:pt>
                <c:pt idx="56">
                  <c:v>6.0000000000000019E-2</c:v>
                </c:pt>
                <c:pt idx="57">
                  <c:v>6.2500000000000014E-2</c:v>
                </c:pt>
                <c:pt idx="58">
                  <c:v>6.5000000000000016E-2</c:v>
                </c:pt>
                <c:pt idx="59">
                  <c:v>6.7500000000000018E-2</c:v>
                </c:pt>
                <c:pt idx="60">
                  <c:v>7.0000000000000021E-2</c:v>
                </c:pt>
                <c:pt idx="61">
                  <c:v>7.2500000000000023E-2</c:v>
                </c:pt>
                <c:pt idx="62">
                  <c:v>7.5000000000000025E-2</c:v>
                </c:pt>
                <c:pt idx="63">
                  <c:v>7.7500000000000027E-2</c:v>
                </c:pt>
                <c:pt idx="64">
                  <c:v>8.0000000000000029E-2</c:v>
                </c:pt>
              </c:numCache>
            </c:numRef>
          </c:xVal>
          <c:yVal>
            <c:numRef>
              <c:f>'Notes | Quant Analysis'!$U$211:$U$275</c:f>
              <c:numCache>
                <c:formatCode>General</c:formatCode>
                <c:ptCount val="65"/>
                <c:pt idx="0">
                  <c:v>6.4399119718348746E-2</c:v>
                </c:pt>
                <c:pt idx="1">
                  <c:v>9.0453121515570722E-2</c:v>
                </c:pt>
                <c:pt idx="2">
                  <c:v>0.12569149654862141</c:v>
                </c:pt>
                <c:pt idx="3">
                  <c:v>0.17279331876103063</c:v>
                </c:pt>
                <c:pt idx="4">
                  <c:v>0.23501019630681289</c:v>
                </c:pt>
                <c:pt idx="5">
                  <c:v>0.31621697149346251</c:v>
                </c:pt>
                <c:pt idx="6">
                  <c:v>0.42094209206587613</c:v>
                </c:pt>
                <c:pt idx="7">
                  <c:v>0.55436811795684238</c:v>
                </c:pt>
                <c:pt idx="8">
                  <c:v>0.72229207012812757</c:v>
                </c:pt>
                <c:pt idx="9">
                  <c:v>0.93103532345119289</c:v>
                </c:pt>
                <c:pt idx="10">
                  <c:v>1.1872937466091813</c:v>
                </c:pt>
                <c:pt idx="11">
                  <c:v>1.4979210120250637</c:v>
                </c:pt>
                <c:pt idx="12">
                  <c:v>1.8696415703893599</c:v>
                </c:pt>
                <c:pt idx="13">
                  <c:v>2.3086947169825609</c:v>
                </c:pt>
                <c:pt idx="14">
                  <c:v>2.8204173198583971</c:v>
                </c:pt>
                <c:pt idx="15">
                  <c:v>3.4087797970118467</c:v>
                </c:pt>
                <c:pt idx="16">
                  <c:v>4.0758972942301606</c:v>
                </c:pt>
                <c:pt idx="17">
                  <c:v>4.8215450304016443</c:v>
                </c:pt>
                <c:pt idx="18">
                  <c:v>5.6427126245026864</c:v>
                </c:pt>
                <c:pt idx="19">
                  <c:v>6.5332360366603162</c:v>
                </c:pt>
                <c:pt idx="20">
                  <c:v>7.4835467401283422</c:v>
                </c:pt>
                <c:pt idx="21">
                  <c:v>8.480575257934106</c:v>
                </c:pt>
                <c:pt idx="22">
                  <c:v>9.5078398961943993</c:v>
                </c:pt>
                <c:pt idx="23">
                  <c:v>10.545741410597286</c:v>
                </c:pt>
                <c:pt idx="24">
                  <c:v>11.572070912259138</c:v>
                </c:pt>
                <c:pt idx="25">
                  <c:v>12.562722455213301</c:v>
                </c:pt>
                <c:pt idx="26">
                  <c:v>13.492584743146326</c:v>
                </c:pt>
                <c:pt idx="27">
                  <c:v>14.336569823030715</c:v>
                </c:pt>
                <c:pt idx="28">
                  <c:v>15.070722195506514</c:v>
                </c:pt>
                <c:pt idx="29">
                  <c:v>15.673341092127165</c:v>
                </c:pt>
                <c:pt idx="30">
                  <c:v>16.126043099245557</c:v>
                </c:pt>
                <c:pt idx="31">
                  <c:v>16.414692740069306</c:v>
                </c:pt>
                <c:pt idx="32">
                  <c:v>16.530135356602759</c:v>
                </c:pt>
                <c:pt idx="33">
                  <c:v>16.468679293005046</c:v>
                </c:pt>
                <c:pt idx="34">
                  <c:v>16.232291950961411</c:v>
                </c:pt>
                <c:pt idx="35">
                  <c:v>15.828495191892758</c:v>
                </c:pt>
                <c:pt idx="36">
                  <c:v>15.269967843752985</c:v>
                </c:pt>
                <c:pt idx="37">
                  <c:v>14.573884615944028</c:v>
                </c:pt>
                <c:pt idx="38">
                  <c:v>13.761039503979745</c:v>
                </c:pt>
                <c:pt idx="39">
                  <c:v>12.854816063782344</c:v>
                </c:pt>
                <c:pt idx="40">
                  <c:v>11.880075550027154</c:v>
                </c:pt>
                <c:pt idx="41">
                  <c:v>10.862036270207886</c:v>
                </c:pt>
                <c:pt idx="42">
                  <c:v>9.8252137025924693</c:v>
                </c:pt>
                <c:pt idx="43">
                  <c:v>8.7924816840428885</c:v>
                </c:pt>
                <c:pt idx="44">
                  <c:v>7.7843015217205114</c:v>
                </c:pt>
                <c:pt idx="45">
                  <c:v>6.8181497841255387</c:v>
                </c:pt>
                <c:pt idx="46">
                  <c:v>5.9081584788350501</c:v>
                </c:pt>
                <c:pt idx="47">
                  <c:v>5.0649649584078187</c:v>
                </c:pt>
                <c:pt idx="48">
                  <c:v>4.2957546057998188</c:v>
                </c:pt>
                <c:pt idx="49">
                  <c:v>3.6044681654231758</c:v>
                </c:pt>
                <c:pt idx="50">
                  <c:v>2.9921381016422681</c:v>
                </c:pt>
                <c:pt idx="51">
                  <c:v>2.4573147366579753</c:v>
                </c:pt>
                <c:pt idx="52">
                  <c:v>1.9965428996844783</c:v>
                </c:pt>
                <c:pt idx="53">
                  <c:v>1.6048528503763357</c:v>
                </c:pt>
                <c:pt idx="54">
                  <c:v>1.2762345570739799</c:v>
                </c:pt>
                <c:pt idx="55">
                  <c:v>1.0040711589310416</c:v>
                </c:pt>
                <c:pt idx="56">
                  <c:v>0.78151477946916137</c:v>
                </c:pt>
                <c:pt idx="57">
                  <c:v>0.60179504691751839</c:v>
                </c:pt>
                <c:pt idx="58">
                  <c:v>0.45845713159679102</c:v>
                </c:pt>
                <c:pt idx="59">
                  <c:v>0.34553143770967543</c:v>
                </c:pt>
                <c:pt idx="60">
                  <c:v>0.2576410806023845</c:v>
                </c:pt>
                <c:pt idx="61">
                  <c:v>0.19005590486206775</c:v>
                </c:pt>
                <c:pt idx="62">
                  <c:v>0.13870315281905779</c:v>
                </c:pt>
                <c:pt idx="63">
                  <c:v>0.10014517024461417</c:v>
                </c:pt>
                <c:pt idx="64">
                  <c:v>7.153398113109187E-2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Analysis'!$W$211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5.7962201247112037E-2"/>
                  <c:y val="-2.71031209766944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70414052018656"/>
                      <c:h val="9.3162615426272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Analysis'!$X$211:$X$212</c:f>
              <c:numCache>
                <c:formatCode>0.00%</c:formatCode>
                <c:ptCount val="2"/>
                <c:pt idx="0">
                  <c:v>3.8240880374029973E-4</c:v>
                </c:pt>
                <c:pt idx="1">
                  <c:v>3.8240880374029973E-4</c:v>
                </c:pt>
              </c:numCache>
            </c:numRef>
          </c:xVal>
          <c:yVal>
            <c:numRef>
              <c:f>'Notes | Quant Analysis'!$Y$211:$Y$212</c:f>
              <c:numCache>
                <c:formatCode>General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Analysis'!$W$213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Analysis'!$X$213:$X$214</c:f>
              <c:numCache>
                <c:formatCode>0.00%</c:formatCode>
                <c:ptCount val="2"/>
                <c:pt idx="0">
                  <c:v>-7.2011225345929047E-2</c:v>
                </c:pt>
                <c:pt idx="1">
                  <c:v>-7.2011225345929047E-2</c:v>
                </c:pt>
              </c:numCache>
            </c:numRef>
          </c:xVal>
          <c:yVal>
            <c:numRef>
              <c:f>'Notes | Quant Analysis'!$Y$213:$Y$214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Analysis'!$W$215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739825861686296E-2"/>
                  <c:y val="-6.87753129388890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Analysis'!$X$215:$X$216</c:f>
              <c:numCache>
                <c:formatCode>0.00%</c:formatCode>
                <c:ptCount val="2"/>
                <c:pt idx="0">
                  <c:v>-4.7880013962705928E-2</c:v>
                </c:pt>
                <c:pt idx="1">
                  <c:v>-4.7880013962705928E-2</c:v>
                </c:pt>
              </c:numCache>
            </c:numRef>
          </c:xVal>
          <c:yVal>
            <c:numRef>
              <c:f>'Notes | Quant Analysis'!$Y$215:$Y$216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Analysis'!$W$217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Analysis'!$X$217:$X$218</c:f>
              <c:numCache>
                <c:formatCode>0.00%</c:formatCode>
                <c:ptCount val="2"/>
                <c:pt idx="0">
                  <c:v>-2.3748802579482812E-2</c:v>
                </c:pt>
                <c:pt idx="1">
                  <c:v>-2.3748802579482812E-2</c:v>
                </c:pt>
              </c:numCache>
            </c:numRef>
          </c:xVal>
          <c:yVal>
            <c:numRef>
              <c:f>'Notes | Quant Analysis'!$Y$217:$Y$218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Analysis'!$W$219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Analysis'!$X$219:$X$220</c:f>
              <c:numCache>
                <c:formatCode>0.00%</c:formatCode>
                <c:ptCount val="2"/>
                <c:pt idx="0">
                  <c:v>2.4513620186963413E-2</c:v>
                </c:pt>
                <c:pt idx="1">
                  <c:v>2.4513620186963413E-2</c:v>
                </c:pt>
              </c:numCache>
            </c:numRef>
          </c:xVal>
          <c:yVal>
            <c:numRef>
              <c:f>'Notes | Quant Analysis'!$Y$219:$Y$220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Analysis'!$W$221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1034437194905201E-2"/>
                  <c:y val="-6.892243642428706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Analysis'!$X$221:$X$222</c:f>
              <c:numCache>
                <c:formatCode>0.00%</c:formatCode>
                <c:ptCount val="2"/>
                <c:pt idx="0">
                  <c:v>4.8644831570186522E-2</c:v>
                </c:pt>
                <c:pt idx="1">
                  <c:v>4.8644831570186522E-2</c:v>
                </c:pt>
              </c:numCache>
            </c:numRef>
          </c:xVal>
          <c:yVal>
            <c:numRef>
              <c:f>'Notes | Quant Analysis'!$Y$221:$Y$222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Analysis'!$W$223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Analysis'!$X$223:$X$224</c:f>
              <c:numCache>
                <c:formatCode>0.00%</c:formatCode>
                <c:ptCount val="2"/>
                <c:pt idx="0">
                  <c:v>7.2776042953409642E-2</c:v>
                </c:pt>
                <c:pt idx="1">
                  <c:v>7.2776042953409642E-2</c:v>
                </c:pt>
              </c:numCache>
            </c:numRef>
          </c:xVal>
          <c:yVal>
            <c:numRef>
              <c:f>'Notes | Quant Analysis'!$Y$223:$Y$224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8.0000000000000016E-2"/>
          <c:min val="-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(ILMN)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11206</xdr:colOff>
      <xdr:row>2</xdr:row>
      <xdr:rowOff>11205</xdr:rowOff>
    </xdr:from>
    <xdr:to>
      <xdr:col>8</xdr:col>
      <xdr:colOff>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7AA56-4BFB-8A18-EA3A-E914107BD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751" b="8329"/>
        <a:stretch>
          <a:fillRect/>
        </a:stretch>
      </xdr:blipFill>
      <xdr:spPr>
        <a:xfrm>
          <a:off x="2823882" y="380999"/>
          <a:ext cx="1804147" cy="1064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0</xdr:colOff>
      <xdr:row>0</xdr:row>
      <xdr:rowOff>0</xdr:rowOff>
    </xdr:from>
    <xdr:to>
      <xdr:col>63</xdr:col>
      <xdr:colOff>0</xdr:colOff>
      <xdr:row>116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6818176" y="0"/>
          <a:ext cx="0" cy="234046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0</xdr:colOff>
      <xdr:row>0</xdr:row>
      <xdr:rowOff>0</xdr:rowOff>
    </xdr:from>
    <xdr:to>
      <xdr:col>85</xdr:col>
      <xdr:colOff>0</xdr:colOff>
      <xdr:row>115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17319</xdr:colOff>
      <xdr:row>2</xdr:row>
      <xdr:rowOff>17318</xdr:rowOff>
    </xdr:from>
    <xdr:to>
      <xdr:col>26</xdr:col>
      <xdr:colOff>6477</xdr:colOff>
      <xdr:row>31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78A018-454E-7401-DF01-5DBE06394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137" y="381000"/>
          <a:ext cx="6050522" cy="5004955"/>
        </a:xfrm>
        <a:prstGeom prst="rect">
          <a:avLst/>
        </a:prstGeom>
      </xdr:spPr>
    </xdr:pic>
    <xdr:clientData/>
  </xdr:twoCellAnchor>
  <xdr:twoCellAnchor editAs="oneCell">
    <xdr:from>
      <xdr:col>25</xdr:col>
      <xdr:colOff>588819</xdr:colOff>
      <xdr:row>2</xdr:row>
      <xdr:rowOff>17318</xdr:rowOff>
    </xdr:from>
    <xdr:to>
      <xdr:col>36</xdr:col>
      <xdr:colOff>0</xdr:colOff>
      <xdr:row>31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9A1E53-EBB1-243F-D5CD-F905674D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51864" y="381000"/>
          <a:ext cx="6078681" cy="5004955"/>
        </a:xfrm>
        <a:prstGeom prst="rect">
          <a:avLst/>
        </a:prstGeom>
      </xdr:spPr>
    </xdr:pic>
    <xdr:clientData/>
  </xdr:twoCellAnchor>
  <xdr:twoCellAnchor editAs="oneCell">
    <xdr:from>
      <xdr:col>15</xdr:col>
      <xdr:colOff>207817</xdr:colOff>
      <xdr:row>36</xdr:row>
      <xdr:rowOff>0</xdr:rowOff>
    </xdr:from>
    <xdr:to>
      <xdr:col>24</xdr:col>
      <xdr:colOff>606135</xdr:colOff>
      <xdr:row>64</xdr:row>
      <xdr:rowOff>19355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5EBB8C-824B-4211-8174-36BC12821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7817" y="6286500"/>
          <a:ext cx="5455227" cy="48684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godelterminal.com/" TargetMode="External"/><Relationship Id="rId2" Type="http://schemas.openxmlformats.org/officeDocument/2006/relationships/hyperlink" Target="https://www.illumina.com/" TargetMode="External"/><Relationship Id="rId1" Type="http://schemas.openxmlformats.org/officeDocument/2006/relationships/hyperlink" Target="https://app.godeltermina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6"/>
  <sheetViews>
    <sheetView zoomScale="85" zoomScaleNormal="85" workbookViewId="0">
      <selection activeCell="D29" sqref="D29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7" ht="15">
      <c r="B2" s="2" t="s">
        <v>147</v>
      </c>
    </row>
    <row r="3" spans="2:17">
      <c r="B3" s="1" t="s">
        <v>0</v>
      </c>
      <c r="C3" s="72">
        <v>188.68</v>
      </c>
      <c r="D3" s="43" t="s">
        <v>1733</v>
      </c>
    </row>
    <row r="4" spans="2:17">
      <c r="B4" s="1" t="s">
        <v>1</v>
      </c>
      <c r="C4" s="73">
        <v>151.30000000000001</v>
      </c>
      <c r="D4" s="1" t="s">
        <v>146</v>
      </c>
    </row>
    <row r="5" spans="2:17">
      <c r="B5" s="1" t="s">
        <v>2</v>
      </c>
      <c r="C5" s="74">
        <f>C3*C4</f>
        <v>28547.284000000003</v>
      </c>
    </row>
    <row r="6" spans="2:17">
      <c r="B6" s="1" t="s">
        <v>3</v>
      </c>
      <c r="C6" s="74">
        <f>1089+66</f>
        <v>1155</v>
      </c>
      <c r="D6" s="1" t="s">
        <v>146</v>
      </c>
    </row>
    <row r="7" spans="2:17">
      <c r="B7" s="1" t="s">
        <v>4</v>
      </c>
      <c r="C7" s="74">
        <f>499+1490</f>
        <v>1989</v>
      </c>
      <c r="D7" s="1" t="s">
        <v>146</v>
      </c>
    </row>
    <row r="8" spans="2:17">
      <c r="B8" s="1" t="s">
        <v>5</v>
      </c>
      <c r="C8" s="74">
        <f>C5-C6+C7</f>
        <v>29381.284000000003</v>
      </c>
    </row>
    <row r="10" spans="2:17" ht="15">
      <c r="B10" s="2" t="s">
        <v>148</v>
      </c>
    </row>
    <row r="12" spans="2:17" ht="15">
      <c r="B12" s="1" t="s">
        <v>149</v>
      </c>
      <c r="F12" s="1" t="s">
        <v>169</v>
      </c>
      <c r="M12" s="1" t="s">
        <v>100</v>
      </c>
      <c r="P12" s="2"/>
    </row>
    <row r="13" spans="2:17">
      <c r="B13" s="1" t="s">
        <v>150</v>
      </c>
      <c r="F13" s="1" t="s">
        <v>170</v>
      </c>
      <c r="M13" s="1" t="s">
        <v>7</v>
      </c>
      <c r="P13" s="44" t="s">
        <v>172</v>
      </c>
    </row>
    <row r="14" spans="2:17">
      <c r="B14" s="1" t="s">
        <v>151</v>
      </c>
      <c r="F14" s="1" t="s">
        <v>6</v>
      </c>
      <c r="M14" s="1" t="s">
        <v>104</v>
      </c>
      <c r="P14" s="44" t="s">
        <v>173</v>
      </c>
    </row>
    <row r="15" spans="2:17">
      <c r="B15" s="1" t="s">
        <v>152</v>
      </c>
      <c r="F15" s="1" t="s">
        <v>97</v>
      </c>
      <c r="N15" s="1" t="s">
        <v>103</v>
      </c>
      <c r="Q15" s="44" t="s">
        <v>174</v>
      </c>
    </row>
    <row r="16" spans="2:17">
      <c r="B16" s="1" t="s">
        <v>153</v>
      </c>
      <c r="F16" s="1" t="s">
        <v>91</v>
      </c>
      <c r="G16" s="1" t="s">
        <v>171</v>
      </c>
      <c r="I16" s="1" t="s">
        <v>92</v>
      </c>
      <c r="M16" s="1" t="s">
        <v>94</v>
      </c>
      <c r="P16" s="44" t="s">
        <v>96</v>
      </c>
    </row>
    <row r="17" spans="1:17">
      <c r="B17" s="1" t="s">
        <v>154</v>
      </c>
      <c r="M17" s="1" t="s">
        <v>95</v>
      </c>
      <c r="P17" s="44" t="s">
        <v>175</v>
      </c>
    </row>
    <row r="18" spans="1:17">
      <c r="B18" s="1" t="s">
        <v>155</v>
      </c>
      <c r="M18" s="1" t="s">
        <v>105</v>
      </c>
      <c r="P18" s="44" t="s">
        <v>176</v>
      </c>
    </row>
    <row r="19" spans="1:17">
      <c r="B19" s="1" t="s">
        <v>156</v>
      </c>
      <c r="M19" s="1" t="s">
        <v>106</v>
      </c>
      <c r="P19" s="44" t="s">
        <v>177</v>
      </c>
    </row>
    <row r="20" spans="1:17">
      <c r="B20" s="1" t="s">
        <v>157</v>
      </c>
      <c r="M20" s="1" t="s">
        <v>8</v>
      </c>
      <c r="P20" s="44" t="s">
        <v>96</v>
      </c>
    </row>
    <row r="21" spans="1:17">
      <c r="Q21" s="44"/>
    </row>
    <row r="22" spans="1:17" ht="15">
      <c r="A22" s="2" t="s">
        <v>9</v>
      </c>
      <c r="N22" s="2"/>
    </row>
    <row r="23" spans="1:17">
      <c r="B23" s="1" t="s">
        <v>158</v>
      </c>
    </row>
    <row r="24" spans="1:17">
      <c r="B24" s="1" t="s">
        <v>161</v>
      </c>
    </row>
    <row r="25" spans="1:17">
      <c r="C25" s="1" t="s">
        <v>159</v>
      </c>
    </row>
    <row r="26" spans="1:17">
      <c r="C26" s="1" t="s">
        <v>160</v>
      </c>
    </row>
    <row r="27" spans="1:17">
      <c r="C27" s="1" t="s">
        <v>162</v>
      </c>
    </row>
    <row r="28" spans="1:17">
      <c r="D28" s="1" t="s">
        <v>1741</v>
      </c>
    </row>
    <row r="29" spans="1:17">
      <c r="B29" s="1" t="s">
        <v>163</v>
      </c>
    </row>
    <row r="30" spans="1:17">
      <c r="C30" s="1" t="s">
        <v>164</v>
      </c>
    </row>
    <row r="31" spans="1:17">
      <c r="B31" s="1" t="s">
        <v>166</v>
      </c>
    </row>
    <row r="32" spans="1:17">
      <c r="C32" s="1" t="s">
        <v>167</v>
      </c>
    </row>
    <row r="33" spans="1:3">
      <c r="C33" s="1" t="s">
        <v>165</v>
      </c>
    </row>
    <row r="34" spans="1:3">
      <c r="B34" s="1" t="s">
        <v>168</v>
      </c>
    </row>
    <row r="36" spans="1:3" ht="15">
      <c r="A36" s="2" t="s">
        <v>98</v>
      </c>
    </row>
  </sheetData>
  <hyperlinks>
    <hyperlink ref="P20" r:id="rId1" xr:uid="{14375537-5C3D-4253-9650-337AB6789785}"/>
    <hyperlink ref="P14" r:id="rId2" xr:uid="{84C90D17-FC12-4163-B096-E7F2EF46BB80}"/>
    <hyperlink ref="P16" r:id="rId3" xr:uid="{7DFA3125-D3AC-4F73-9B1B-DFDE339C5891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ER112"/>
  <sheetViews>
    <sheetView tabSelected="1" zoomScale="85" zoomScaleNormal="85" workbookViewId="0">
      <pane xSplit="2" ySplit="3" topLeftCell="BQ48" activePane="bottomRight" state="frozen"/>
      <selection pane="topRight" activeCell="C1" sqref="C1"/>
      <selection pane="bottomLeft" activeCell="A4" sqref="A4"/>
      <selection pane="bottomRight" activeCell="CQ84" sqref="CQ84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63" width="9.140625" style="1"/>
    <col min="64" max="66" width="9.140625" style="35"/>
    <col min="67" max="85" width="9.140625" style="1"/>
    <col min="86" max="147" width="9.140625" style="35"/>
    <col min="148" max="16384" width="9.140625" style="1"/>
  </cols>
  <sheetData>
    <row r="1" spans="2:148" ht="15">
      <c r="B1" s="1" t="s">
        <v>50</v>
      </c>
      <c r="AM1" s="33" t="s">
        <v>44</v>
      </c>
      <c r="AQ1" s="33" t="s">
        <v>45</v>
      </c>
      <c r="AU1" s="33" t="s">
        <v>46</v>
      </c>
      <c r="AY1" s="33" t="s">
        <v>47</v>
      </c>
      <c r="BC1" s="33" t="s">
        <v>48</v>
      </c>
      <c r="BG1" s="33" t="s">
        <v>49</v>
      </c>
      <c r="BK1" s="33" t="s">
        <v>1740</v>
      </c>
    </row>
    <row r="2" spans="2:148" ht="15">
      <c r="B2" s="1" t="s">
        <v>51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2"/>
      <c r="BQ2" s="2"/>
      <c r="BR2" s="2"/>
    </row>
    <row r="3" spans="2:148" ht="15">
      <c r="B3" s="2" t="s">
        <v>52</v>
      </c>
      <c r="C3" s="2" t="str" cm="1">
        <f t="array" ref="C3:BN3">"Q"&amp;MOD(_xlfn.SEQUENCE(1,64)-1,4)+1&amp;" "&amp;(2011+INT((_xlfn.SEQUENCE(1,64)-1)/4))</f>
        <v>Q1 2011</v>
      </c>
      <c r="D3" s="33" t="str">
        <v>Q2 2011</v>
      </c>
      <c r="E3" s="33" t="str">
        <v>Q3 2011</v>
      </c>
      <c r="F3" s="33" t="str">
        <v>Q4 2011</v>
      </c>
      <c r="G3" s="33" t="str">
        <v>Q1 2012</v>
      </c>
      <c r="H3" s="33" t="str">
        <v>Q2 2012</v>
      </c>
      <c r="I3" s="33" t="str">
        <v>Q3 2012</v>
      </c>
      <c r="J3" s="33" t="str">
        <v>Q4 2012</v>
      </c>
      <c r="K3" s="33" t="str">
        <v>Q1 2013</v>
      </c>
      <c r="L3" s="33" t="str">
        <v>Q2 2013</v>
      </c>
      <c r="M3" s="33" t="str">
        <v>Q3 2013</v>
      </c>
      <c r="N3" s="33" t="str">
        <v>Q4 2013</v>
      </c>
      <c r="O3" s="33" t="str">
        <v>Q1 2014</v>
      </c>
      <c r="P3" s="33" t="str">
        <v>Q2 2014</v>
      </c>
      <c r="Q3" s="33" t="str">
        <v>Q3 2014</v>
      </c>
      <c r="R3" s="33" t="str">
        <v>Q4 2014</v>
      </c>
      <c r="S3" s="33" t="str">
        <v>Q1 2015</v>
      </c>
      <c r="T3" s="33" t="str">
        <v>Q2 2015</v>
      </c>
      <c r="U3" s="33" t="str">
        <v>Q3 2015</v>
      </c>
      <c r="V3" s="33" t="str">
        <v>Q4 2015</v>
      </c>
      <c r="W3" s="33" t="str">
        <v>Q1 2016</v>
      </c>
      <c r="X3" s="33" t="str">
        <v>Q2 2016</v>
      </c>
      <c r="Y3" s="33" t="str">
        <v>Q3 2016</v>
      </c>
      <c r="Z3" s="33" t="str">
        <v>Q4 2016</v>
      </c>
      <c r="AA3" s="33" t="str">
        <v>Q1 2017</v>
      </c>
      <c r="AB3" s="33" t="str">
        <v>Q2 2017</v>
      </c>
      <c r="AC3" s="33" t="str">
        <v>Q3 2017</v>
      </c>
      <c r="AD3" s="33" t="str">
        <v>Q4 2017</v>
      </c>
      <c r="AE3" s="33" t="str">
        <v>Q1 2018</v>
      </c>
      <c r="AF3" s="33" t="str">
        <v>Q2 2018</v>
      </c>
      <c r="AG3" s="33" t="str">
        <v>Q3 2018</v>
      </c>
      <c r="AH3" s="33" t="str">
        <v>Q4 2018</v>
      </c>
      <c r="AI3" s="33" t="str">
        <v>Q1 2019</v>
      </c>
      <c r="AJ3" s="33" t="str">
        <v>Q2 2019</v>
      </c>
      <c r="AK3" s="33" t="str">
        <v>Q3 2019</v>
      </c>
      <c r="AL3" s="33" t="str">
        <v>Q4 2019</v>
      </c>
      <c r="AM3" s="33" t="str">
        <v>Q1 2020</v>
      </c>
      <c r="AN3" s="33" t="str">
        <v>Q2 2020</v>
      </c>
      <c r="AO3" s="33" t="str">
        <v>Q3 2020</v>
      </c>
      <c r="AP3" s="33" t="str">
        <v>Q4 2020</v>
      </c>
      <c r="AQ3" s="33" t="str">
        <v>Q1 2021</v>
      </c>
      <c r="AR3" s="33" t="str">
        <v>Q2 2021</v>
      </c>
      <c r="AS3" s="33" t="str">
        <v>Q3 2021</v>
      </c>
      <c r="AT3" s="33" t="str">
        <v>Q4 2021</v>
      </c>
      <c r="AU3" s="33" t="str">
        <v>Q1 2022</v>
      </c>
      <c r="AV3" s="33" t="str">
        <v>Q2 2022</v>
      </c>
      <c r="AW3" s="33" t="str">
        <v>Q3 2022</v>
      </c>
      <c r="AX3" s="33" t="str">
        <v>Q4 2022</v>
      </c>
      <c r="AY3" s="33" t="str">
        <v>Q1 2023</v>
      </c>
      <c r="AZ3" s="33" t="str">
        <v>Q2 2023</v>
      </c>
      <c r="BA3" s="33" t="str">
        <v>Q3 2023</v>
      </c>
      <c r="BB3" s="33" t="str">
        <v>Q4 2023</v>
      </c>
      <c r="BC3" s="33" t="str">
        <v>Q1 2024</v>
      </c>
      <c r="BD3" s="33" t="str">
        <v>Q2 2024</v>
      </c>
      <c r="BE3" s="33" t="str">
        <v>Q3 2024</v>
      </c>
      <c r="BF3" s="33" t="str">
        <v>Q4 2024</v>
      </c>
      <c r="BG3" s="33" t="str">
        <v>Q1 2025</v>
      </c>
      <c r="BH3" s="2" t="str">
        <v>Q2 2025</v>
      </c>
      <c r="BI3" s="2" t="str">
        <v>Q3 2025</v>
      </c>
      <c r="BJ3" s="2" t="str">
        <v>Q4 2025</v>
      </c>
      <c r="BK3" s="2" t="str">
        <v>Q1 2026</v>
      </c>
      <c r="BL3" s="34" t="str">
        <v>Q2 2026</v>
      </c>
      <c r="BM3" s="34" t="str">
        <v>Q3 2026</v>
      </c>
      <c r="BN3" s="34" t="str">
        <v>Q4 2026</v>
      </c>
      <c r="BS3" s="2">
        <v>2011</v>
      </c>
      <c r="BT3" s="2">
        <f t="shared" ref="BT3:ED3" si="0">BS3+1</f>
        <v>2012</v>
      </c>
      <c r="BU3" s="2">
        <f t="shared" si="0"/>
        <v>2013</v>
      </c>
      <c r="BV3" s="2">
        <f t="shared" si="0"/>
        <v>2014</v>
      </c>
      <c r="BW3" s="2">
        <f t="shared" si="0"/>
        <v>2015</v>
      </c>
      <c r="BX3" s="2">
        <f t="shared" si="0"/>
        <v>2016</v>
      </c>
      <c r="BY3" s="2">
        <f t="shared" si="0"/>
        <v>2017</v>
      </c>
      <c r="BZ3" s="2">
        <f t="shared" si="0"/>
        <v>2018</v>
      </c>
      <c r="CA3" s="2">
        <f t="shared" si="0"/>
        <v>2019</v>
      </c>
      <c r="CB3" s="2">
        <f t="shared" si="0"/>
        <v>2020</v>
      </c>
      <c r="CC3" s="2">
        <f t="shared" si="0"/>
        <v>2021</v>
      </c>
      <c r="CD3" s="2">
        <f t="shared" si="0"/>
        <v>2022</v>
      </c>
      <c r="CE3" s="2">
        <f t="shared" si="0"/>
        <v>2023</v>
      </c>
      <c r="CF3" s="2">
        <f t="shared" si="0"/>
        <v>2024</v>
      </c>
      <c r="CG3" s="2">
        <f t="shared" si="0"/>
        <v>2025</v>
      </c>
      <c r="CH3" s="34">
        <f>CG3+1</f>
        <v>2026</v>
      </c>
      <c r="CI3" s="34">
        <f t="shared" si="0"/>
        <v>2027</v>
      </c>
      <c r="CJ3" s="34">
        <f t="shared" si="0"/>
        <v>2028</v>
      </c>
      <c r="CK3" s="34">
        <f t="shared" si="0"/>
        <v>2029</v>
      </c>
      <c r="CL3" s="34">
        <f t="shared" si="0"/>
        <v>2030</v>
      </c>
      <c r="CM3" s="34">
        <f t="shared" si="0"/>
        <v>2031</v>
      </c>
      <c r="CN3" s="34">
        <f t="shared" si="0"/>
        <v>2032</v>
      </c>
      <c r="CO3" s="34">
        <f t="shared" si="0"/>
        <v>2033</v>
      </c>
      <c r="CP3" s="34">
        <f t="shared" si="0"/>
        <v>2034</v>
      </c>
      <c r="CQ3" s="34">
        <f t="shared" si="0"/>
        <v>2035</v>
      </c>
      <c r="CR3" s="34">
        <f t="shared" si="0"/>
        <v>2036</v>
      </c>
      <c r="CS3" s="34">
        <f t="shared" si="0"/>
        <v>2037</v>
      </c>
      <c r="CT3" s="34">
        <f t="shared" si="0"/>
        <v>2038</v>
      </c>
      <c r="CU3" s="34">
        <f t="shared" si="0"/>
        <v>2039</v>
      </c>
      <c r="CV3" s="34">
        <f t="shared" si="0"/>
        <v>2040</v>
      </c>
      <c r="CW3" s="34">
        <f t="shared" si="0"/>
        <v>2041</v>
      </c>
      <c r="CX3" s="34">
        <f t="shared" si="0"/>
        <v>2042</v>
      </c>
      <c r="CY3" s="34">
        <f t="shared" si="0"/>
        <v>2043</v>
      </c>
      <c r="CZ3" s="34">
        <f t="shared" si="0"/>
        <v>2044</v>
      </c>
      <c r="DA3" s="34">
        <f t="shared" si="0"/>
        <v>2045</v>
      </c>
      <c r="DB3" s="34">
        <f t="shared" si="0"/>
        <v>2046</v>
      </c>
      <c r="DC3" s="34">
        <f t="shared" si="0"/>
        <v>2047</v>
      </c>
      <c r="DD3" s="34">
        <f t="shared" si="0"/>
        <v>2048</v>
      </c>
      <c r="DE3" s="34">
        <f t="shared" si="0"/>
        <v>2049</v>
      </c>
      <c r="DF3" s="34">
        <f t="shared" si="0"/>
        <v>2050</v>
      </c>
      <c r="DG3" s="34">
        <f t="shared" si="0"/>
        <v>2051</v>
      </c>
      <c r="DH3" s="34">
        <f t="shared" si="0"/>
        <v>2052</v>
      </c>
      <c r="DI3" s="34">
        <f t="shared" si="0"/>
        <v>2053</v>
      </c>
      <c r="DJ3" s="34">
        <f t="shared" si="0"/>
        <v>2054</v>
      </c>
      <c r="DK3" s="34">
        <f t="shared" si="0"/>
        <v>2055</v>
      </c>
      <c r="DL3" s="34">
        <f t="shared" si="0"/>
        <v>2056</v>
      </c>
      <c r="DM3" s="34">
        <f t="shared" si="0"/>
        <v>2057</v>
      </c>
      <c r="DN3" s="34">
        <f t="shared" si="0"/>
        <v>2058</v>
      </c>
      <c r="DO3" s="34">
        <f t="shared" si="0"/>
        <v>2059</v>
      </c>
      <c r="DP3" s="34">
        <f t="shared" si="0"/>
        <v>2060</v>
      </c>
      <c r="DQ3" s="34">
        <f t="shared" si="0"/>
        <v>2061</v>
      </c>
      <c r="DR3" s="34">
        <f t="shared" si="0"/>
        <v>2062</v>
      </c>
      <c r="DS3" s="34">
        <f t="shared" si="0"/>
        <v>2063</v>
      </c>
      <c r="DT3" s="34">
        <f t="shared" si="0"/>
        <v>2064</v>
      </c>
      <c r="DU3" s="34">
        <f t="shared" si="0"/>
        <v>2065</v>
      </c>
      <c r="DV3" s="34">
        <f t="shared" si="0"/>
        <v>2066</v>
      </c>
      <c r="DW3" s="34">
        <f t="shared" si="0"/>
        <v>2067</v>
      </c>
      <c r="DX3" s="34">
        <f t="shared" si="0"/>
        <v>2068</v>
      </c>
      <c r="DY3" s="34">
        <f t="shared" si="0"/>
        <v>2069</v>
      </c>
      <c r="DZ3" s="34">
        <f t="shared" si="0"/>
        <v>2070</v>
      </c>
      <c r="EA3" s="34">
        <f t="shared" si="0"/>
        <v>2071</v>
      </c>
      <c r="EB3" s="34">
        <f t="shared" si="0"/>
        <v>2072</v>
      </c>
      <c r="EC3" s="34">
        <f t="shared" si="0"/>
        <v>2073</v>
      </c>
      <c r="ED3" s="34">
        <f t="shared" si="0"/>
        <v>2074</v>
      </c>
      <c r="EE3" s="34">
        <f t="shared" ref="EE3:EO3" si="1">ED3+1</f>
        <v>2075</v>
      </c>
      <c r="EF3" s="34">
        <f t="shared" si="1"/>
        <v>2076</v>
      </c>
      <c r="EG3" s="34">
        <f t="shared" si="1"/>
        <v>2077</v>
      </c>
      <c r="EH3" s="34">
        <f t="shared" si="1"/>
        <v>2078</v>
      </c>
      <c r="EI3" s="34">
        <f t="shared" si="1"/>
        <v>2079</v>
      </c>
      <c r="EJ3" s="34">
        <f t="shared" si="1"/>
        <v>2080</v>
      </c>
      <c r="EK3" s="34">
        <f t="shared" si="1"/>
        <v>2081</v>
      </c>
      <c r="EL3" s="34">
        <f t="shared" si="1"/>
        <v>2082</v>
      </c>
      <c r="EM3" s="34">
        <f t="shared" si="1"/>
        <v>2083</v>
      </c>
      <c r="EN3" s="34">
        <f t="shared" si="1"/>
        <v>2084</v>
      </c>
      <c r="EO3" s="34">
        <f t="shared" si="1"/>
        <v>2085</v>
      </c>
      <c r="EP3" s="34"/>
      <c r="EQ3" s="34"/>
      <c r="ER3" s="2"/>
    </row>
    <row r="4" spans="2:148">
      <c r="B4" s="36" t="s">
        <v>1686</v>
      </c>
      <c r="AQ4" s="1">
        <v>774</v>
      </c>
      <c r="AR4" s="1">
        <v>778</v>
      </c>
      <c r="AS4" s="1">
        <v>794</v>
      </c>
      <c r="AT4" s="1">
        <f>3217-SUM(AQ4:AS4)</f>
        <v>871</v>
      </c>
      <c r="AU4" s="1">
        <v>853</v>
      </c>
      <c r="AV4" s="1">
        <v>813</v>
      </c>
      <c r="AW4" s="1">
        <v>796</v>
      </c>
      <c r="AX4" s="1">
        <f>3225-SUM(AU4:AW4)</f>
        <v>763</v>
      </c>
      <c r="AY4" s="1">
        <v>764</v>
      </c>
      <c r="AZ4" s="1">
        <v>804</v>
      </c>
      <c r="BA4" s="1">
        <v>760</v>
      </c>
      <c r="BB4" s="1">
        <f>3083-SUM(AY4:BA4)</f>
        <v>755</v>
      </c>
      <c r="BC4" s="1">
        <v>762</v>
      </c>
      <c r="BD4" s="1">
        <v>807</v>
      </c>
      <c r="BE4" s="1">
        <v>807</v>
      </c>
      <c r="BF4" s="1">
        <f>3155-SUM(BC4:BE4)</f>
        <v>779</v>
      </c>
      <c r="BG4" s="1">
        <v>768</v>
      </c>
      <c r="BH4" s="1">
        <v>811</v>
      </c>
      <c r="BI4" s="1">
        <v>816</v>
      </c>
      <c r="BJ4" s="1">
        <f>3227-SUM(BG4:BI4)</f>
        <v>832</v>
      </c>
      <c r="BK4" s="1">
        <v>797</v>
      </c>
      <c r="CC4" s="1">
        <f>SUM(AQ4:AT4)</f>
        <v>3217</v>
      </c>
      <c r="CD4" s="1">
        <f>SUM(AU4:AX4)</f>
        <v>3225</v>
      </c>
      <c r="CE4" s="1">
        <f>SUM(AY4:BB4)</f>
        <v>3083</v>
      </c>
      <c r="CF4" s="1">
        <f>SUM(BC4:BF4)</f>
        <v>3155</v>
      </c>
      <c r="CG4" s="1">
        <f>SUM(BG4:BJ4)</f>
        <v>3227</v>
      </c>
      <c r="CH4" s="35">
        <f>CG4*(1+CH10)</f>
        <v>6454</v>
      </c>
      <c r="CI4" s="35">
        <f>CH4*(1+CI10)</f>
        <v>12908</v>
      </c>
      <c r="CJ4" s="35">
        <f>CI4*(1+CJ10)</f>
        <v>25816</v>
      </c>
      <c r="CK4" s="35">
        <f>CJ4*(1+CK10)</f>
        <v>51632</v>
      </c>
      <c r="CL4" s="35">
        <f>CK4*(1+CL10)</f>
        <v>103264</v>
      </c>
      <c r="CM4" s="35">
        <f>CL4*(1+CM10)</f>
        <v>206528</v>
      </c>
      <c r="CN4" s="35">
        <f>CM4*(1+CN10)</f>
        <v>413056</v>
      </c>
      <c r="CO4" s="35">
        <f>CN4*(1+CO10)</f>
        <v>826112</v>
      </c>
      <c r="CP4" s="35">
        <f>CO4*(1+CP10)</f>
        <v>1652224</v>
      </c>
      <c r="CQ4" s="35">
        <f>CP4*(1+CQ10)</f>
        <v>3304448</v>
      </c>
    </row>
    <row r="5" spans="2:148">
      <c r="B5" s="36" t="s">
        <v>1687</v>
      </c>
      <c r="AQ5" s="1">
        <v>179</v>
      </c>
      <c r="AR5" s="1">
        <v>194</v>
      </c>
      <c r="AS5" s="1">
        <v>184</v>
      </c>
      <c r="AT5" s="1">
        <f>751-SUM(AQ5:AS5)</f>
        <v>194</v>
      </c>
      <c r="AU5" s="1">
        <v>217</v>
      </c>
      <c r="AV5" s="1">
        <v>193</v>
      </c>
      <c r="AW5" s="1">
        <v>167</v>
      </c>
      <c r="AX5" s="1">
        <f>728-SUM(AU5:AW5)</f>
        <v>151</v>
      </c>
      <c r="AY5" s="1">
        <v>158</v>
      </c>
      <c r="AZ5" s="1">
        <v>197</v>
      </c>
      <c r="BA5" s="1">
        <v>181</v>
      </c>
      <c r="BB5" s="1">
        <f>704-SUM(AY5:BA5)</f>
        <v>168</v>
      </c>
      <c r="BC5" s="1">
        <v>114</v>
      </c>
      <c r="BD5" s="1">
        <v>120</v>
      </c>
      <c r="BE5" s="1">
        <v>107</v>
      </c>
      <c r="BF5" s="1">
        <f>501-SUM(BC5:BE5)</f>
        <v>160</v>
      </c>
      <c r="BG5" s="1">
        <v>112</v>
      </c>
      <c r="BH5" s="1">
        <v>101</v>
      </c>
      <c r="BI5" s="1">
        <v>111</v>
      </c>
      <c r="BJ5" s="1">
        <f>482-SUM(BG5:BI5)</f>
        <v>158</v>
      </c>
      <c r="BK5" s="1">
        <v>120</v>
      </c>
      <c r="CC5" s="1">
        <f>SUM(AQ5:AT5)</f>
        <v>751</v>
      </c>
      <c r="CD5" s="1">
        <f>SUM(AU5:AX5)</f>
        <v>728</v>
      </c>
      <c r="CE5" s="1">
        <f>SUM(AY5:BB5)</f>
        <v>704</v>
      </c>
      <c r="CF5" s="1">
        <f>SUM(BC5:BF5)</f>
        <v>501</v>
      </c>
      <c r="CG5" s="1">
        <f>SUM(BG5:BJ5)</f>
        <v>482</v>
      </c>
      <c r="CH5" s="35">
        <f>CG5*(1+CH11)</f>
        <v>964</v>
      </c>
      <c r="CI5" s="35">
        <f>CH5*(1+CI11)</f>
        <v>1928</v>
      </c>
      <c r="CJ5" s="35">
        <f>CI5*(1+CJ11)</f>
        <v>3856</v>
      </c>
      <c r="CK5" s="35">
        <f>CJ5*(1+CK11)</f>
        <v>7712</v>
      </c>
      <c r="CL5" s="35">
        <f>CK5*(1+CL11)</f>
        <v>15424</v>
      </c>
      <c r="CM5" s="35">
        <f>CL5*(1+CM11)</f>
        <v>30848</v>
      </c>
      <c r="CN5" s="35">
        <f>CM5*(1+CN11)</f>
        <v>61696</v>
      </c>
      <c r="CO5" s="35">
        <f>CN5*(1+CO11)</f>
        <v>123392</v>
      </c>
      <c r="CP5" s="35">
        <f>CO5*(1+CP11)</f>
        <v>246784</v>
      </c>
      <c r="CQ5" s="35">
        <f>CP5*(1+CQ11)</f>
        <v>493568</v>
      </c>
    </row>
    <row r="6" spans="2:148" ht="15">
      <c r="B6" s="33" t="s">
        <v>1688</v>
      </c>
      <c r="AQ6" s="2">
        <f t="shared" ref="AQ6:BJ6" si="2">AQ4+AQ5</f>
        <v>953</v>
      </c>
      <c r="AR6" s="2">
        <f t="shared" si="2"/>
        <v>972</v>
      </c>
      <c r="AS6" s="2">
        <f t="shared" si="2"/>
        <v>978</v>
      </c>
      <c r="AT6" s="2">
        <f t="shared" si="2"/>
        <v>1065</v>
      </c>
      <c r="AU6" s="2">
        <f t="shared" si="2"/>
        <v>1070</v>
      </c>
      <c r="AV6" s="2">
        <f t="shared" si="2"/>
        <v>1006</v>
      </c>
      <c r="AW6" s="2">
        <f t="shared" si="2"/>
        <v>963</v>
      </c>
      <c r="AX6" s="2">
        <f t="shared" si="2"/>
        <v>914</v>
      </c>
      <c r="AY6" s="2">
        <f t="shared" si="2"/>
        <v>922</v>
      </c>
      <c r="AZ6" s="2">
        <f t="shared" si="2"/>
        <v>1001</v>
      </c>
      <c r="BA6" s="2">
        <f t="shared" si="2"/>
        <v>941</v>
      </c>
      <c r="BB6" s="2">
        <f t="shared" si="2"/>
        <v>923</v>
      </c>
      <c r="BC6" s="2">
        <f t="shared" si="2"/>
        <v>876</v>
      </c>
      <c r="BD6" s="2">
        <f t="shared" si="2"/>
        <v>927</v>
      </c>
      <c r="BE6" s="2">
        <f t="shared" si="2"/>
        <v>914</v>
      </c>
      <c r="BF6" s="2">
        <f t="shared" si="2"/>
        <v>939</v>
      </c>
      <c r="BG6" s="2">
        <f t="shared" si="2"/>
        <v>880</v>
      </c>
      <c r="BH6" s="2">
        <f t="shared" si="2"/>
        <v>912</v>
      </c>
      <c r="BI6" s="2">
        <f t="shared" si="2"/>
        <v>927</v>
      </c>
      <c r="BJ6" s="2">
        <f t="shared" si="2"/>
        <v>990</v>
      </c>
      <c r="BK6" s="2">
        <f>BK4+BK5</f>
        <v>917</v>
      </c>
      <c r="CC6" s="1">
        <f>SUM(AQ6:AT6)</f>
        <v>3968</v>
      </c>
      <c r="CD6" s="1">
        <f>SUM(AU6:AX6)</f>
        <v>3953</v>
      </c>
      <c r="CE6" s="1">
        <f>SUM(AY6:BB6)</f>
        <v>3787</v>
      </c>
      <c r="CF6" s="1">
        <f>SUM(BC6:BF6)</f>
        <v>3656</v>
      </c>
      <c r="CG6" s="1">
        <f>SUM(BG6:BJ6)</f>
        <v>3709</v>
      </c>
      <c r="CH6" s="35">
        <f>CG6*(1+CH12)</f>
        <v>7418</v>
      </c>
      <c r="CI6" s="35">
        <f>CH6*(1+CI12)</f>
        <v>14836</v>
      </c>
      <c r="CJ6" s="35">
        <f>CI6*(1+CJ12)</f>
        <v>29672</v>
      </c>
      <c r="CK6" s="35">
        <f>CJ6*(1+CK12)</f>
        <v>59344</v>
      </c>
      <c r="CL6" s="35">
        <f>CK6*(1+CL12)</f>
        <v>118688</v>
      </c>
      <c r="CM6" s="35">
        <f>CL6*(1+CM12)</f>
        <v>237376</v>
      </c>
      <c r="CN6" s="35">
        <f>CM6*(1+CN12)</f>
        <v>474752</v>
      </c>
      <c r="CO6" s="35">
        <f>CN6*(1+CO12)</f>
        <v>949504</v>
      </c>
      <c r="CP6" s="35">
        <f>CO6*(1+CP12)</f>
        <v>1899008</v>
      </c>
      <c r="CQ6" s="35">
        <f>CP6*(1+CQ12)</f>
        <v>3798016</v>
      </c>
    </row>
    <row r="7" spans="2:148">
      <c r="B7" s="36" t="s">
        <v>1689</v>
      </c>
      <c r="AQ7" s="1">
        <v>140</v>
      </c>
      <c r="AR7" s="1">
        <v>154</v>
      </c>
      <c r="AS7" s="1">
        <v>130</v>
      </c>
      <c r="AT7" s="1">
        <f>558-SUM(AQ7:AS7)</f>
        <v>134</v>
      </c>
      <c r="AU7" s="1">
        <v>153</v>
      </c>
      <c r="AV7" s="1">
        <v>156</v>
      </c>
      <c r="AW7" s="1">
        <v>152</v>
      </c>
      <c r="AX7" s="1">
        <f>631-SUM(AU7:AW7)</f>
        <v>170</v>
      </c>
      <c r="AY7" s="1">
        <v>165</v>
      </c>
      <c r="AZ7" s="1">
        <v>175</v>
      </c>
      <c r="BA7" s="1">
        <v>178</v>
      </c>
      <c r="BB7" s="1">
        <f>717-SUM(AY7:BA7)</f>
        <v>199</v>
      </c>
      <c r="BC7" s="1">
        <v>200</v>
      </c>
      <c r="BD7" s="1">
        <v>185</v>
      </c>
      <c r="BE7" s="1">
        <v>166</v>
      </c>
      <c r="BF7" s="1">
        <f>716-SUM(BC7:BE7)</f>
        <v>165</v>
      </c>
      <c r="BG7" s="1">
        <v>161</v>
      </c>
      <c r="BH7" s="1">
        <v>147</v>
      </c>
      <c r="BI7" s="1">
        <v>157</v>
      </c>
      <c r="BJ7" s="1">
        <f>634-SUM(BG7:BI7)</f>
        <v>169</v>
      </c>
      <c r="BK7" s="1">
        <v>174</v>
      </c>
      <c r="CC7" s="1">
        <f>SUM(AQ7:AT7)</f>
        <v>558</v>
      </c>
      <c r="CD7" s="1">
        <f>SUM(AU7:AX7)</f>
        <v>631</v>
      </c>
      <c r="CE7" s="1">
        <f>SUM(AY7:BB7)</f>
        <v>717</v>
      </c>
      <c r="CF7" s="1">
        <f>SUM(BC7:BF7)</f>
        <v>716</v>
      </c>
      <c r="CG7" s="1">
        <f>SUM(BG7:BJ7)</f>
        <v>634</v>
      </c>
      <c r="CH7" s="35">
        <f>CG7*(1+CH13)</f>
        <v>1268</v>
      </c>
      <c r="CI7" s="35">
        <f>CH7*(1+CI13)</f>
        <v>2536</v>
      </c>
      <c r="CJ7" s="35">
        <f>CI7*(1+CJ13)</f>
        <v>5072</v>
      </c>
      <c r="CK7" s="35">
        <f>CJ7*(1+CK13)</f>
        <v>10144</v>
      </c>
      <c r="CL7" s="35">
        <f>CK7*(1+CL13)</f>
        <v>20288</v>
      </c>
      <c r="CM7" s="35">
        <f>CL7*(1+CM13)</f>
        <v>40576</v>
      </c>
      <c r="CN7" s="35">
        <f>CM7*(1+CN13)</f>
        <v>81152</v>
      </c>
      <c r="CO7" s="35">
        <f>CN7*(1+CO13)</f>
        <v>162304</v>
      </c>
      <c r="CP7" s="35">
        <f>CO7*(1+CP13)</f>
        <v>324608</v>
      </c>
      <c r="CQ7" s="35">
        <f>CP7*(1+CQ13)</f>
        <v>649216</v>
      </c>
    </row>
    <row r="8" spans="2:148" s="2" customFormat="1" ht="15">
      <c r="B8" s="33" t="s">
        <v>53</v>
      </c>
      <c r="AQ8" s="2">
        <f t="shared" ref="AQ8:BJ8" si="3">AQ6+AQ7</f>
        <v>1093</v>
      </c>
      <c r="AR8" s="2">
        <f t="shared" si="3"/>
        <v>1126</v>
      </c>
      <c r="AS8" s="2">
        <f t="shared" si="3"/>
        <v>1108</v>
      </c>
      <c r="AT8" s="2">
        <f t="shared" si="3"/>
        <v>1199</v>
      </c>
      <c r="AU8" s="2">
        <f t="shared" si="3"/>
        <v>1223</v>
      </c>
      <c r="AV8" s="2">
        <f t="shared" si="3"/>
        <v>1162</v>
      </c>
      <c r="AW8" s="2">
        <f t="shared" si="3"/>
        <v>1115</v>
      </c>
      <c r="AX8" s="2">
        <f t="shared" si="3"/>
        <v>1084</v>
      </c>
      <c r="AY8" s="2">
        <f t="shared" si="3"/>
        <v>1087</v>
      </c>
      <c r="AZ8" s="2">
        <f t="shared" si="3"/>
        <v>1176</v>
      </c>
      <c r="BA8" s="2">
        <f t="shared" si="3"/>
        <v>1119</v>
      </c>
      <c r="BB8" s="2">
        <f t="shared" si="3"/>
        <v>1122</v>
      </c>
      <c r="BC8" s="2">
        <f t="shared" si="3"/>
        <v>1076</v>
      </c>
      <c r="BD8" s="2">
        <f t="shared" si="3"/>
        <v>1112</v>
      </c>
      <c r="BE8" s="2">
        <f t="shared" si="3"/>
        <v>1080</v>
      </c>
      <c r="BF8" s="2">
        <f t="shared" si="3"/>
        <v>1104</v>
      </c>
      <c r="BG8" s="2">
        <f t="shared" si="3"/>
        <v>1041</v>
      </c>
      <c r="BH8" s="2">
        <f t="shared" si="3"/>
        <v>1059</v>
      </c>
      <c r="BI8" s="2">
        <f t="shared" si="3"/>
        <v>1084</v>
      </c>
      <c r="BJ8" s="2">
        <f t="shared" si="3"/>
        <v>1159</v>
      </c>
      <c r="BK8" s="2">
        <f>BK6+BK7</f>
        <v>1091</v>
      </c>
      <c r="BL8" s="34"/>
      <c r="BM8" s="34"/>
      <c r="BN8" s="34"/>
      <c r="CC8" s="2">
        <f>SUM(AQ8:AT8)</f>
        <v>4526</v>
      </c>
      <c r="CD8" s="2">
        <f>SUM(AU8:AX8)</f>
        <v>4584</v>
      </c>
      <c r="CE8" s="2">
        <f>SUM(AY8:BB8)</f>
        <v>4504</v>
      </c>
      <c r="CF8" s="2">
        <f>SUM(BC8:BF8)</f>
        <v>4372</v>
      </c>
      <c r="CG8" s="2">
        <f>SUM(BG8:BJ8)</f>
        <v>4343</v>
      </c>
      <c r="CH8" s="34">
        <f>SUM(CH4:CH7)</f>
        <v>16104</v>
      </c>
      <c r="CI8" s="34">
        <f>SUM(CI4:CI7)</f>
        <v>32208</v>
      </c>
      <c r="CJ8" s="34">
        <f>SUM(CJ4:CJ7)</f>
        <v>64416</v>
      </c>
      <c r="CK8" s="34">
        <f>SUM(CK4:CK7)</f>
        <v>128832</v>
      </c>
      <c r="CL8" s="34">
        <f>SUM(CL4:CL7)</f>
        <v>257664</v>
      </c>
      <c r="CM8" s="34">
        <f>SUM(CM4:CM7)</f>
        <v>515328</v>
      </c>
      <c r="CN8" s="34">
        <f>SUM(CN4:CN7)</f>
        <v>1030656</v>
      </c>
      <c r="CO8" s="34">
        <f>SUM(CO4:CO7)</f>
        <v>2061312</v>
      </c>
      <c r="CP8" s="34">
        <f>SUM(CP4:CP7)</f>
        <v>4122624</v>
      </c>
      <c r="CQ8" s="34">
        <f>SUM(CQ4:CQ7)</f>
        <v>8245248</v>
      </c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</row>
    <row r="9" spans="2:148">
      <c r="B9" s="36"/>
    </row>
    <row r="10" spans="2:148">
      <c r="B10" s="36" t="s">
        <v>1702</v>
      </c>
      <c r="AU10" s="84">
        <f>AU4/AQ4-1</f>
        <v>0.10206718346253241</v>
      </c>
      <c r="AV10" s="84">
        <f>AV4/AR4-1</f>
        <v>4.4987146529563038E-2</v>
      </c>
      <c r="AW10" s="84">
        <f>AW4/AS4-1</f>
        <v>2.5188916876575096E-3</v>
      </c>
      <c r="AX10" s="84">
        <f>AX4/AT4-1</f>
        <v>-0.12399540757749716</v>
      </c>
      <c r="AY10" s="84">
        <f>AY4/AU4-1</f>
        <v>-0.10433763188745604</v>
      </c>
      <c r="AZ10" s="84">
        <f>AZ4/AV4-1</f>
        <v>-1.1070110701106972E-2</v>
      </c>
      <c r="BA10" s="84">
        <f>BA4/AW4-1</f>
        <v>-4.5226130653266305E-2</v>
      </c>
      <c r="BB10" s="84">
        <f>BB4/AX4-1</f>
        <v>-1.0484927916120546E-2</v>
      </c>
      <c r="BC10" s="84">
        <f>BC4/AY4-1</f>
        <v>-2.6178010471203939E-3</v>
      </c>
      <c r="BD10" s="84">
        <f>BD4/AZ4-1</f>
        <v>3.7313432835821558E-3</v>
      </c>
      <c r="BE10" s="84">
        <f>BE4/BA4-1</f>
        <v>6.184210526315792E-2</v>
      </c>
      <c r="BF10" s="84">
        <f>BF4/BB4-1</f>
        <v>3.1788079470198571E-2</v>
      </c>
      <c r="BG10" s="84">
        <f>BG4/BC4-1</f>
        <v>7.8740157480314821E-3</v>
      </c>
      <c r="BH10" s="84">
        <f>BH4/BD4-1</f>
        <v>4.956629491945419E-3</v>
      </c>
      <c r="BI10" s="84">
        <f>BI4/BE4-1</f>
        <v>1.1152416356877248E-2</v>
      </c>
      <c r="BJ10" s="84">
        <f>BJ4/BF4-1</f>
        <v>6.8035943517329889E-2</v>
      </c>
      <c r="BK10" s="84">
        <f>BK4/BG4-1</f>
        <v>3.7760416666666741E-2</v>
      </c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>
        <f>CD4/CC4-1</f>
        <v>2.4867889337891746E-3</v>
      </c>
      <c r="CE10" s="84">
        <f>CE4/CD4-1</f>
        <v>-4.4031007751938023E-2</v>
      </c>
      <c r="CF10" s="84">
        <f>CF4/CE4-1</f>
        <v>2.3353876094712955E-2</v>
      </c>
      <c r="CG10" s="84">
        <f>CG4/CF4-1</f>
        <v>2.2820919175911225E-2</v>
      </c>
      <c r="CH10" s="45">
        <v>1</v>
      </c>
      <c r="CI10" s="45">
        <v>1</v>
      </c>
      <c r="CJ10" s="45">
        <v>1</v>
      </c>
      <c r="CK10" s="45">
        <v>1</v>
      </c>
      <c r="CL10" s="45">
        <v>1</v>
      </c>
      <c r="CM10" s="45">
        <v>1</v>
      </c>
      <c r="CN10" s="45">
        <v>1</v>
      </c>
      <c r="CO10" s="45">
        <v>1</v>
      </c>
      <c r="CP10" s="45">
        <v>1</v>
      </c>
      <c r="CQ10" s="45">
        <v>1</v>
      </c>
    </row>
    <row r="11" spans="2:148">
      <c r="B11" s="36" t="s">
        <v>1703</v>
      </c>
      <c r="AU11" s="84">
        <f>AU5/AQ5-1</f>
        <v>0.2122905027932962</v>
      </c>
      <c r="AV11" s="84">
        <f>AV5/AR5-1</f>
        <v>-5.1546391752577136E-3</v>
      </c>
      <c r="AW11" s="84">
        <f>AW5/AS5-1</f>
        <v>-9.2391304347826053E-2</v>
      </c>
      <c r="AX11" s="84">
        <f>AX5/AT5-1</f>
        <v>-0.22164948453608246</v>
      </c>
      <c r="AY11" s="84">
        <f>AY5/AU5-1</f>
        <v>-0.27188940092165903</v>
      </c>
      <c r="AZ11" s="84">
        <f>AZ5/AV5-1</f>
        <v>2.0725388601036343E-2</v>
      </c>
      <c r="BA11" s="84">
        <f>BA5/AW5-1</f>
        <v>8.3832335329341312E-2</v>
      </c>
      <c r="BB11" s="84">
        <f>BB5/AX5-1</f>
        <v>0.11258278145695355</v>
      </c>
      <c r="BC11" s="84">
        <f>BC5/AY5-1</f>
        <v>-0.27848101265822789</v>
      </c>
      <c r="BD11" s="84">
        <f>BD5/AZ5-1</f>
        <v>-0.3908629441624365</v>
      </c>
      <c r="BE11" s="84">
        <f>BE5/BA5-1</f>
        <v>-0.40883977900552482</v>
      </c>
      <c r="BF11" s="84">
        <f>BF5/BB5-1</f>
        <v>-4.7619047619047672E-2</v>
      </c>
      <c r="BG11" s="84">
        <f>BG5/BC5-1</f>
        <v>-1.7543859649122862E-2</v>
      </c>
      <c r="BH11" s="84">
        <f>BH5/BD5-1</f>
        <v>-0.15833333333333333</v>
      </c>
      <c r="BI11" s="84">
        <f>BI5/BE5-1</f>
        <v>3.7383177570093462E-2</v>
      </c>
      <c r="BJ11" s="84">
        <f>BJ5/BF5-1</f>
        <v>-1.2499999999999956E-2</v>
      </c>
      <c r="BK11" s="84">
        <f>BK5/BG5-1</f>
        <v>7.1428571428571397E-2</v>
      </c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>
        <f>CD5/CC5-1</f>
        <v>-3.0625832223701743E-2</v>
      </c>
      <c r="CE11" s="84">
        <f>CE5/CD5-1</f>
        <v>-3.2967032967032961E-2</v>
      </c>
      <c r="CF11" s="84">
        <f>CF5/CE5-1</f>
        <v>-0.28835227272727271</v>
      </c>
      <c r="CG11" s="84">
        <f>CG5/CF5-1</f>
        <v>-3.7924151696606789E-2</v>
      </c>
      <c r="CH11" s="45">
        <v>1</v>
      </c>
      <c r="CI11" s="45">
        <v>1</v>
      </c>
      <c r="CJ11" s="45">
        <v>1</v>
      </c>
      <c r="CK11" s="45">
        <v>1</v>
      </c>
      <c r="CL11" s="45">
        <v>1</v>
      </c>
      <c r="CM11" s="45">
        <v>1</v>
      </c>
      <c r="CN11" s="45">
        <v>1</v>
      </c>
      <c r="CO11" s="45">
        <v>1</v>
      </c>
      <c r="CP11" s="45">
        <v>1</v>
      </c>
      <c r="CQ11" s="45">
        <v>1</v>
      </c>
    </row>
    <row r="12" spans="2:148" ht="15">
      <c r="B12" s="33" t="s">
        <v>1704</v>
      </c>
      <c r="AU12" s="84">
        <f>AU6/AQ6-1</f>
        <v>0.12277019937040934</v>
      </c>
      <c r="AV12" s="84">
        <f>AV6/AR6-1</f>
        <v>3.4979423868312765E-2</v>
      </c>
      <c r="AW12" s="84">
        <f>AW6/AS6-1</f>
        <v>-1.5337423312883458E-2</v>
      </c>
      <c r="AX12" s="84">
        <f>AX6/AT6-1</f>
        <v>-0.14178403755868541</v>
      </c>
      <c r="AY12" s="84">
        <f>AY6/AU6-1</f>
        <v>-0.13831775700934579</v>
      </c>
      <c r="AZ12" s="84">
        <f>AZ6/AV6-1</f>
        <v>-4.9701789264413598E-3</v>
      </c>
      <c r="BA12" s="84">
        <f>BA6/AW6-1</f>
        <v>-2.2845275181723745E-2</v>
      </c>
      <c r="BB12" s="84">
        <f>BB6/AX6-1</f>
        <v>9.8468271334792856E-3</v>
      </c>
      <c r="BC12" s="84">
        <f>BC6/AY6-1</f>
        <v>-4.9891540130151846E-2</v>
      </c>
      <c r="BD12" s="84">
        <f>BD6/AZ6-1</f>
        <v>-7.3926073926073976E-2</v>
      </c>
      <c r="BE12" s="84">
        <f>BE6/BA6-1</f>
        <v>-2.8692879914984037E-2</v>
      </c>
      <c r="BF12" s="84">
        <f>BF6/BB6-1</f>
        <v>1.7334777898158071E-2</v>
      </c>
      <c r="BG12" s="84">
        <f>BG6/BC6-1</f>
        <v>4.5662100456620447E-3</v>
      </c>
      <c r="BH12" s="84">
        <f>BH6/BD6-1</f>
        <v>-1.6181229773462813E-2</v>
      </c>
      <c r="BI12" s="84">
        <f>BI6/BE6-1</f>
        <v>1.4223194748358869E-2</v>
      </c>
      <c r="BJ12" s="84">
        <f>BJ6/BF6-1</f>
        <v>5.4313099041533475E-2</v>
      </c>
      <c r="BK12" s="84">
        <f>BK6/BG6-1</f>
        <v>4.2045454545454497E-2</v>
      </c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>
        <f>CD6/CC6-1</f>
        <v>-3.7802419354838745E-3</v>
      </c>
      <c r="CE12" s="84">
        <f>CE6/CD6-1</f>
        <v>-4.1993422716923856E-2</v>
      </c>
      <c r="CF12" s="84">
        <f>CF6/CE6-1</f>
        <v>-3.459202534988115E-2</v>
      </c>
      <c r="CG12" s="84">
        <f>CG6/CF6-1</f>
        <v>1.4496717724288732E-2</v>
      </c>
      <c r="CH12" s="45">
        <v>1</v>
      </c>
      <c r="CI12" s="45">
        <v>1</v>
      </c>
      <c r="CJ12" s="45">
        <v>1</v>
      </c>
      <c r="CK12" s="45">
        <v>1</v>
      </c>
      <c r="CL12" s="45">
        <v>1</v>
      </c>
      <c r="CM12" s="45">
        <v>1</v>
      </c>
      <c r="CN12" s="45">
        <v>1</v>
      </c>
      <c r="CO12" s="45">
        <v>1</v>
      </c>
      <c r="CP12" s="45">
        <v>1</v>
      </c>
      <c r="CQ12" s="45">
        <v>1</v>
      </c>
    </row>
    <row r="13" spans="2:148">
      <c r="B13" s="36" t="s">
        <v>1705</v>
      </c>
      <c r="AU13" s="84">
        <f>AU7/AQ7-1</f>
        <v>9.2857142857142749E-2</v>
      </c>
      <c r="AV13" s="84">
        <f>AV7/AR7-1</f>
        <v>1.298701298701288E-2</v>
      </c>
      <c r="AW13" s="84">
        <f>AW7/AS7-1</f>
        <v>0.1692307692307693</v>
      </c>
      <c r="AX13" s="84">
        <f>AX7/AT7-1</f>
        <v>0.26865671641791056</v>
      </c>
      <c r="AY13" s="84">
        <f>AY7/AU7-1</f>
        <v>7.8431372549019551E-2</v>
      </c>
      <c r="AZ13" s="84">
        <f>AZ7/AV7-1</f>
        <v>0.12179487179487181</v>
      </c>
      <c r="BA13" s="84">
        <f>BA7/AW7-1</f>
        <v>0.17105263157894735</v>
      </c>
      <c r="BB13" s="84">
        <f>BB7/AX7-1</f>
        <v>0.17058823529411771</v>
      </c>
      <c r="BC13" s="84">
        <f>BC7/AY7-1</f>
        <v>0.21212121212121215</v>
      </c>
      <c r="BD13" s="84">
        <f>BD7/AZ7-1</f>
        <v>5.7142857142857162E-2</v>
      </c>
      <c r="BE13" s="84">
        <f>BE7/BA7-1</f>
        <v>-6.7415730337078705E-2</v>
      </c>
      <c r="BF13" s="84">
        <f>BF7/BB7-1</f>
        <v>-0.17085427135678388</v>
      </c>
      <c r="BG13" s="84">
        <f>BG7/BC7-1</f>
        <v>-0.19499999999999995</v>
      </c>
      <c r="BH13" s="84">
        <f>BH7/BD7-1</f>
        <v>-0.20540540540540542</v>
      </c>
      <c r="BI13" s="84">
        <f>BI7/BE7-1</f>
        <v>-5.4216867469879526E-2</v>
      </c>
      <c r="BJ13" s="84">
        <f>BJ7/BF7-1</f>
        <v>2.4242424242424176E-2</v>
      </c>
      <c r="BK13" s="84">
        <f>BK7/BG7-1</f>
        <v>8.0745341614906874E-2</v>
      </c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>
        <f>CD7/CC7-1</f>
        <v>0.13082437275985659</v>
      </c>
      <c r="CE13" s="84">
        <f>CE7/CD7-1</f>
        <v>0.13629160063391432</v>
      </c>
      <c r="CF13" s="84">
        <f>CF7/CE7-1</f>
        <v>-1.3947001394699621E-3</v>
      </c>
      <c r="CG13" s="84">
        <f>CG7/CF7-1</f>
        <v>-0.11452513966480449</v>
      </c>
      <c r="CH13" s="45">
        <v>1</v>
      </c>
      <c r="CI13" s="45">
        <v>1</v>
      </c>
      <c r="CJ13" s="45">
        <v>1</v>
      </c>
      <c r="CK13" s="45">
        <v>1</v>
      </c>
      <c r="CL13" s="45">
        <v>1</v>
      </c>
      <c r="CM13" s="45">
        <v>1</v>
      </c>
      <c r="CN13" s="45">
        <v>1</v>
      </c>
      <c r="CO13" s="45">
        <v>1</v>
      </c>
      <c r="CP13" s="45">
        <v>1</v>
      </c>
      <c r="CQ13" s="45">
        <v>1</v>
      </c>
    </row>
    <row r="14" spans="2:148" s="2" customFormat="1" ht="15">
      <c r="B14" s="33" t="s">
        <v>107</v>
      </c>
      <c r="AQ14" s="1"/>
      <c r="AR14" s="1"/>
      <c r="AS14" s="1"/>
      <c r="AT14" s="1"/>
      <c r="AU14" s="84">
        <f>AU8/AQ8-1</f>
        <v>0.11893870082342173</v>
      </c>
      <c r="AV14" s="84">
        <f>AV8/AR8-1</f>
        <v>3.1971580817051537E-2</v>
      </c>
      <c r="AW14" s="84">
        <f>AW8/AS8-1</f>
        <v>6.3176895306860104E-3</v>
      </c>
      <c r="AX14" s="84">
        <f>AX8/AT8-1</f>
        <v>-9.591326105087572E-2</v>
      </c>
      <c r="AY14" s="84">
        <f>AY8/AU8-1</f>
        <v>-0.11120196238757152</v>
      </c>
      <c r="AZ14" s="84">
        <f>AZ8/AV8-1</f>
        <v>1.2048192771084265E-2</v>
      </c>
      <c r="BA14" s="84">
        <f>BA8/AW8-1</f>
        <v>3.5874439461882623E-3</v>
      </c>
      <c r="BB14" s="84">
        <f>BB8/AX8-1</f>
        <v>3.5055350553505615E-2</v>
      </c>
      <c r="BC14" s="84">
        <f>BC8/AY8-1</f>
        <v>-1.0119595216191324E-2</v>
      </c>
      <c r="BD14" s="84">
        <f>BD8/AZ8-1</f>
        <v>-5.4421768707482943E-2</v>
      </c>
      <c r="BE14" s="84">
        <f>BE8/BA8-1</f>
        <v>-3.4852546916890104E-2</v>
      </c>
      <c r="BF14" s="84">
        <f>BF8/BB8-1</f>
        <v>-1.6042780748663055E-2</v>
      </c>
      <c r="BG14" s="84">
        <f>BG8/BC8-1</f>
        <v>-3.2527881040892215E-2</v>
      </c>
      <c r="BH14" s="84">
        <f>BH8/BD8-1</f>
        <v>-4.7661870503597159E-2</v>
      </c>
      <c r="BI14" s="84">
        <f>BI8/BE8-1</f>
        <v>3.7037037037037646E-3</v>
      </c>
      <c r="BJ14" s="84">
        <f>BJ8/BF8-1</f>
        <v>4.98188405797102E-2</v>
      </c>
      <c r="BK14" s="84">
        <f>BK8/BG8-1</f>
        <v>4.8030739673390999E-2</v>
      </c>
      <c r="BL14" s="34"/>
      <c r="BM14" s="34"/>
      <c r="BN14" s="34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>
        <f>CD8/CC8-1</f>
        <v>1.2814847547503394E-2</v>
      </c>
      <c r="CE14" s="85">
        <f>CE8/CD8-1</f>
        <v>-1.7452006980802848E-2</v>
      </c>
      <c r="CF14" s="85">
        <f>CF8/CE8-1</f>
        <v>-2.930728241563052E-2</v>
      </c>
      <c r="CG14" s="85">
        <f>CG8/CF8-1</f>
        <v>-6.6331198536139224E-3</v>
      </c>
      <c r="CH14" s="46">
        <f>CH8/CG8-1</f>
        <v>2.7080359198710569</v>
      </c>
      <c r="CI14" s="46">
        <f>CI8/CH8-1</f>
        <v>1</v>
      </c>
      <c r="CJ14" s="46">
        <f>CJ8/CI8-1</f>
        <v>1</v>
      </c>
      <c r="CK14" s="46">
        <f>CK8/CJ8-1</f>
        <v>1</v>
      </c>
      <c r="CL14" s="46">
        <f>CL8/CK8-1</f>
        <v>1</v>
      </c>
      <c r="CM14" s="46">
        <f>CM8/CL8-1</f>
        <v>1</v>
      </c>
      <c r="CN14" s="46">
        <f>CN8/CM8-1</f>
        <v>1</v>
      </c>
      <c r="CO14" s="46">
        <f>CO8/CN8-1</f>
        <v>1</v>
      </c>
      <c r="CP14" s="46">
        <f>CP8/CO8-1</f>
        <v>1</v>
      </c>
      <c r="CQ14" s="46">
        <f>CQ8/CP8-1</f>
        <v>1</v>
      </c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</row>
    <row r="15" spans="2:148">
      <c r="B15" s="37"/>
    </row>
    <row r="16" spans="2:148">
      <c r="B16" s="38" t="s">
        <v>1698</v>
      </c>
      <c r="AQ16" s="84">
        <f t="shared" ref="AQ16:BJ16" si="4">AQ4/AQ8</f>
        <v>0.70814272644098808</v>
      </c>
      <c r="AR16" s="84">
        <f t="shared" si="4"/>
        <v>0.6909413854351687</v>
      </c>
      <c r="AS16" s="84">
        <f t="shared" si="4"/>
        <v>0.71660649819494582</v>
      </c>
      <c r="AT16" s="84">
        <f t="shared" si="4"/>
        <v>0.72643869891576318</v>
      </c>
      <c r="AU16" s="84">
        <f t="shared" si="4"/>
        <v>0.69746524938675392</v>
      </c>
      <c r="AV16" s="84">
        <f t="shared" si="4"/>
        <v>0.69965576592082612</v>
      </c>
      <c r="AW16" s="84">
        <f t="shared" si="4"/>
        <v>0.71390134529147986</v>
      </c>
      <c r="AX16" s="84">
        <f t="shared" si="4"/>
        <v>0.70387453874538741</v>
      </c>
      <c r="AY16" s="84">
        <f t="shared" si="4"/>
        <v>0.70285188592456305</v>
      </c>
      <c r="AZ16" s="84">
        <f t="shared" si="4"/>
        <v>0.68367346938775508</v>
      </c>
      <c r="BA16" s="84">
        <f t="shared" si="4"/>
        <v>0.6791778373547811</v>
      </c>
      <c r="BB16" s="84">
        <f t="shared" si="4"/>
        <v>0.67290552584670227</v>
      </c>
      <c r="BC16" s="84">
        <f t="shared" si="4"/>
        <v>0.70817843866171004</v>
      </c>
      <c r="BD16" s="84">
        <f t="shared" si="4"/>
        <v>0.72571942446043169</v>
      </c>
      <c r="BE16" s="84">
        <f t="shared" si="4"/>
        <v>0.74722222222222223</v>
      </c>
      <c r="BF16" s="84">
        <f t="shared" si="4"/>
        <v>0.70561594202898548</v>
      </c>
      <c r="BG16" s="84">
        <f t="shared" si="4"/>
        <v>0.73775216138328525</v>
      </c>
      <c r="BH16" s="84">
        <f t="shared" si="4"/>
        <v>0.7658168083097262</v>
      </c>
      <c r="BI16" s="84">
        <f t="shared" si="4"/>
        <v>0.75276752767527677</v>
      </c>
      <c r="BJ16" s="84">
        <f t="shared" si="4"/>
        <v>0.71786022433132013</v>
      </c>
      <c r="BK16" s="84">
        <f>BK4/BK8</f>
        <v>0.73052245646196146</v>
      </c>
      <c r="CC16" s="84">
        <f t="shared" ref="CC16:CG16" si="5">CC4/CC8</f>
        <v>0.71078214759169245</v>
      </c>
      <c r="CD16" s="84">
        <f t="shared" si="5"/>
        <v>0.70353403141361259</v>
      </c>
      <c r="CE16" s="84">
        <f t="shared" si="5"/>
        <v>0.68450266429840145</v>
      </c>
      <c r="CF16" s="84">
        <f t="shared" si="5"/>
        <v>0.72163769441903014</v>
      </c>
      <c r="CG16" s="84">
        <f t="shared" si="5"/>
        <v>0.74303476859313833</v>
      </c>
    </row>
    <row r="17" spans="2:147">
      <c r="B17" s="38" t="s">
        <v>1699</v>
      </c>
      <c r="AQ17" s="84">
        <f t="shared" ref="AQ17:BJ17" si="6">AQ5/AQ8</f>
        <v>0.1637694419030192</v>
      </c>
      <c r="AR17" s="84">
        <f t="shared" si="6"/>
        <v>0.17229129662522202</v>
      </c>
      <c r="AS17" s="84">
        <f t="shared" si="6"/>
        <v>0.16606498194945848</v>
      </c>
      <c r="AT17" s="84">
        <f t="shared" si="6"/>
        <v>0.16180150125104253</v>
      </c>
      <c r="AU17" s="84">
        <f t="shared" si="6"/>
        <v>0.17743254292722813</v>
      </c>
      <c r="AV17" s="84">
        <f t="shared" si="6"/>
        <v>0.16609294320137694</v>
      </c>
      <c r="AW17" s="84">
        <f t="shared" si="6"/>
        <v>0.14977578475336323</v>
      </c>
      <c r="AX17" s="84">
        <f t="shared" si="6"/>
        <v>0.13929889298892989</v>
      </c>
      <c r="AY17" s="84">
        <f t="shared" si="6"/>
        <v>0.14535418583256671</v>
      </c>
      <c r="AZ17" s="84">
        <f t="shared" si="6"/>
        <v>0.16751700680272108</v>
      </c>
      <c r="BA17" s="84">
        <f t="shared" si="6"/>
        <v>0.16175156389633602</v>
      </c>
      <c r="BB17" s="84">
        <f t="shared" si="6"/>
        <v>0.1497326203208556</v>
      </c>
      <c r="BC17" s="84">
        <f t="shared" si="6"/>
        <v>0.10594795539033457</v>
      </c>
      <c r="BD17" s="84">
        <f t="shared" si="6"/>
        <v>0.1079136690647482</v>
      </c>
      <c r="BE17" s="84">
        <f t="shared" si="6"/>
        <v>9.9074074074074078E-2</v>
      </c>
      <c r="BF17" s="84">
        <f t="shared" si="6"/>
        <v>0.14492753623188406</v>
      </c>
      <c r="BG17" s="84">
        <f t="shared" si="6"/>
        <v>0.10758885686839577</v>
      </c>
      <c r="BH17" s="84">
        <f t="shared" si="6"/>
        <v>9.5372993389990557E-2</v>
      </c>
      <c r="BI17" s="84">
        <f t="shared" si="6"/>
        <v>0.10239852398523985</v>
      </c>
      <c r="BJ17" s="84">
        <f t="shared" si="6"/>
        <v>0.1363244176013805</v>
      </c>
      <c r="BK17" s="84">
        <f>BK5/BK8</f>
        <v>0.10999083409715857</v>
      </c>
      <c r="CC17" s="84">
        <f t="shared" ref="CC17:CG17" si="7">CC5/CC8</f>
        <v>0.16593018117543085</v>
      </c>
      <c r="CD17" s="84">
        <f t="shared" si="7"/>
        <v>0.15881326352530542</v>
      </c>
      <c r="CE17" s="84">
        <f t="shared" si="7"/>
        <v>0.15630550621669628</v>
      </c>
      <c r="CF17" s="84">
        <f t="shared" si="7"/>
        <v>0.1145928636779506</v>
      </c>
      <c r="CG17" s="84">
        <f t="shared" si="7"/>
        <v>0.11098319134239006</v>
      </c>
    </row>
    <row r="18" spans="2:147">
      <c r="B18" s="38" t="s">
        <v>1700</v>
      </c>
      <c r="AQ18" s="84">
        <f t="shared" ref="AQ18:BJ18" si="8">AQ6/AQ8</f>
        <v>0.87191216834400731</v>
      </c>
      <c r="AR18" s="84">
        <f t="shared" si="8"/>
        <v>0.86323268206039072</v>
      </c>
      <c r="AS18" s="84">
        <f t="shared" si="8"/>
        <v>0.88267148014440433</v>
      </c>
      <c r="AT18" s="84">
        <f t="shared" si="8"/>
        <v>0.88824020016680572</v>
      </c>
      <c r="AU18" s="84">
        <f t="shared" si="8"/>
        <v>0.87489779231398201</v>
      </c>
      <c r="AV18" s="84">
        <f t="shared" si="8"/>
        <v>0.86574870912220314</v>
      </c>
      <c r="AW18" s="84">
        <f t="shared" si="8"/>
        <v>0.86367713004484303</v>
      </c>
      <c r="AX18" s="84">
        <f t="shared" si="8"/>
        <v>0.84317343173431736</v>
      </c>
      <c r="AY18" s="84">
        <f t="shared" si="8"/>
        <v>0.8482060717571297</v>
      </c>
      <c r="AZ18" s="84">
        <f t="shared" si="8"/>
        <v>0.85119047619047616</v>
      </c>
      <c r="BA18" s="84">
        <f t="shared" si="8"/>
        <v>0.84092940125111704</v>
      </c>
      <c r="BB18" s="84">
        <f t="shared" si="8"/>
        <v>0.82263814616755793</v>
      </c>
      <c r="BC18" s="84">
        <f t="shared" si="8"/>
        <v>0.81412639405204457</v>
      </c>
      <c r="BD18" s="84">
        <f t="shared" si="8"/>
        <v>0.83363309352517989</v>
      </c>
      <c r="BE18" s="84">
        <f t="shared" si="8"/>
        <v>0.84629629629629632</v>
      </c>
      <c r="BF18" s="84">
        <f t="shared" si="8"/>
        <v>0.85054347826086951</v>
      </c>
      <c r="BG18" s="84">
        <f t="shared" si="8"/>
        <v>0.84534101825168106</v>
      </c>
      <c r="BH18" s="84">
        <f t="shared" si="8"/>
        <v>0.86118980169971671</v>
      </c>
      <c r="BI18" s="84">
        <f t="shared" si="8"/>
        <v>0.85516605166051662</v>
      </c>
      <c r="BJ18" s="84">
        <f t="shared" si="8"/>
        <v>0.85418464193270061</v>
      </c>
      <c r="BK18" s="84">
        <f>BK6/BK8</f>
        <v>0.84051329055912005</v>
      </c>
      <c r="CC18" s="84">
        <f t="shared" ref="CC18:CG18" si="9">CC6/CC8</f>
        <v>0.87671232876712324</v>
      </c>
      <c r="CD18" s="84">
        <f t="shared" si="9"/>
        <v>0.86234729493891793</v>
      </c>
      <c r="CE18" s="84">
        <f t="shared" si="9"/>
        <v>0.84080817051509771</v>
      </c>
      <c r="CF18" s="84">
        <f t="shared" si="9"/>
        <v>0.83623055809698077</v>
      </c>
      <c r="CG18" s="84">
        <f t="shared" si="9"/>
        <v>0.85401795993552843</v>
      </c>
    </row>
    <row r="19" spans="2:147">
      <c r="B19" s="38" t="s">
        <v>1701</v>
      </c>
      <c r="AQ19" s="84">
        <f t="shared" ref="AQ19:BJ19" si="10">AQ7/AQ8</f>
        <v>0.12808783165599269</v>
      </c>
      <c r="AR19" s="84">
        <f t="shared" si="10"/>
        <v>0.13676731793960922</v>
      </c>
      <c r="AS19" s="84">
        <f t="shared" si="10"/>
        <v>0.11732851985559567</v>
      </c>
      <c r="AT19" s="84">
        <f t="shared" si="10"/>
        <v>0.11175979983319433</v>
      </c>
      <c r="AU19" s="84">
        <f t="shared" si="10"/>
        <v>0.12510220768601799</v>
      </c>
      <c r="AV19" s="84">
        <f t="shared" si="10"/>
        <v>0.13425129087779691</v>
      </c>
      <c r="AW19" s="84">
        <f t="shared" si="10"/>
        <v>0.13632286995515694</v>
      </c>
      <c r="AX19" s="84">
        <f t="shared" si="10"/>
        <v>0.15682656826568267</v>
      </c>
      <c r="AY19" s="84">
        <f t="shared" si="10"/>
        <v>0.15179392824287027</v>
      </c>
      <c r="AZ19" s="84">
        <f t="shared" si="10"/>
        <v>0.14880952380952381</v>
      </c>
      <c r="BA19" s="84">
        <f t="shared" si="10"/>
        <v>0.15907059874888294</v>
      </c>
      <c r="BB19" s="84">
        <f t="shared" si="10"/>
        <v>0.17736185383244207</v>
      </c>
      <c r="BC19" s="84">
        <f t="shared" si="10"/>
        <v>0.18587360594795538</v>
      </c>
      <c r="BD19" s="84">
        <f t="shared" si="10"/>
        <v>0.16636690647482014</v>
      </c>
      <c r="BE19" s="84">
        <f t="shared" si="10"/>
        <v>0.1537037037037037</v>
      </c>
      <c r="BF19" s="84">
        <f t="shared" si="10"/>
        <v>0.14945652173913043</v>
      </c>
      <c r="BG19" s="84">
        <f t="shared" si="10"/>
        <v>0.15465898174831894</v>
      </c>
      <c r="BH19" s="84">
        <f t="shared" si="10"/>
        <v>0.13881019830028329</v>
      </c>
      <c r="BI19" s="84">
        <f t="shared" si="10"/>
        <v>0.1448339483394834</v>
      </c>
      <c r="BJ19" s="84">
        <f t="shared" si="10"/>
        <v>0.14581535806729939</v>
      </c>
      <c r="BK19" s="84">
        <f>BK7/BK8</f>
        <v>0.15948670944087992</v>
      </c>
      <c r="CC19" s="84">
        <f t="shared" ref="CC19:CG19" si="11">CC7/CC8</f>
        <v>0.12328767123287671</v>
      </c>
      <c r="CD19" s="84">
        <f t="shared" si="11"/>
        <v>0.13765270506108201</v>
      </c>
      <c r="CE19" s="84">
        <f t="shared" si="11"/>
        <v>0.15919182948490232</v>
      </c>
      <c r="CF19" s="84">
        <f t="shared" si="11"/>
        <v>0.1637694419030192</v>
      </c>
      <c r="CG19" s="84">
        <f t="shared" si="11"/>
        <v>0.14598204006447157</v>
      </c>
    </row>
    <row r="20" spans="2:147">
      <c r="B20" s="36"/>
    </row>
    <row r="21" spans="2:147">
      <c r="B21" s="36" t="s">
        <v>1734</v>
      </c>
      <c r="AQ21" s="1">
        <v>1109</v>
      </c>
      <c r="AR21" s="1">
        <v>1021</v>
      </c>
      <c r="AS21" s="1">
        <v>1015</v>
      </c>
      <c r="AT21" s="1">
        <f>4109-SUM(AQ21:AS21)</f>
        <v>964</v>
      </c>
      <c r="AU21" s="1">
        <v>1109</v>
      </c>
      <c r="AV21" s="1">
        <v>1065</v>
      </c>
      <c r="AW21" s="1">
        <v>1015</v>
      </c>
      <c r="AX21" s="1">
        <f>4171-SUM(AU21:AW21)</f>
        <v>982</v>
      </c>
      <c r="AY21" s="1">
        <v>976</v>
      </c>
      <c r="AZ21" s="1">
        <v>1083</v>
      </c>
      <c r="BA21" s="1">
        <v>1029</v>
      </c>
      <c r="BB21" s="1">
        <f>4112-SUM(AY21:BA21)</f>
        <v>1024</v>
      </c>
      <c r="BC21" s="1">
        <v>979</v>
      </c>
      <c r="BD21" s="1">
        <v>1016</v>
      </c>
      <c r="BE21" s="1">
        <v>995</v>
      </c>
      <c r="BF21" s="1">
        <f>3993-SUM(BC21:BE21)</f>
        <v>1003</v>
      </c>
      <c r="BG21" s="1">
        <v>947</v>
      </c>
      <c r="BH21" s="1">
        <v>972</v>
      </c>
      <c r="BI21" s="1">
        <v>1001</v>
      </c>
      <c r="BJ21" s="1">
        <f>3985-SUM(BG21:BI21)</f>
        <v>1065</v>
      </c>
      <c r="BK21" s="1">
        <v>995</v>
      </c>
      <c r="CC21" s="1">
        <f>SUM(AQ21:AT21)</f>
        <v>4109</v>
      </c>
      <c r="CD21" s="1">
        <f>SUM(AU21:AX21)</f>
        <v>4171</v>
      </c>
      <c r="CE21" s="1">
        <f>SUM(AY21:BB21)</f>
        <v>4112</v>
      </c>
      <c r="CF21" s="1">
        <f>SUM(BC21:BF21)</f>
        <v>3993</v>
      </c>
      <c r="CG21" s="1">
        <f>SUM(BG21:BJ21)</f>
        <v>3985</v>
      </c>
      <c r="CH21" s="35">
        <f>CG21*(1+CH25)</f>
        <v>7970</v>
      </c>
      <c r="CI21" s="35">
        <f>CH21*(1+CI25)</f>
        <v>15940</v>
      </c>
      <c r="CJ21" s="35">
        <f>CI21*(1+CJ25)</f>
        <v>31880</v>
      </c>
      <c r="CK21" s="35">
        <f>CJ21*(1+CK25)</f>
        <v>63760</v>
      </c>
      <c r="CL21" s="35">
        <f>CK21*(1+CL25)</f>
        <v>127520</v>
      </c>
      <c r="CM21" s="35">
        <f>CL21*(1+CM25)</f>
        <v>255040</v>
      </c>
      <c r="CN21" s="35">
        <f>CM21*(1+CN25)</f>
        <v>510080</v>
      </c>
      <c r="CO21" s="35">
        <f>CN21*(1+CO25)</f>
        <v>1020160</v>
      </c>
      <c r="CP21" s="35">
        <f>CO21*(1+CP25)</f>
        <v>2040320</v>
      </c>
      <c r="CQ21" s="35">
        <f>CP21*(1+CQ25)</f>
        <v>4080640</v>
      </c>
    </row>
    <row r="22" spans="2:147">
      <c r="B22" s="36" t="s">
        <v>1735</v>
      </c>
      <c r="AQ22" s="1">
        <v>114</v>
      </c>
      <c r="AR22" s="1">
        <v>105</v>
      </c>
      <c r="AS22" s="1">
        <v>93</v>
      </c>
      <c r="AT22" s="1">
        <f>417-SUM(AQ22:AS22)</f>
        <v>105</v>
      </c>
      <c r="AU22" s="1">
        <v>114</v>
      </c>
      <c r="AV22" s="1">
        <v>97</v>
      </c>
      <c r="AW22" s="1">
        <v>100</v>
      </c>
      <c r="AX22" s="1">
        <f>413-SUM(AU22:AW22)</f>
        <v>102</v>
      </c>
      <c r="AY22" s="1">
        <v>111</v>
      </c>
      <c r="AZ22" s="1">
        <v>93</v>
      </c>
      <c r="BA22" s="1">
        <v>90</v>
      </c>
      <c r="BB22" s="1">
        <f>392-SUM(AY22:BA22)</f>
        <v>98</v>
      </c>
      <c r="BC22" s="1">
        <v>97</v>
      </c>
      <c r="BD22" s="1">
        <v>96</v>
      </c>
      <c r="BE22" s="1">
        <v>85</v>
      </c>
      <c r="BF22" s="1">
        <f>379-SUM(BC22:BE22)</f>
        <v>101</v>
      </c>
      <c r="BG22" s="1">
        <v>94</v>
      </c>
      <c r="BH22" s="1">
        <v>87</v>
      </c>
      <c r="BI22" s="1">
        <v>83</v>
      </c>
      <c r="BJ22" s="1">
        <f>358-SUM(BG22:BI22)</f>
        <v>94</v>
      </c>
      <c r="BK22" s="1">
        <v>96</v>
      </c>
      <c r="CC22" s="1">
        <f>SUM(AQ22:AT22)</f>
        <v>417</v>
      </c>
      <c r="CD22" s="1">
        <f>SUM(AU22:AX22)</f>
        <v>413</v>
      </c>
      <c r="CE22" s="1">
        <f>SUM(AY22:BB22)</f>
        <v>392</v>
      </c>
      <c r="CF22" s="1">
        <f>SUM(BC22:BF22)</f>
        <v>379</v>
      </c>
      <c r="CG22" s="1">
        <f>SUM(BG22:BJ22)</f>
        <v>358</v>
      </c>
      <c r="CH22" s="35">
        <f>CG22*(1+CH26)</f>
        <v>716</v>
      </c>
      <c r="CI22" s="35">
        <f>CH22*(1+CI26)</f>
        <v>1432</v>
      </c>
      <c r="CJ22" s="35">
        <f>CI22*(1+CJ26)</f>
        <v>2864</v>
      </c>
      <c r="CK22" s="35">
        <f>CJ22*(1+CK26)</f>
        <v>5728</v>
      </c>
      <c r="CL22" s="35">
        <f>CK22*(1+CL26)</f>
        <v>11456</v>
      </c>
      <c r="CM22" s="35">
        <f>CL22*(1+CM26)</f>
        <v>22912</v>
      </c>
      <c r="CN22" s="35">
        <f>CM22*(1+CN26)</f>
        <v>45824</v>
      </c>
      <c r="CO22" s="35">
        <f>CN22*(1+CO26)</f>
        <v>91648</v>
      </c>
      <c r="CP22" s="35">
        <f>CO22*(1+CP26)</f>
        <v>183296</v>
      </c>
      <c r="CQ22" s="35">
        <f>CP22*(1+CQ26)</f>
        <v>366592</v>
      </c>
    </row>
    <row r="23" spans="2:147" s="2" customFormat="1" ht="15">
      <c r="B23" s="33" t="s">
        <v>53</v>
      </c>
      <c r="AQ23" s="2">
        <f t="shared" ref="AQ23" si="12">AQ21+AQ22</f>
        <v>1223</v>
      </c>
      <c r="AR23" s="2">
        <f t="shared" ref="AR23" si="13">AR21+AR22</f>
        <v>1126</v>
      </c>
      <c r="AS23" s="2">
        <f t="shared" ref="AS23" si="14">AS21+AS22</f>
        <v>1108</v>
      </c>
      <c r="AT23" s="2">
        <f t="shared" ref="AT23" si="15">AT21+AT22</f>
        <v>1069</v>
      </c>
      <c r="AU23" s="2">
        <f t="shared" ref="AU23" si="16">AU21+AU22</f>
        <v>1223</v>
      </c>
      <c r="AV23" s="2">
        <f t="shared" ref="AV23" si="17">AV21+AV22</f>
        <v>1162</v>
      </c>
      <c r="AW23" s="2">
        <f t="shared" ref="AW23" si="18">AW21+AW22</f>
        <v>1115</v>
      </c>
      <c r="AX23" s="2">
        <f t="shared" ref="AX23" si="19">AX21+AX22</f>
        <v>1084</v>
      </c>
      <c r="AY23" s="2">
        <f t="shared" ref="AY23" si="20">AY21+AY22</f>
        <v>1087</v>
      </c>
      <c r="AZ23" s="2">
        <f t="shared" ref="AZ23" si="21">AZ21+AZ22</f>
        <v>1176</v>
      </c>
      <c r="BA23" s="2">
        <f t="shared" ref="BA23" si="22">BA21+BA22</f>
        <v>1119</v>
      </c>
      <c r="BB23" s="2">
        <f t="shared" ref="BB23" si="23">BB21+BB22</f>
        <v>1122</v>
      </c>
      <c r="BC23" s="2">
        <f t="shared" ref="BC23" si="24">BC21+BC22</f>
        <v>1076</v>
      </c>
      <c r="BD23" s="2">
        <f t="shared" ref="BD23" si="25">BD21+BD22</f>
        <v>1112</v>
      </c>
      <c r="BE23" s="2">
        <f t="shared" ref="BE23" si="26">BE21+BE22</f>
        <v>1080</v>
      </c>
      <c r="BF23" s="2">
        <f t="shared" ref="BF23" si="27">BF21+BF22</f>
        <v>1104</v>
      </c>
      <c r="BG23" s="2">
        <f t="shared" ref="BG23" si="28">BG21+BG22</f>
        <v>1041</v>
      </c>
      <c r="BH23" s="2">
        <f t="shared" ref="BH23" si="29">BH21+BH22</f>
        <v>1059</v>
      </c>
      <c r="BI23" s="2">
        <f t="shared" ref="BI23" si="30">BI21+BI22</f>
        <v>1084</v>
      </c>
      <c r="BJ23" s="2">
        <f t="shared" ref="BJ23" si="31">BJ21+BJ22</f>
        <v>1159</v>
      </c>
      <c r="BK23" s="2">
        <f>BK21+BK22</f>
        <v>1091</v>
      </c>
      <c r="BL23" s="34"/>
      <c r="BM23" s="34"/>
      <c r="BN23" s="34"/>
      <c r="CC23" s="2">
        <f>SUM(AQ23:AT23)</f>
        <v>4526</v>
      </c>
      <c r="CD23" s="2">
        <f>SUM(AU23:AX23)</f>
        <v>4584</v>
      </c>
      <c r="CE23" s="2">
        <f>SUM(AY23:BB23)</f>
        <v>4504</v>
      </c>
      <c r="CF23" s="2">
        <f>SUM(BC23:BF23)</f>
        <v>4372</v>
      </c>
      <c r="CG23" s="2">
        <f>SUM(BG23:BJ23)</f>
        <v>4343</v>
      </c>
      <c r="CH23" s="34">
        <f>CG23*(1+CH27)</f>
        <v>8686</v>
      </c>
      <c r="CI23" s="34">
        <f>CH23*(1+CI27)</f>
        <v>17372</v>
      </c>
      <c r="CJ23" s="34">
        <f>CI23*(1+CJ27)</f>
        <v>34744</v>
      </c>
      <c r="CK23" s="34">
        <f>CJ23*(1+CK27)</f>
        <v>69488</v>
      </c>
      <c r="CL23" s="34">
        <f>CK23*(1+CL27)</f>
        <v>138976</v>
      </c>
      <c r="CM23" s="34">
        <f>CL23*(1+CM27)</f>
        <v>277952</v>
      </c>
      <c r="CN23" s="34">
        <f>CM23*(1+CN27)</f>
        <v>555904</v>
      </c>
      <c r="CO23" s="34">
        <f>CN23*(1+CO27)</f>
        <v>1111808</v>
      </c>
      <c r="CP23" s="34">
        <f>CO23*(1+CP27)</f>
        <v>2223616</v>
      </c>
      <c r="CQ23" s="34">
        <f>CP23*(1+CQ27)</f>
        <v>4447232</v>
      </c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</row>
    <row r="24" spans="2:147">
      <c r="B24" s="36"/>
    </row>
    <row r="25" spans="2:147">
      <c r="B25" s="36" t="s">
        <v>1736</v>
      </c>
      <c r="AU25" s="84">
        <f>AU21/AQ21-1</f>
        <v>0</v>
      </c>
      <c r="AV25" s="84">
        <f>AV21/AR21-1</f>
        <v>4.3095004897159672E-2</v>
      </c>
      <c r="AW25" s="84">
        <f>AW21/AS21-1</f>
        <v>0</v>
      </c>
      <c r="AX25" s="84">
        <f>AX21/AT21-1</f>
        <v>1.8672199170124415E-2</v>
      </c>
      <c r="AY25" s="84">
        <f>AY21/AU21-1</f>
        <v>-0.11992786293958524</v>
      </c>
      <c r="AZ25" s="84">
        <f>AZ21/AV21-1</f>
        <v>1.6901408450704203E-2</v>
      </c>
      <c r="BA25" s="84">
        <f>BA21/AW21-1</f>
        <v>1.379310344827589E-2</v>
      </c>
      <c r="BB25" s="84">
        <f>BB21/AX21-1</f>
        <v>4.2769857433808456E-2</v>
      </c>
      <c r="BC25" s="84">
        <f>BC21/AY21-1</f>
        <v>3.0737704918033515E-3</v>
      </c>
      <c r="BD25" s="84">
        <f>BD21/AZ21-1</f>
        <v>-6.1865189289011968E-2</v>
      </c>
      <c r="BE25" s="84">
        <f>BE21/BA21-1</f>
        <v>-3.3041788143828965E-2</v>
      </c>
      <c r="BF25" s="84">
        <f>BF21/BB21-1</f>
        <v>-2.05078125E-2</v>
      </c>
      <c r="BG25" s="84">
        <f>BG21/BC21-1</f>
        <v>-3.2686414708886669E-2</v>
      </c>
      <c r="BH25" s="84">
        <f>BH21/BD21-1</f>
        <v>-4.3307086614173262E-2</v>
      </c>
      <c r="BI25" s="84">
        <f>BI21/BE21-1</f>
        <v>6.0301507537687815E-3</v>
      </c>
      <c r="BJ25" s="84">
        <f>BJ21/BF21-1</f>
        <v>6.1814556331007076E-2</v>
      </c>
      <c r="BK25" s="84">
        <f>BK21/BG21-1</f>
        <v>5.0686378035902813E-2</v>
      </c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>
        <f>CD21/CC21-1</f>
        <v>1.5088829398880454E-2</v>
      </c>
      <c r="CE25" s="84">
        <f>CE21/CD21-1</f>
        <v>-1.4145288899544473E-2</v>
      </c>
      <c r="CF25" s="84">
        <f>CF21/CE21-1</f>
        <v>-2.8939688715953316E-2</v>
      </c>
      <c r="CG25" s="84">
        <f>CG21/CF21-1</f>
        <v>-2.0035061357375206E-3</v>
      </c>
      <c r="CH25" s="45">
        <v>1</v>
      </c>
      <c r="CI25" s="45">
        <v>1</v>
      </c>
      <c r="CJ25" s="45">
        <v>1</v>
      </c>
      <c r="CK25" s="45">
        <v>1</v>
      </c>
      <c r="CL25" s="45">
        <v>1</v>
      </c>
      <c r="CM25" s="45">
        <v>1</v>
      </c>
      <c r="CN25" s="45">
        <v>1</v>
      </c>
      <c r="CO25" s="45">
        <v>1</v>
      </c>
      <c r="CP25" s="45">
        <v>1</v>
      </c>
      <c r="CQ25" s="45">
        <v>1</v>
      </c>
    </row>
    <row r="26" spans="2:147">
      <c r="B26" s="36" t="s">
        <v>1737</v>
      </c>
      <c r="AU26" s="84">
        <f>AU22/AQ22-1</f>
        <v>0</v>
      </c>
      <c r="AV26" s="84">
        <f>AV22/AR22-1</f>
        <v>-7.6190476190476142E-2</v>
      </c>
      <c r="AW26" s="84">
        <f>AW22/AS22-1</f>
        <v>7.5268817204301008E-2</v>
      </c>
      <c r="AX26" s="84">
        <f>AX22/AT22-1</f>
        <v>-2.8571428571428581E-2</v>
      </c>
      <c r="AY26" s="84">
        <f>AY22/AU22-1</f>
        <v>-2.6315789473684181E-2</v>
      </c>
      <c r="AZ26" s="84">
        <f>AZ22/AV22-1</f>
        <v>-4.123711340206182E-2</v>
      </c>
      <c r="BA26" s="84">
        <f>BA22/AW22-1</f>
        <v>-9.9999999999999978E-2</v>
      </c>
      <c r="BB26" s="84">
        <f>BB22/AX22-1</f>
        <v>-3.9215686274509776E-2</v>
      </c>
      <c r="BC26" s="84">
        <f>BC22/AY22-1</f>
        <v>-0.12612612612612617</v>
      </c>
      <c r="BD26" s="84">
        <f>BD22/AZ22-1</f>
        <v>3.2258064516129004E-2</v>
      </c>
      <c r="BE26" s="84">
        <f>BE22/BA22-1</f>
        <v>-5.555555555555558E-2</v>
      </c>
      <c r="BF26" s="84">
        <f>BF22/BB22-1</f>
        <v>3.0612244897959107E-2</v>
      </c>
      <c r="BG26" s="84">
        <f>BG22/BC22-1</f>
        <v>-3.0927835051546393E-2</v>
      </c>
      <c r="BH26" s="84">
        <f>BH22/BD22-1</f>
        <v>-9.375E-2</v>
      </c>
      <c r="BI26" s="84">
        <f>BI22/BE22-1</f>
        <v>-2.352941176470591E-2</v>
      </c>
      <c r="BJ26" s="84">
        <f>BJ22/BF22-1</f>
        <v>-6.9306930693069257E-2</v>
      </c>
      <c r="BK26" s="84">
        <f>BK22/BG22-1</f>
        <v>2.1276595744680771E-2</v>
      </c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>
        <f>CD22/CC22-1</f>
        <v>-9.5923261390887804E-3</v>
      </c>
      <c r="CE26" s="84">
        <f>CE22/CD22-1</f>
        <v>-5.084745762711862E-2</v>
      </c>
      <c r="CF26" s="84">
        <f>CF22/CE22-1</f>
        <v>-3.3163265306122458E-2</v>
      </c>
      <c r="CG26" s="84">
        <f>CG22/CF22-1</f>
        <v>-5.5408970976253302E-2</v>
      </c>
      <c r="CH26" s="45">
        <v>1</v>
      </c>
      <c r="CI26" s="45">
        <v>1</v>
      </c>
      <c r="CJ26" s="45">
        <v>1</v>
      </c>
      <c r="CK26" s="45">
        <v>1</v>
      </c>
      <c r="CL26" s="45">
        <v>1</v>
      </c>
      <c r="CM26" s="45">
        <v>1</v>
      </c>
      <c r="CN26" s="45">
        <v>1</v>
      </c>
      <c r="CO26" s="45">
        <v>1</v>
      </c>
      <c r="CP26" s="45">
        <v>1</v>
      </c>
      <c r="CQ26" s="45">
        <v>1</v>
      </c>
    </row>
    <row r="27" spans="2:147" ht="15">
      <c r="B27" s="33" t="s">
        <v>1697</v>
      </c>
      <c r="AU27" s="84">
        <f>AU23/AQ23-1</f>
        <v>0</v>
      </c>
      <c r="AV27" s="84">
        <f>AV23/AR23-1</f>
        <v>3.1971580817051537E-2</v>
      </c>
      <c r="AW27" s="84">
        <f>AW23/AS23-1</f>
        <v>6.3176895306860104E-3</v>
      </c>
      <c r="AX27" s="84">
        <f>AX23/AT23-1</f>
        <v>1.4031805425631427E-2</v>
      </c>
      <c r="AY27" s="84">
        <f>AY23/AU23-1</f>
        <v>-0.11120196238757152</v>
      </c>
      <c r="AZ27" s="84">
        <f>AZ23/AV23-1</f>
        <v>1.2048192771084265E-2</v>
      </c>
      <c r="BA27" s="84">
        <f>BA23/AW23-1</f>
        <v>3.5874439461882623E-3</v>
      </c>
      <c r="BB27" s="84">
        <f>BB23/AX23-1</f>
        <v>3.5055350553505615E-2</v>
      </c>
      <c r="BC27" s="84">
        <f>BC23/AY23-1</f>
        <v>-1.0119595216191324E-2</v>
      </c>
      <c r="BD27" s="84">
        <f>BD23/AZ23-1</f>
        <v>-5.4421768707482943E-2</v>
      </c>
      <c r="BE27" s="84">
        <f>BE23/BA23-1</f>
        <v>-3.4852546916890104E-2</v>
      </c>
      <c r="BF27" s="84">
        <f>BF23/BB23-1</f>
        <v>-1.6042780748663055E-2</v>
      </c>
      <c r="BG27" s="84">
        <f>BG23/BC23-1</f>
        <v>-3.2527881040892215E-2</v>
      </c>
      <c r="BH27" s="84">
        <f>BH23/BD23-1</f>
        <v>-4.7661870503597159E-2</v>
      </c>
      <c r="BI27" s="84">
        <f>BI23/BE23-1</f>
        <v>3.7037037037037646E-3</v>
      </c>
      <c r="BJ27" s="84">
        <f>BJ23/BF23-1</f>
        <v>4.98188405797102E-2</v>
      </c>
      <c r="BK27" s="84">
        <f>BK23/BG23-1</f>
        <v>4.8030739673390999E-2</v>
      </c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>
        <f>CD23/CC23-1</f>
        <v>1.2814847547503394E-2</v>
      </c>
      <c r="CE27" s="84">
        <f>CE23/CD23-1</f>
        <v>-1.7452006980802848E-2</v>
      </c>
      <c r="CF27" s="84">
        <f>CF23/CE23-1</f>
        <v>-2.930728241563052E-2</v>
      </c>
      <c r="CG27" s="84">
        <f>CG23/CF23-1</f>
        <v>-6.6331198536139224E-3</v>
      </c>
      <c r="CH27" s="45">
        <v>1</v>
      </c>
      <c r="CI27" s="45">
        <v>1</v>
      </c>
      <c r="CJ27" s="45">
        <v>1</v>
      </c>
      <c r="CK27" s="45">
        <v>1</v>
      </c>
      <c r="CL27" s="45">
        <v>1</v>
      </c>
      <c r="CM27" s="45">
        <v>1</v>
      </c>
      <c r="CN27" s="45">
        <v>1</v>
      </c>
      <c r="CO27" s="45">
        <v>1</v>
      </c>
      <c r="CP27" s="45">
        <v>1</v>
      </c>
      <c r="CQ27" s="45">
        <v>1</v>
      </c>
    </row>
    <row r="28" spans="2:147">
      <c r="B28" s="37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</row>
    <row r="29" spans="2:147">
      <c r="B29" s="38" t="s">
        <v>1739</v>
      </c>
      <c r="AQ29" s="84">
        <f t="shared" ref="AQ29:BJ29" si="32">AQ21/AQ23</f>
        <v>0.90678659035159448</v>
      </c>
      <c r="AR29" s="84">
        <f t="shared" si="32"/>
        <v>0.90674955595026641</v>
      </c>
      <c r="AS29" s="84">
        <f t="shared" si="32"/>
        <v>0.91606498194945851</v>
      </c>
      <c r="AT29" s="84">
        <f t="shared" si="32"/>
        <v>0.90177736202058001</v>
      </c>
      <c r="AU29" s="84">
        <f t="shared" si="32"/>
        <v>0.90678659035159448</v>
      </c>
      <c r="AV29" s="84">
        <f t="shared" si="32"/>
        <v>0.91652323580034423</v>
      </c>
      <c r="AW29" s="84">
        <f t="shared" si="32"/>
        <v>0.91031390134529144</v>
      </c>
      <c r="AX29" s="84">
        <f t="shared" si="32"/>
        <v>0.90590405904059046</v>
      </c>
      <c r="AY29" s="84">
        <f t="shared" si="32"/>
        <v>0.89788408463661451</v>
      </c>
      <c r="AZ29" s="84">
        <f t="shared" si="32"/>
        <v>0.92091836734693877</v>
      </c>
      <c r="BA29" s="84">
        <f t="shared" si="32"/>
        <v>0.91957104557640745</v>
      </c>
      <c r="BB29" s="84">
        <f t="shared" si="32"/>
        <v>0.91265597147950084</v>
      </c>
      <c r="BC29" s="84">
        <f t="shared" si="32"/>
        <v>0.9098513011152416</v>
      </c>
      <c r="BD29" s="84">
        <f t="shared" si="32"/>
        <v>0.91366906474820142</v>
      </c>
      <c r="BE29" s="84">
        <f t="shared" si="32"/>
        <v>0.92129629629629628</v>
      </c>
      <c r="BF29" s="84">
        <f t="shared" si="32"/>
        <v>0.90851449275362317</v>
      </c>
      <c r="BG29" s="84">
        <f t="shared" si="32"/>
        <v>0.90970220941402502</v>
      </c>
      <c r="BH29" s="84">
        <f t="shared" si="32"/>
        <v>0.9178470254957507</v>
      </c>
      <c r="BI29" s="84">
        <f t="shared" si="32"/>
        <v>0.92343173431734316</v>
      </c>
      <c r="BJ29" s="84">
        <f t="shared" si="32"/>
        <v>0.91889559965487488</v>
      </c>
      <c r="BK29" s="84">
        <f>BK21/BK23</f>
        <v>0.91200733272227319</v>
      </c>
      <c r="CC29" s="84">
        <f t="shared" ref="CC29:CG29" si="33">CC21/CC23</f>
        <v>0.90786566504639854</v>
      </c>
      <c r="CD29" s="84">
        <f t="shared" si="33"/>
        <v>0.90990401396160558</v>
      </c>
      <c r="CE29" s="84">
        <f t="shared" si="33"/>
        <v>0.91296625222024863</v>
      </c>
      <c r="CF29" s="84">
        <f t="shared" si="33"/>
        <v>0.91331198536139069</v>
      </c>
      <c r="CG29" s="84">
        <f t="shared" si="33"/>
        <v>0.91756850103615017</v>
      </c>
    </row>
    <row r="30" spans="2:147">
      <c r="B30" s="38" t="s">
        <v>1738</v>
      </c>
      <c r="AQ30" s="84">
        <f t="shared" ref="AQ30:BJ30" si="34">AQ22/AQ23</f>
        <v>9.3213409648405562E-2</v>
      </c>
      <c r="AR30" s="84">
        <f t="shared" si="34"/>
        <v>9.3250444049733566E-2</v>
      </c>
      <c r="AS30" s="84">
        <f t="shared" si="34"/>
        <v>8.3935018050541516E-2</v>
      </c>
      <c r="AT30" s="84">
        <f t="shared" si="34"/>
        <v>9.8222637979420019E-2</v>
      </c>
      <c r="AU30" s="84">
        <f t="shared" si="34"/>
        <v>9.3213409648405562E-2</v>
      </c>
      <c r="AV30" s="84">
        <f t="shared" si="34"/>
        <v>8.3476764199655759E-2</v>
      </c>
      <c r="AW30" s="84">
        <f t="shared" si="34"/>
        <v>8.9686098654708515E-2</v>
      </c>
      <c r="AX30" s="84">
        <f t="shared" si="34"/>
        <v>9.4095940959409596E-2</v>
      </c>
      <c r="AY30" s="84">
        <f t="shared" si="34"/>
        <v>0.10211591536338546</v>
      </c>
      <c r="AZ30" s="84">
        <f t="shared" si="34"/>
        <v>7.9081632653061229E-2</v>
      </c>
      <c r="BA30" s="84">
        <f t="shared" si="34"/>
        <v>8.0428954423592491E-2</v>
      </c>
      <c r="BB30" s="84">
        <f t="shared" si="34"/>
        <v>8.7344028520499106E-2</v>
      </c>
      <c r="BC30" s="84">
        <f t="shared" si="34"/>
        <v>9.0148698884758363E-2</v>
      </c>
      <c r="BD30" s="84">
        <f t="shared" si="34"/>
        <v>8.6330935251798566E-2</v>
      </c>
      <c r="BE30" s="84">
        <f t="shared" si="34"/>
        <v>7.8703703703703706E-2</v>
      </c>
      <c r="BF30" s="84">
        <f t="shared" si="34"/>
        <v>9.1485507246376815E-2</v>
      </c>
      <c r="BG30" s="84">
        <f t="shared" si="34"/>
        <v>9.0297790585975021E-2</v>
      </c>
      <c r="BH30" s="84">
        <f t="shared" si="34"/>
        <v>8.2152974504249299E-2</v>
      </c>
      <c r="BI30" s="84">
        <f t="shared" si="34"/>
        <v>7.656826568265683E-2</v>
      </c>
      <c r="BJ30" s="84">
        <f t="shared" si="34"/>
        <v>8.1104400345125102E-2</v>
      </c>
      <c r="BK30" s="84">
        <f>BK22/BK23</f>
        <v>8.7992667277726852E-2</v>
      </c>
      <c r="CC30" s="84">
        <f t="shared" ref="CC30:CG30" si="35">CC22/CC23</f>
        <v>9.2134334953601418E-2</v>
      </c>
      <c r="CD30" s="84">
        <f t="shared" si="35"/>
        <v>9.0095986038394416E-2</v>
      </c>
      <c r="CE30" s="84">
        <f t="shared" si="35"/>
        <v>8.7033747779751328E-2</v>
      </c>
      <c r="CF30" s="84">
        <f t="shared" si="35"/>
        <v>8.6688014638609326E-2</v>
      </c>
      <c r="CG30" s="84">
        <f t="shared" si="35"/>
        <v>8.2431498963849867E-2</v>
      </c>
    </row>
    <row r="31" spans="2:147">
      <c r="B31" s="38"/>
    </row>
    <row r="32" spans="2:147">
      <c r="B32" s="83" t="s">
        <v>54</v>
      </c>
      <c r="AQ32" s="1">
        <v>562</v>
      </c>
      <c r="AR32" s="1">
        <v>589</v>
      </c>
      <c r="AS32" s="1">
        <v>583</v>
      </c>
      <c r="AT32" s="1">
        <f>2358-SUM(AQ32:AS32)</f>
        <v>624</v>
      </c>
      <c r="AU32" s="1">
        <v>648</v>
      </c>
      <c r="AV32" s="1">
        <v>639</v>
      </c>
      <c r="AW32" s="1">
        <v>597</v>
      </c>
      <c r="AX32" s="1">
        <f>2479-SUM(AU32:AW32)</f>
        <v>595</v>
      </c>
      <c r="AY32" s="1">
        <v>616</v>
      </c>
      <c r="AZ32" s="1">
        <v>640</v>
      </c>
      <c r="BA32" s="1">
        <v>663</v>
      </c>
      <c r="BB32" s="1">
        <f>2521-SUM(AY32:BA32)</f>
        <v>602</v>
      </c>
      <c r="BC32" s="1">
        <v>603</v>
      </c>
      <c r="BD32" s="1">
        <v>640</v>
      </c>
      <c r="BE32" s="1">
        <v>609</v>
      </c>
      <c r="BF32" s="1">
        <f>2441-SUM(BC32:BE32)</f>
        <v>589</v>
      </c>
      <c r="BG32" s="1">
        <v>555</v>
      </c>
      <c r="BH32" s="1">
        <v>586</v>
      </c>
      <c r="BI32" s="1">
        <v>612</v>
      </c>
      <c r="BJ32" s="1">
        <f>2406-SUM(BG32:BI32)</f>
        <v>653</v>
      </c>
      <c r="BK32" s="1">
        <v>590</v>
      </c>
      <c r="CC32" s="1">
        <f>SUM(AQ32:AT32)</f>
        <v>2358</v>
      </c>
      <c r="CD32" s="1">
        <f>SUM(AU32:AX32)</f>
        <v>2479</v>
      </c>
      <c r="CE32" s="1">
        <f>SUM(AY32:BB32)</f>
        <v>2521</v>
      </c>
      <c r="CF32" s="1">
        <f>SUM(BC32:BF32)</f>
        <v>2441</v>
      </c>
      <c r="CG32" s="1">
        <f>SUM(BG32:BJ32)</f>
        <v>2406</v>
      </c>
    </row>
    <row r="33" spans="2:147">
      <c r="B33" s="83" t="s">
        <v>1690</v>
      </c>
      <c r="AQ33" s="1">
        <v>305</v>
      </c>
      <c r="AR33" s="1">
        <v>320</v>
      </c>
      <c r="AS33" s="1">
        <v>313</v>
      </c>
      <c r="AT33" s="1">
        <f>1149-SUM(AQ33:AS33)</f>
        <v>211</v>
      </c>
      <c r="AU33" s="1">
        <v>316</v>
      </c>
      <c r="AV33" s="1">
        <v>274</v>
      </c>
      <c r="AW33" s="1">
        <v>259</v>
      </c>
      <c r="AX33" s="1">
        <f>1089-SUM(AU33:AW33)</f>
        <v>240</v>
      </c>
      <c r="AY33" s="1">
        <v>261</v>
      </c>
      <c r="AZ33" s="1">
        <v>303</v>
      </c>
      <c r="BA33" s="1">
        <v>260</v>
      </c>
      <c r="BB33" s="1">
        <f>1140-SUM(AY33:BA33)</f>
        <v>316</v>
      </c>
      <c r="BC33" s="1">
        <v>279</v>
      </c>
      <c r="BD33" s="1">
        <v>289</v>
      </c>
      <c r="BE33" s="1">
        <v>291</v>
      </c>
      <c r="BF33" s="1">
        <f>1185-SUM(BC33:BE33)</f>
        <v>326</v>
      </c>
      <c r="BG33" s="1">
        <v>332</v>
      </c>
      <c r="BH33" s="1">
        <v>310</v>
      </c>
      <c r="BI33" s="1">
        <v>309</v>
      </c>
      <c r="BJ33" s="1">
        <f>1264-SUM(BG33:BI33)</f>
        <v>313</v>
      </c>
      <c r="BK33" s="1">
        <v>356</v>
      </c>
      <c r="CC33" s="1">
        <f>SUM(AQ33:AT33)</f>
        <v>1149</v>
      </c>
      <c r="CD33" s="1">
        <f>SUM(AU33:AX33)</f>
        <v>1089</v>
      </c>
      <c r="CE33" s="1">
        <f>SUM(AY33:BB33)</f>
        <v>1140</v>
      </c>
      <c r="CF33" s="1">
        <f>SUM(BC33:BF33)</f>
        <v>1185</v>
      </c>
      <c r="CG33" s="1">
        <f>SUM(BG33:BJ33)</f>
        <v>1264</v>
      </c>
    </row>
    <row r="34" spans="2:147">
      <c r="B34" s="83" t="s">
        <v>1691</v>
      </c>
      <c r="AQ34" s="1">
        <v>127</v>
      </c>
      <c r="AR34" s="1">
        <v>132</v>
      </c>
      <c r="AS34" s="1">
        <v>122</v>
      </c>
      <c r="AT34" s="1">
        <f>502-SUM(AQ34:AS34)</f>
        <v>121</v>
      </c>
      <c r="AU34" s="1">
        <v>127</v>
      </c>
      <c r="AV34" s="1">
        <v>118</v>
      </c>
      <c r="AW34" s="1">
        <v>133</v>
      </c>
      <c r="AX34" s="1">
        <f>472-SUM(AU34:AW34)</f>
        <v>94</v>
      </c>
      <c r="AY34" s="1">
        <v>91</v>
      </c>
      <c r="AZ34" s="1">
        <v>115</v>
      </c>
      <c r="BA34" s="1">
        <v>98</v>
      </c>
      <c r="BB34" s="1">
        <f>384-SUM(AY34:BA34)</f>
        <v>80</v>
      </c>
      <c r="BC34" s="1">
        <v>78</v>
      </c>
      <c r="BD34" s="1">
        <v>75</v>
      </c>
      <c r="BE34" s="1">
        <v>75</v>
      </c>
      <c r="BF34" s="1">
        <f>308-SUM(BC34:BE34)</f>
        <v>80</v>
      </c>
      <c r="BG34" s="1">
        <v>72</v>
      </c>
      <c r="BH34" s="1">
        <v>63</v>
      </c>
      <c r="BI34" s="1">
        <v>52</v>
      </c>
      <c r="BJ34" s="1">
        <f>243-SUM(BG34:BI34)</f>
        <v>56</v>
      </c>
      <c r="BK34" s="1">
        <v>52</v>
      </c>
      <c r="CC34" s="1">
        <f>SUM(AQ34:AT34)</f>
        <v>502</v>
      </c>
      <c r="CD34" s="1">
        <f>SUM(AU34:AX34)</f>
        <v>472</v>
      </c>
      <c r="CE34" s="1">
        <f>SUM(AY34:BB34)</f>
        <v>384</v>
      </c>
      <c r="CF34" s="1">
        <f>SUM(BC34:BF34)</f>
        <v>308</v>
      </c>
      <c r="CG34" s="1">
        <f>SUM(BG34:BJ34)</f>
        <v>243</v>
      </c>
    </row>
    <row r="35" spans="2:147">
      <c r="B35" s="83" t="s">
        <v>1692</v>
      </c>
      <c r="AQ35" s="1">
        <v>99</v>
      </c>
      <c r="AR35" s="1">
        <v>85</v>
      </c>
      <c r="AS35" s="1">
        <v>90</v>
      </c>
      <c r="AT35" s="1">
        <f>517-SUM(AQ35:AS35)</f>
        <v>243</v>
      </c>
      <c r="AU35" s="1">
        <v>132</v>
      </c>
      <c r="AV35" s="1">
        <v>131</v>
      </c>
      <c r="AW35" s="1">
        <v>126</v>
      </c>
      <c r="AX35" s="1">
        <f>544-SUM(AU35:AW35)</f>
        <v>155</v>
      </c>
      <c r="AY35" s="1">
        <v>119</v>
      </c>
      <c r="AZ35" s="1">
        <v>118</v>
      </c>
      <c r="BA35" s="1">
        <v>98</v>
      </c>
      <c r="BB35" s="1">
        <f>459-SUM(AY35:BA35)</f>
        <v>124</v>
      </c>
      <c r="BC35" s="1">
        <v>116</v>
      </c>
      <c r="BD35" s="1">
        <v>108</v>
      </c>
      <c r="BE35" s="1">
        <v>105</v>
      </c>
      <c r="BF35" s="1">
        <f>438-SUM(BC35:BE35)</f>
        <v>109</v>
      </c>
      <c r="BG35" s="1">
        <v>82</v>
      </c>
      <c r="BH35" s="1">
        <v>100</v>
      </c>
      <c r="BI35" s="1">
        <v>111</v>
      </c>
      <c r="BJ35" s="1">
        <f>430-SUM(BG35:BI35)</f>
        <v>137</v>
      </c>
      <c r="BK35" s="1">
        <v>93</v>
      </c>
      <c r="CC35" s="1">
        <f>SUM(AQ35:AT35)</f>
        <v>517</v>
      </c>
      <c r="CD35" s="1">
        <f>SUM(AU35:AX35)</f>
        <v>544</v>
      </c>
      <c r="CE35" s="1">
        <f>SUM(AY35:BB35)</f>
        <v>459</v>
      </c>
      <c r="CF35" s="1">
        <f>SUM(BC35:BF35)</f>
        <v>438</v>
      </c>
      <c r="CG35" s="1">
        <f>SUM(BG35:BJ35)</f>
        <v>430</v>
      </c>
    </row>
    <row r="36" spans="2:147" s="2" customFormat="1" ht="15">
      <c r="B36" s="2" t="s">
        <v>53</v>
      </c>
      <c r="AQ36" s="2">
        <f t="shared" ref="AQ36:BJ36" si="36">SUM(AQ32:AQ35)</f>
        <v>1093</v>
      </c>
      <c r="AR36" s="2">
        <f t="shared" si="36"/>
        <v>1126</v>
      </c>
      <c r="AS36" s="2">
        <f t="shared" si="36"/>
        <v>1108</v>
      </c>
      <c r="AT36" s="2">
        <f t="shared" si="36"/>
        <v>1199</v>
      </c>
      <c r="AU36" s="2">
        <f t="shared" si="36"/>
        <v>1223</v>
      </c>
      <c r="AV36" s="2">
        <f t="shared" si="36"/>
        <v>1162</v>
      </c>
      <c r="AW36" s="2">
        <f t="shared" si="36"/>
        <v>1115</v>
      </c>
      <c r="AX36" s="2">
        <f t="shared" si="36"/>
        <v>1084</v>
      </c>
      <c r="AY36" s="2">
        <f t="shared" si="36"/>
        <v>1087</v>
      </c>
      <c r="AZ36" s="2">
        <f t="shared" si="36"/>
        <v>1176</v>
      </c>
      <c r="BA36" s="2">
        <f t="shared" si="36"/>
        <v>1119</v>
      </c>
      <c r="BB36" s="2">
        <f t="shared" si="36"/>
        <v>1122</v>
      </c>
      <c r="BC36" s="2">
        <f t="shared" si="36"/>
        <v>1076</v>
      </c>
      <c r="BD36" s="2">
        <f t="shared" si="36"/>
        <v>1112</v>
      </c>
      <c r="BE36" s="2">
        <f t="shared" si="36"/>
        <v>1080</v>
      </c>
      <c r="BF36" s="2">
        <f t="shared" si="36"/>
        <v>1104</v>
      </c>
      <c r="BG36" s="2">
        <f t="shared" si="36"/>
        <v>1041</v>
      </c>
      <c r="BH36" s="2">
        <f t="shared" si="36"/>
        <v>1059</v>
      </c>
      <c r="BI36" s="2">
        <f t="shared" si="36"/>
        <v>1084</v>
      </c>
      <c r="BJ36" s="2">
        <f t="shared" si="36"/>
        <v>1159</v>
      </c>
      <c r="BK36" s="2">
        <f>SUM(BK32:BK35)</f>
        <v>1091</v>
      </c>
      <c r="BL36" s="34"/>
      <c r="BM36" s="34"/>
      <c r="BN36" s="34"/>
      <c r="CC36" s="2">
        <f>SUM(AQ36:AT36)</f>
        <v>4526</v>
      </c>
      <c r="CD36" s="2">
        <f>SUM(AU36:AX36)</f>
        <v>4584</v>
      </c>
      <c r="CE36" s="2">
        <f>SUM(AY36:BB36)</f>
        <v>4504</v>
      </c>
      <c r="CF36" s="2">
        <f>SUM(BC36:BF36)</f>
        <v>4372</v>
      </c>
      <c r="CG36" s="2">
        <f>SUM(BG36:BJ36)</f>
        <v>4343</v>
      </c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</row>
    <row r="38" spans="2:147">
      <c r="B38" s="83" t="s">
        <v>1693</v>
      </c>
      <c r="AQ38" s="84"/>
      <c r="AR38" s="84"/>
      <c r="AS38" s="84"/>
      <c r="AT38" s="84"/>
      <c r="AU38" s="84">
        <f>AU32/AQ32-1</f>
        <v>0.15302491103202853</v>
      </c>
      <c r="AV38" s="84">
        <f>AV32/AR32-1</f>
        <v>8.4889643463497366E-2</v>
      </c>
      <c r="AW38" s="84">
        <f>AW32/AS32-1</f>
        <v>2.4013722126929649E-2</v>
      </c>
      <c r="AX38" s="84">
        <f>AX32/AT32-1</f>
        <v>-4.647435897435892E-2</v>
      </c>
      <c r="AY38" s="84">
        <f>AY32/AU32-1</f>
        <v>-4.9382716049382713E-2</v>
      </c>
      <c r="AZ38" s="84">
        <f>AZ32/AV32-1</f>
        <v>1.5649452269170805E-3</v>
      </c>
      <c r="BA38" s="84">
        <f>BA32/AW32-1</f>
        <v>0.11055276381909551</v>
      </c>
      <c r="BB38" s="84">
        <f>BB32/AX32-1</f>
        <v>1.1764705882352899E-2</v>
      </c>
      <c r="BC38" s="84">
        <f>BC32/AY32-1</f>
        <v>-2.1103896103896069E-2</v>
      </c>
      <c r="BD38" s="84">
        <f>BD32/AZ32-1</f>
        <v>0</v>
      </c>
      <c r="BE38" s="84">
        <f>BE32/BA32-1</f>
        <v>-8.1447963800905021E-2</v>
      </c>
      <c r="BF38" s="84">
        <f>BF32/BB32-1</f>
        <v>-2.1594684385382035E-2</v>
      </c>
      <c r="BG38" s="84">
        <f>BG32/BC32-1</f>
        <v>-7.9601990049751215E-2</v>
      </c>
      <c r="BH38" s="84">
        <f>BH32/BD32-1</f>
        <v>-8.4374999999999978E-2</v>
      </c>
      <c r="BI38" s="84">
        <f>BI32/BE32-1</f>
        <v>4.9261083743843415E-3</v>
      </c>
      <c r="BJ38" s="84">
        <f>BJ32/BF32-1</f>
        <v>0.10865874363327666</v>
      </c>
      <c r="BK38" s="84">
        <f>BK32/BG32-1</f>
        <v>6.3063063063063085E-2</v>
      </c>
      <c r="CC38" s="84"/>
      <c r="CD38" s="84">
        <f t="shared" ref="CD38:CF38" si="37">CD32/CC32-1</f>
        <v>5.1314673452077963E-2</v>
      </c>
      <c r="CE38" s="84">
        <f t="shared" si="37"/>
        <v>1.6942315449778089E-2</v>
      </c>
      <c r="CF38" s="84">
        <f t="shared" si="37"/>
        <v>-3.1733439111463757E-2</v>
      </c>
      <c r="CG38" s="84">
        <f>CG32/CF32-1</f>
        <v>-1.4338385907414986E-2</v>
      </c>
    </row>
    <row r="39" spans="2:147">
      <c r="B39" s="83" t="s">
        <v>1694</v>
      </c>
      <c r="AQ39" s="84"/>
      <c r="AR39" s="84"/>
      <c r="AS39" s="84"/>
      <c r="AT39" s="84"/>
      <c r="AU39" s="84">
        <f>AU33/AQ33-1</f>
        <v>3.6065573770491799E-2</v>
      </c>
      <c r="AV39" s="84">
        <f>AV33/AR33-1</f>
        <v>-0.14375000000000004</v>
      </c>
      <c r="AW39" s="84">
        <f>AW33/AS33-1</f>
        <v>-0.17252396166134187</v>
      </c>
      <c r="AX39" s="84">
        <f>AX33/AT33-1</f>
        <v>0.13744075829383884</v>
      </c>
      <c r="AY39" s="84">
        <f>AY33/AU33-1</f>
        <v>-0.17405063291139244</v>
      </c>
      <c r="AZ39" s="84">
        <f>AZ33/AV33-1</f>
        <v>0.1058394160583942</v>
      </c>
      <c r="BA39" s="84">
        <f>BA33/AW33-1</f>
        <v>3.8610038610038533E-3</v>
      </c>
      <c r="BB39" s="84">
        <f>BB33/AX33-1</f>
        <v>0.31666666666666665</v>
      </c>
      <c r="BC39" s="84">
        <f>BC33/AY33-1</f>
        <v>6.8965517241379226E-2</v>
      </c>
      <c r="BD39" s="84">
        <f>BD33/AZ33-1</f>
        <v>-4.6204620462046209E-2</v>
      </c>
      <c r="BE39" s="84">
        <f>BE33/BA33-1</f>
        <v>0.11923076923076925</v>
      </c>
      <c r="BF39" s="84">
        <f>BF33/BB33-1</f>
        <v>3.1645569620253111E-2</v>
      </c>
      <c r="BG39" s="84">
        <f>BG33/BC33-1</f>
        <v>0.1899641577060931</v>
      </c>
      <c r="BH39" s="84">
        <f>BH33/BD33-1</f>
        <v>7.2664359861591699E-2</v>
      </c>
      <c r="BI39" s="84">
        <f>BI33/BE33-1</f>
        <v>6.1855670103092786E-2</v>
      </c>
      <c r="BJ39" s="84">
        <f>BJ33/BF33-1</f>
        <v>-3.9877300613496924E-2</v>
      </c>
      <c r="BK39" s="84">
        <f>BK33/BG33-1</f>
        <v>7.2289156626506035E-2</v>
      </c>
      <c r="CC39" s="84"/>
      <c r="CD39" s="84">
        <f t="shared" ref="CD39:CF39" si="38">CD33/CC33-1</f>
        <v>-5.2219321148825104E-2</v>
      </c>
      <c r="CE39" s="84">
        <f t="shared" si="38"/>
        <v>4.6831955922864932E-2</v>
      </c>
      <c r="CF39" s="84">
        <f t="shared" si="38"/>
        <v>3.9473684210526327E-2</v>
      </c>
      <c r="CG39" s="84">
        <f t="shared" ref="CG39:CG42" si="39">CG33/CF33-1</f>
        <v>6.6666666666666652E-2</v>
      </c>
    </row>
    <row r="40" spans="2:147">
      <c r="B40" s="83" t="s">
        <v>1695</v>
      </c>
      <c r="AQ40" s="84"/>
      <c r="AR40" s="84"/>
      <c r="AS40" s="84"/>
      <c r="AT40" s="84"/>
      <c r="AU40" s="84">
        <f>AU34/AQ34-1</f>
        <v>0</v>
      </c>
      <c r="AV40" s="84">
        <f>AV34/AR34-1</f>
        <v>-0.10606060606060608</v>
      </c>
      <c r="AW40" s="84">
        <f>AW34/AS34-1</f>
        <v>9.0163934426229497E-2</v>
      </c>
      <c r="AX40" s="84">
        <f>AX34/AT34-1</f>
        <v>-0.22314049586776863</v>
      </c>
      <c r="AY40" s="84">
        <f>AY34/AU34-1</f>
        <v>-0.28346456692913391</v>
      </c>
      <c r="AZ40" s="84">
        <f>AZ34/AV34-1</f>
        <v>-2.5423728813559365E-2</v>
      </c>
      <c r="BA40" s="84">
        <f>BA34/AW34-1</f>
        <v>-0.26315789473684215</v>
      </c>
      <c r="BB40" s="84">
        <f>BB34/AX34-1</f>
        <v>-0.14893617021276595</v>
      </c>
      <c r="BC40" s="84">
        <f>BC34/AY34-1</f>
        <v>-0.1428571428571429</v>
      </c>
      <c r="BD40" s="84">
        <f>BD34/AZ34-1</f>
        <v>-0.34782608695652173</v>
      </c>
      <c r="BE40" s="84">
        <f>BE34/BA34-1</f>
        <v>-0.23469387755102045</v>
      </c>
      <c r="BF40" s="84">
        <f>BF34/BB34-1</f>
        <v>0</v>
      </c>
      <c r="BG40" s="84">
        <f>BG34/BC34-1</f>
        <v>-7.6923076923076872E-2</v>
      </c>
      <c r="BH40" s="84">
        <f>BH34/BD34-1</f>
        <v>-0.16000000000000003</v>
      </c>
      <c r="BI40" s="84">
        <f>BI34/BE34-1</f>
        <v>-0.30666666666666664</v>
      </c>
      <c r="BJ40" s="84">
        <f>BJ34/BF34-1</f>
        <v>-0.30000000000000004</v>
      </c>
      <c r="BK40" s="84">
        <f>BK34/BG34-1</f>
        <v>-0.27777777777777779</v>
      </c>
      <c r="CC40" s="84"/>
      <c r="CD40" s="84">
        <f t="shared" ref="CD40:CF40" si="40">CD34/CC34-1</f>
        <v>-5.9760956175298752E-2</v>
      </c>
      <c r="CE40" s="84">
        <f t="shared" si="40"/>
        <v>-0.18644067796610164</v>
      </c>
      <c r="CF40" s="84">
        <f t="shared" si="40"/>
        <v>-0.19791666666666663</v>
      </c>
      <c r="CG40" s="84">
        <f t="shared" si="39"/>
        <v>-0.21103896103896103</v>
      </c>
    </row>
    <row r="41" spans="2:147">
      <c r="B41" s="83" t="s">
        <v>1696</v>
      </c>
      <c r="AQ41" s="84"/>
      <c r="AR41" s="84"/>
      <c r="AS41" s="84"/>
      <c r="AT41" s="84"/>
      <c r="AU41" s="84">
        <f>AU35/AQ35-1</f>
        <v>0.33333333333333326</v>
      </c>
      <c r="AV41" s="84">
        <f>AV35/AR35-1</f>
        <v>0.54117647058823537</v>
      </c>
      <c r="AW41" s="84">
        <f>AW35/AS35-1</f>
        <v>0.39999999999999991</v>
      </c>
      <c r="AX41" s="84">
        <f>AX35/AT35-1</f>
        <v>-0.36213991769547327</v>
      </c>
      <c r="AY41" s="84">
        <f>AY35/AU35-1</f>
        <v>-9.8484848484848508E-2</v>
      </c>
      <c r="AZ41" s="84">
        <f>AZ35/AV35-1</f>
        <v>-9.92366412213741E-2</v>
      </c>
      <c r="BA41" s="84">
        <f>BA35/AW35-1</f>
        <v>-0.22222222222222221</v>
      </c>
      <c r="BB41" s="84">
        <f>BB35/AX35-1</f>
        <v>-0.19999999999999996</v>
      </c>
      <c r="BC41" s="84">
        <f>BC35/AY35-1</f>
        <v>-2.5210084033613467E-2</v>
      </c>
      <c r="BD41" s="84">
        <f>BD35/AZ35-1</f>
        <v>-8.4745762711864403E-2</v>
      </c>
      <c r="BE41" s="84">
        <f>BE35/BA35-1</f>
        <v>7.1428571428571397E-2</v>
      </c>
      <c r="BF41" s="84">
        <f>BF35/BB35-1</f>
        <v>-0.12096774193548387</v>
      </c>
      <c r="BG41" s="84">
        <f>BG35/BC35-1</f>
        <v>-0.2931034482758621</v>
      </c>
      <c r="BH41" s="84">
        <f>BH35/BD35-1</f>
        <v>-7.407407407407407E-2</v>
      </c>
      <c r="BI41" s="84">
        <f>BI35/BE35-1</f>
        <v>5.7142857142857162E-2</v>
      </c>
      <c r="BJ41" s="84">
        <f>BJ35/BF35-1</f>
        <v>0.25688073394495414</v>
      </c>
      <c r="BK41" s="84">
        <f>BK35/BG35-1</f>
        <v>0.13414634146341453</v>
      </c>
      <c r="CC41" s="84"/>
      <c r="CD41" s="84">
        <f t="shared" ref="CD41:CF41" si="41">CD35/CC35-1</f>
        <v>5.2224371373307488E-2</v>
      </c>
      <c r="CE41" s="84">
        <f t="shared" si="41"/>
        <v>-0.15625</v>
      </c>
      <c r="CF41" s="84">
        <f t="shared" si="41"/>
        <v>-4.5751633986928053E-2</v>
      </c>
      <c r="CG41" s="84">
        <f t="shared" si="39"/>
        <v>-1.8264840182648401E-2</v>
      </c>
    </row>
    <row r="42" spans="2:147" s="2" customFormat="1" ht="15">
      <c r="B42" s="2" t="s">
        <v>1697</v>
      </c>
      <c r="AQ42" s="85"/>
      <c r="AR42" s="85"/>
      <c r="AS42" s="85"/>
      <c r="AT42" s="85"/>
      <c r="AU42" s="85">
        <f t="shared" ref="AU42:BJ42" si="42">AU36/AQ36-1</f>
        <v>0.11893870082342173</v>
      </c>
      <c r="AV42" s="85">
        <f t="shared" si="42"/>
        <v>3.1971580817051537E-2</v>
      </c>
      <c r="AW42" s="85">
        <f t="shared" si="42"/>
        <v>6.3176895306860104E-3</v>
      </c>
      <c r="AX42" s="85">
        <f t="shared" si="42"/>
        <v>-9.591326105087572E-2</v>
      </c>
      <c r="AY42" s="85">
        <f t="shared" si="42"/>
        <v>-0.11120196238757152</v>
      </c>
      <c r="AZ42" s="85">
        <f t="shared" si="42"/>
        <v>1.2048192771084265E-2</v>
      </c>
      <c r="BA42" s="85">
        <f t="shared" si="42"/>
        <v>3.5874439461882623E-3</v>
      </c>
      <c r="BB42" s="85">
        <f t="shared" si="42"/>
        <v>3.5055350553505615E-2</v>
      </c>
      <c r="BC42" s="85">
        <f t="shared" si="42"/>
        <v>-1.0119595216191324E-2</v>
      </c>
      <c r="BD42" s="85">
        <f t="shared" si="42"/>
        <v>-5.4421768707482943E-2</v>
      </c>
      <c r="BE42" s="85">
        <f t="shared" si="42"/>
        <v>-3.4852546916890104E-2</v>
      </c>
      <c r="BF42" s="85">
        <f t="shared" si="42"/>
        <v>-1.6042780748663055E-2</v>
      </c>
      <c r="BG42" s="85">
        <f t="shared" si="42"/>
        <v>-3.2527881040892215E-2</v>
      </c>
      <c r="BH42" s="85">
        <f t="shared" si="42"/>
        <v>-4.7661870503597159E-2</v>
      </c>
      <c r="BI42" s="85">
        <f t="shared" si="42"/>
        <v>3.7037037037037646E-3</v>
      </c>
      <c r="BJ42" s="85">
        <f t="shared" si="42"/>
        <v>4.98188405797102E-2</v>
      </c>
      <c r="BK42" s="85">
        <f>BK36/BG36-1</f>
        <v>4.8030739673390999E-2</v>
      </c>
      <c r="BL42" s="34"/>
      <c r="BM42" s="34"/>
      <c r="BN42" s="34"/>
      <c r="CC42" s="85"/>
      <c r="CD42" s="85">
        <f t="shared" ref="CD42:CF42" si="43">CD36/CC36-1</f>
        <v>1.2814847547503394E-2</v>
      </c>
      <c r="CE42" s="85">
        <f t="shared" si="43"/>
        <v>-1.7452006980802848E-2</v>
      </c>
      <c r="CF42" s="85">
        <f t="shared" si="43"/>
        <v>-2.930728241563052E-2</v>
      </c>
      <c r="CG42" s="85">
        <f t="shared" si="39"/>
        <v>-6.6331198536139224E-3</v>
      </c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</row>
    <row r="44" spans="2:147">
      <c r="B44" s="83" t="s">
        <v>1706</v>
      </c>
      <c r="AQ44" s="84">
        <f t="shared" ref="AQ44:BJ44" si="44">AQ32/AQ36</f>
        <v>0.51418115279048493</v>
      </c>
      <c r="AR44" s="84">
        <f t="shared" si="44"/>
        <v>0.5230905861456483</v>
      </c>
      <c r="AS44" s="84">
        <f t="shared" si="44"/>
        <v>0.526173285198556</v>
      </c>
      <c r="AT44" s="84">
        <f t="shared" si="44"/>
        <v>0.5204336947456214</v>
      </c>
      <c r="AU44" s="84">
        <f t="shared" si="44"/>
        <v>0.52984464431725264</v>
      </c>
      <c r="AV44" s="84">
        <f t="shared" si="44"/>
        <v>0.54991394148020656</v>
      </c>
      <c r="AW44" s="84">
        <f t="shared" si="44"/>
        <v>0.53542600896860981</v>
      </c>
      <c r="AX44" s="84">
        <f t="shared" si="44"/>
        <v>0.54889298892988925</v>
      </c>
      <c r="AY44" s="84">
        <f t="shared" si="44"/>
        <v>0.56669733210671569</v>
      </c>
      <c r="AZ44" s="84">
        <f t="shared" si="44"/>
        <v>0.54421768707482998</v>
      </c>
      <c r="BA44" s="84">
        <f t="shared" si="44"/>
        <v>0.59249329758713132</v>
      </c>
      <c r="BB44" s="84">
        <f t="shared" si="44"/>
        <v>0.53654188948306591</v>
      </c>
      <c r="BC44" s="84">
        <f t="shared" si="44"/>
        <v>0.56040892193308545</v>
      </c>
      <c r="BD44" s="84">
        <f t="shared" si="44"/>
        <v>0.57553956834532372</v>
      </c>
      <c r="BE44" s="84">
        <f t="shared" si="44"/>
        <v>0.56388888888888888</v>
      </c>
      <c r="BF44" s="84">
        <f t="shared" si="44"/>
        <v>0.53351449275362317</v>
      </c>
      <c r="BG44" s="84">
        <f t="shared" si="44"/>
        <v>0.5331412103746398</v>
      </c>
      <c r="BH44" s="84">
        <f t="shared" si="44"/>
        <v>0.55335221907459864</v>
      </c>
      <c r="BI44" s="84">
        <f t="shared" si="44"/>
        <v>0.56457564575645758</v>
      </c>
      <c r="BJ44" s="84">
        <f t="shared" si="44"/>
        <v>0.56341673856773078</v>
      </c>
      <c r="BK44" s="84">
        <f>BK32/BK36</f>
        <v>0.54078826764436294</v>
      </c>
      <c r="CC44" s="84">
        <f t="shared" ref="CC44:CG44" si="45">CC32/CC36</f>
        <v>0.5209898365002209</v>
      </c>
      <c r="CD44" s="84">
        <f t="shared" si="45"/>
        <v>0.5407940663176265</v>
      </c>
      <c r="CE44" s="84">
        <f t="shared" si="45"/>
        <v>0.55972468916518647</v>
      </c>
      <c r="CF44" s="84">
        <f t="shared" si="45"/>
        <v>0.55832570905763956</v>
      </c>
      <c r="CG44" s="84">
        <f t="shared" si="45"/>
        <v>0.55399493437715863</v>
      </c>
    </row>
    <row r="45" spans="2:147">
      <c r="B45" s="83" t="s">
        <v>1707</v>
      </c>
      <c r="AQ45" s="84">
        <f t="shared" ref="AQ45:BJ45" si="46">AQ33/AQ36</f>
        <v>0.27904849039341262</v>
      </c>
      <c r="AR45" s="84">
        <f t="shared" si="46"/>
        <v>0.28419182948490229</v>
      </c>
      <c r="AS45" s="84">
        <f t="shared" si="46"/>
        <v>0.28249097472924189</v>
      </c>
      <c r="AT45" s="84">
        <f t="shared" si="46"/>
        <v>0.17597998331943285</v>
      </c>
      <c r="AU45" s="84">
        <f t="shared" si="46"/>
        <v>0.25838103025347509</v>
      </c>
      <c r="AV45" s="84">
        <f t="shared" si="46"/>
        <v>0.23580034423407917</v>
      </c>
      <c r="AW45" s="84">
        <f t="shared" si="46"/>
        <v>0.23228699551569507</v>
      </c>
      <c r="AX45" s="84">
        <f t="shared" si="46"/>
        <v>0.22140221402214022</v>
      </c>
      <c r="AY45" s="84">
        <f t="shared" si="46"/>
        <v>0.24011039558417663</v>
      </c>
      <c r="AZ45" s="84">
        <f t="shared" si="46"/>
        <v>0.25765306122448978</v>
      </c>
      <c r="BA45" s="84">
        <f t="shared" si="46"/>
        <v>0.23235031277926721</v>
      </c>
      <c r="BB45" s="84">
        <f t="shared" si="46"/>
        <v>0.28163992869875221</v>
      </c>
      <c r="BC45" s="84">
        <f t="shared" si="46"/>
        <v>0.25929368029739774</v>
      </c>
      <c r="BD45" s="84">
        <f t="shared" si="46"/>
        <v>0.25989208633093525</v>
      </c>
      <c r="BE45" s="84">
        <f t="shared" si="46"/>
        <v>0.26944444444444443</v>
      </c>
      <c r="BF45" s="84">
        <f t="shared" si="46"/>
        <v>0.29528985507246375</v>
      </c>
      <c r="BG45" s="84">
        <f t="shared" si="46"/>
        <v>0.31892411143131605</v>
      </c>
      <c r="BH45" s="84">
        <f t="shared" si="46"/>
        <v>0.29272898961284233</v>
      </c>
      <c r="BI45" s="84">
        <f t="shared" si="46"/>
        <v>0.28505535055350556</v>
      </c>
      <c r="BJ45" s="84">
        <f t="shared" si="46"/>
        <v>0.27006039689387401</v>
      </c>
      <c r="BK45" s="84">
        <f>BK33/BK36</f>
        <v>0.32630614115490375</v>
      </c>
      <c r="CC45" s="84">
        <f t="shared" ref="CC45:CG45" si="47">CC33/CC36</f>
        <v>0.25386654882898807</v>
      </c>
      <c r="CD45" s="84">
        <f t="shared" si="47"/>
        <v>0.23756544502617802</v>
      </c>
      <c r="CE45" s="84">
        <f t="shared" si="47"/>
        <v>0.25310834813499111</v>
      </c>
      <c r="CF45" s="84">
        <f t="shared" si="47"/>
        <v>0.27104300091491307</v>
      </c>
      <c r="CG45" s="84">
        <f t="shared" si="47"/>
        <v>0.29104305779415152</v>
      </c>
    </row>
    <row r="46" spans="2:147">
      <c r="B46" s="83" t="s">
        <v>1708</v>
      </c>
      <c r="AQ46" s="84">
        <f t="shared" ref="AQ46:BJ46" si="48">AQ34/AQ36</f>
        <v>0.1161939615736505</v>
      </c>
      <c r="AR46" s="84">
        <f t="shared" si="48"/>
        <v>0.11722912966252221</v>
      </c>
      <c r="AS46" s="84">
        <f t="shared" si="48"/>
        <v>0.11010830324909747</v>
      </c>
      <c r="AT46" s="84">
        <f t="shared" si="48"/>
        <v>0.10091743119266056</v>
      </c>
      <c r="AU46" s="84">
        <f t="shared" si="48"/>
        <v>0.10384300899427637</v>
      </c>
      <c r="AV46" s="84">
        <f t="shared" si="48"/>
        <v>0.10154905335628227</v>
      </c>
      <c r="AW46" s="84">
        <f t="shared" si="48"/>
        <v>0.11928251121076233</v>
      </c>
      <c r="AX46" s="84">
        <f t="shared" si="48"/>
        <v>8.6715867158671592E-2</v>
      </c>
      <c r="AY46" s="84">
        <f t="shared" si="48"/>
        <v>8.3716651333946637E-2</v>
      </c>
      <c r="AZ46" s="84">
        <f t="shared" si="48"/>
        <v>9.7789115646258501E-2</v>
      </c>
      <c r="BA46" s="84">
        <f t="shared" si="48"/>
        <v>8.7578194816800708E-2</v>
      </c>
      <c r="BB46" s="84">
        <f t="shared" si="48"/>
        <v>7.130124777183601E-2</v>
      </c>
      <c r="BC46" s="84">
        <f t="shared" si="48"/>
        <v>7.24907063197026E-2</v>
      </c>
      <c r="BD46" s="84">
        <f t="shared" si="48"/>
        <v>6.7446043165467623E-2</v>
      </c>
      <c r="BE46" s="84">
        <f t="shared" si="48"/>
        <v>6.9444444444444448E-2</v>
      </c>
      <c r="BF46" s="84">
        <f t="shared" si="48"/>
        <v>7.2463768115942032E-2</v>
      </c>
      <c r="BG46" s="84">
        <f t="shared" si="48"/>
        <v>6.9164265129683003E-2</v>
      </c>
      <c r="BH46" s="84">
        <f t="shared" si="48"/>
        <v>5.9490084985835696E-2</v>
      </c>
      <c r="BI46" s="84">
        <f t="shared" si="48"/>
        <v>4.797047970479705E-2</v>
      </c>
      <c r="BJ46" s="84">
        <f t="shared" si="48"/>
        <v>4.8317515099223468E-2</v>
      </c>
      <c r="BK46" s="84">
        <f>BK34/BK36</f>
        <v>4.7662694775435381E-2</v>
      </c>
      <c r="CC46" s="84">
        <f t="shared" ref="CC46:CG46" si="49">CC34/CC36</f>
        <v>0.11091471498011489</v>
      </c>
      <c r="CD46" s="84">
        <f t="shared" si="49"/>
        <v>0.10296684118673648</v>
      </c>
      <c r="CE46" s="84">
        <f t="shared" si="49"/>
        <v>8.5257548845470696E-2</v>
      </c>
      <c r="CF46" s="84">
        <f t="shared" si="49"/>
        <v>7.0448307410795968E-2</v>
      </c>
      <c r="CG46" s="84">
        <f t="shared" si="49"/>
        <v>5.5952106838590837E-2</v>
      </c>
    </row>
    <row r="47" spans="2:147">
      <c r="B47" s="83" t="s">
        <v>1709</v>
      </c>
      <c r="AQ47" s="84">
        <f t="shared" ref="AQ47:BJ47" si="50">AQ35/AQ36</f>
        <v>9.0576395242451965E-2</v>
      </c>
      <c r="AR47" s="84">
        <f t="shared" si="50"/>
        <v>7.548845470692718E-2</v>
      </c>
      <c r="AS47" s="84">
        <f t="shared" si="50"/>
        <v>8.1227436823104696E-2</v>
      </c>
      <c r="AT47" s="84">
        <f t="shared" si="50"/>
        <v>0.20266889074228525</v>
      </c>
      <c r="AU47" s="84">
        <f t="shared" si="50"/>
        <v>0.10793131643499591</v>
      </c>
      <c r="AV47" s="84">
        <f t="shared" si="50"/>
        <v>0.11273666092943202</v>
      </c>
      <c r="AW47" s="84">
        <f t="shared" si="50"/>
        <v>0.11300448430493273</v>
      </c>
      <c r="AX47" s="84">
        <f t="shared" si="50"/>
        <v>0.1429889298892989</v>
      </c>
      <c r="AY47" s="84">
        <f t="shared" si="50"/>
        <v>0.10947562097516099</v>
      </c>
      <c r="AZ47" s="84">
        <f t="shared" si="50"/>
        <v>0.10034013605442177</v>
      </c>
      <c r="BA47" s="84">
        <f t="shared" si="50"/>
        <v>8.7578194816800708E-2</v>
      </c>
      <c r="BB47" s="84">
        <f t="shared" si="50"/>
        <v>0.11051693404634581</v>
      </c>
      <c r="BC47" s="84">
        <f t="shared" si="50"/>
        <v>0.10780669144981413</v>
      </c>
      <c r="BD47" s="84">
        <f t="shared" si="50"/>
        <v>9.7122302158273388E-2</v>
      </c>
      <c r="BE47" s="84">
        <f t="shared" si="50"/>
        <v>9.7222222222222224E-2</v>
      </c>
      <c r="BF47" s="84">
        <f t="shared" si="50"/>
        <v>9.8731884057971009E-2</v>
      </c>
      <c r="BG47" s="84">
        <f t="shared" si="50"/>
        <v>7.8770413064361194E-2</v>
      </c>
      <c r="BH47" s="84">
        <f t="shared" si="50"/>
        <v>9.442870632672333E-2</v>
      </c>
      <c r="BI47" s="84">
        <f t="shared" si="50"/>
        <v>0.10239852398523985</v>
      </c>
      <c r="BJ47" s="84">
        <f t="shared" si="50"/>
        <v>0.1182053494391717</v>
      </c>
      <c r="BK47" s="84">
        <f>BK35/BK36</f>
        <v>8.5242896425297893E-2</v>
      </c>
      <c r="CC47" s="84">
        <f t="shared" ref="CC47:CG47" si="51">CC35/CC36</f>
        <v>0.11422889969067609</v>
      </c>
      <c r="CD47" s="84">
        <f t="shared" si="51"/>
        <v>0.11867364746945899</v>
      </c>
      <c r="CE47" s="84">
        <f t="shared" si="51"/>
        <v>0.10190941385435169</v>
      </c>
      <c r="CF47" s="84">
        <f t="shared" si="51"/>
        <v>0.10018298261665141</v>
      </c>
      <c r="CG47" s="84">
        <f t="shared" si="51"/>
        <v>9.9009900990099015E-2</v>
      </c>
    </row>
    <row r="49" spans="2:147" s="2" customFormat="1" ht="15">
      <c r="B49" s="86" t="s">
        <v>52</v>
      </c>
      <c r="C49" s="86">
        <v>282.51499999999999</v>
      </c>
      <c r="D49" s="86">
        <v>287.45</v>
      </c>
      <c r="E49" s="86">
        <v>235.499</v>
      </c>
      <c r="F49" s="86">
        <v>250.071</v>
      </c>
      <c r="G49" s="86">
        <v>272.77</v>
      </c>
      <c r="H49" s="86">
        <v>280.60700000000003</v>
      </c>
      <c r="I49" s="86">
        <v>285.87400000000002</v>
      </c>
      <c r="J49" s="86">
        <v>309.26499999999999</v>
      </c>
      <c r="K49" s="86">
        <v>330.95800000000003</v>
      </c>
      <c r="L49" s="86">
        <v>346.09399999999999</v>
      </c>
      <c r="M49" s="86">
        <v>356.8</v>
      </c>
      <c r="N49" s="86">
        <v>387.32600000000002</v>
      </c>
      <c r="O49" s="86">
        <v>420.78100000000001</v>
      </c>
      <c r="P49" s="86">
        <v>447.56799999999998</v>
      </c>
      <c r="Q49" s="86">
        <v>480.63</v>
      </c>
      <c r="R49" s="86">
        <v>512.37900000000002</v>
      </c>
      <c r="S49" s="86">
        <v>538.56500000000005</v>
      </c>
      <c r="T49" s="86">
        <v>539.37800000000004</v>
      </c>
      <c r="U49" s="86">
        <v>550.27099999999996</v>
      </c>
      <c r="V49" s="86">
        <v>591.78599999999994</v>
      </c>
      <c r="W49" s="86">
        <v>572</v>
      </c>
      <c r="X49" s="86">
        <v>600</v>
      </c>
      <c r="Y49" s="86">
        <v>607</v>
      </c>
      <c r="Z49" s="86">
        <v>619</v>
      </c>
      <c r="AA49" s="86">
        <v>598</v>
      </c>
      <c r="AB49" s="86">
        <v>662</v>
      </c>
      <c r="AC49" s="86">
        <v>714</v>
      </c>
      <c r="AD49" s="86">
        <v>778</v>
      </c>
      <c r="AE49" s="86">
        <v>154</v>
      </c>
      <c r="AF49" s="86">
        <v>830</v>
      </c>
      <c r="AG49" s="86">
        <v>853</v>
      </c>
      <c r="AH49" s="86">
        <v>1496</v>
      </c>
      <c r="AI49" s="86">
        <v>846</v>
      </c>
      <c r="AJ49" s="86">
        <v>838</v>
      </c>
      <c r="AK49" s="86">
        <v>907</v>
      </c>
      <c r="AL49" s="86">
        <v>952</v>
      </c>
      <c r="AM49" s="86">
        <v>859</v>
      </c>
      <c r="AN49" s="86">
        <v>633</v>
      </c>
      <c r="AO49" s="86">
        <v>794</v>
      </c>
      <c r="AP49" s="86">
        <v>953</v>
      </c>
      <c r="AQ49" s="86">
        <f>AQ8</f>
        <v>1093</v>
      </c>
      <c r="AR49" s="86">
        <f>AR8</f>
        <v>1126</v>
      </c>
      <c r="AS49" s="86">
        <f>AS8</f>
        <v>1108</v>
      </c>
      <c r="AT49" s="86">
        <f>AT8</f>
        <v>1199</v>
      </c>
      <c r="AU49" s="86">
        <f>AU8</f>
        <v>1223</v>
      </c>
      <c r="AV49" s="86">
        <f>AV8</f>
        <v>1162</v>
      </c>
      <c r="AW49" s="86">
        <f>AW8</f>
        <v>1115</v>
      </c>
      <c r="AX49" s="86">
        <f>AX8</f>
        <v>1084</v>
      </c>
      <c r="AY49" s="86">
        <f>AY8</f>
        <v>1087</v>
      </c>
      <c r="AZ49" s="86">
        <f>AZ8</f>
        <v>1176</v>
      </c>
      <c r="BA49" s="86">
        <f>BA8</f>
        <v>1119</v>
      </c>
      <c r="BB49" s="86">
        <f>BB8</f>
        <v>1122</v>
      </c>
      <c r="BC49" s="86">
        <f>BC8</f>
        <v>1076</v>
      </c>
      <c r="BD49" s="86">
        <f>BD8</f>
        <v>1112</v>
      </c>
      <c r="BE49" s="86">
        <f>BE8</f>
        <v>1080</v>
      </c>
      <c r="BF49" s="86">
        <f>BF8</f>
        <v>1104</v>
      </c>
      <c r="BG49" s="86">
        <f>BG8</f>
        <v>1041</v>
      </c>
      <c r="BH49" s="86">
        <f>BH8</f>
        <v>1059</v>
      </c>
      <c r="BI49" s="86">
        <f>BI8</f>
        <v>1084</v>
      </c>
      <c r="BJ49" s="86">
        <f>BJ8</f>
        <v>1159</v>
      </c>
      <c r="BK49" s="86">
        <f>BK8</f>
        <v>1091</v>
      </c>
      <c r="BL49" s="34"/>
      <c r="BM49" s="34"/>
      <c r="BN49" s="34"/>
      <c r="BS49" s="86">
        <f>SUM(C49:F49)</f>
        <v>1055.5349999999999</v>
      </c>
      <c r="BT49" s="86">
        <f>SUM(G49:J49)</f>
        <v>1148.5160000000001</v>
      </c>
      <c r="BU49" s="86">
        <f>SUM(K49:N49)</f>
        <v>1421.1780000000001</v>
      </c>
      <c r="BV49" s="86">
        <f>SUM(O49:R49)</f>
        <v>1861.3579999999997</v>
      </c>
      <c r="BW49" s="86">
        <f>SUM(S49:V49)</f>
        <v>2220</v>
      </c>
      <c r="BX49" s="86">
        <f>SUM(W49:Z49)</f>
        <v>2398</v>
      </c>
      <c r="BY49" s="86">
        <f>SUM(AA49:AD49)</f>
        <v>2752</v>
      </c>
      <c r="BZ49" s="86">
        <f>SUM(AE49:AH49)</f>
        <v>3333</v>
      </c>
      <c r="CA49" s="86">
        <f>SUM(AI49:AL49)</f>
        <v>3543</v>
      </c>
      <c r="CB49" s="86">
        <f>SUM(AM49:AP49)</f>
        <v>3239</v>
      </c>
      <c r="CC49" s="86">
        <f>SUM(AQ49:AT49)</f>
        <v>4526</v>
      </c>
      <c r="CD49" s="86">
        <f>SUM(AU49:AX49)</f>
        <v>4584</v>
      </c>
      <c r="CE49" s="86">
        <f>SUM(AY49:BB49)</f>
        <v>4504</v>
      </c>
      <c r="CF49" s="86">
        <f>SUM(BC49:BF49)</f>
        <v>4372</v>
      </c>
      <c r="CG49" s="86">
        <f>SUM(BG49:BJ49)</f>
        <v>4343</v>
      </c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</row>
    <row r="50" spans="2:147">
      <c r="B50" s="87" t="s">
        <v>55</v>
      </c>
      <c r="C50" s="87">
        <v>94.474000000000004</v>
      </c>
      <c r="D50" s="87">
        <v>94.093999999999994</v>
      </c>
      <c r="E50" s="87">
        <v>78.384</v>
      </c>
      <c r="F50" s="87">
        <v>79.484999999999999</v>
      </c>
      <c r="G50" s="87">
        <v>91.759</v>
      </c>
      <c r="H50" s="87">
        <v>87.61</v>
      </c>
      <c r="I50" s="87">
        <v>90.001000000000005</v>
      </c>
      <c r="J50" s="87">
        <v>105.61799999999999</v>
      </c>
      <c r="K50" s="87">
        <v>111.666</v>
      </c>
      <c r="L50" s="87">
        <v>122.685</v>
      </c>
      <c r="M50" s="87">
        <v>146.86000000000001</v>
      </c>
      <c r="N50" s="87">
        <v>128.08000000000001</v>
      </c>
      <c r="O50" s="87">
        <v>142.489</v>
      </c>
      <c r="P50" s="87">
        <v>147.02799999999999</v>
      </c>
      <c r="Q50" s="87">
        <v>146.68899999999999</v>
      </c>
      <c r="R50" s="87">
        <v>127.44199999999999</v>
      </c>
      <c r="S50" s="87">
        <v>163.53800000000001</v>
      </c>
      <c r="T50" s="87">
        <v>163.01300000000001</v>
      </c>
      <c r="U50" s="87">
        <v>162.732</v>
      </c>
      <c r="V50" s="87">
        <v>181.71700000000001</v>
      </c>
      <c r="W50" s="87">
        <v>175</v>
      </c>
      <c r="X50" s="87">
        <v>176</v>
      </c>
      <c r="Y50" s="87">
        <v>181</v>
      </c>
      <c r="Z50" s="87">
        <v>200</v>
      </c>
      <c r="AA50" s="87">
        <v>230</v>
      </c>
      <c r="AB50" s="87">
        <v>228</v>
      </c>
      <c r="AC50" s="87">
        <v>455</v>
      </c>
      <c r="AD50" s="87">
        <v>13</v>
      </c>
      <c r="AE50" s="87">
        <v>244</v>
      </c>
      <c r="AF50" s="87">
        <v>255</v>
      </c>
      <c r="AG50" s="87">
        <v>256</v>
      </c>
      <c r="AH50" s="87">
        <v>278</v>
      </c>
      <c r="AI50" s="87">
        <v>262</v>
      </c>
      <c r="AJ50" s="87">
        <v>265</v>
      </c>
      <c r="AK50" s="87">
        <v>259</v>
      </c>
      <c r="AL50" s="87">
        <v>290</v>
      </c>
      <c r="AM50" s="87">
        <v>240</v>
      </c>
      <c r="AN50" s="87">
        <v>205</v>
      </c>
      <c r="AO50" s="87">
        <v>268</v>
      </c>
      <c r="AP50" s="87">
        <v>323</v>
      </c>
      <c r="AQ50" s="87">
        <v>329</v>
      </c>
      <c r="AR50" s="87">
        <v>324</v>
      </c>
      <c r="AS50" s="87">
        <v>338</v>
      </c>
      <c r="AT50" s="87">
        <v>381</v>
      </c>
      <c r="AU50" s="87">
        <v>408</v>
      </c>
      <c r="AV50" s="87">
        <v>395</v>
      </c>
      <c r="AW50" s="87">
        <v>398</v>
      </c>
      <c r="AX50" s="87">
        <v>411</v>
      </c>
      <c r="AY50" s="87">
        <v>432</v>
      </c>
      <c r="AZ50" s="87">
        <v>444</v>
      </c>
      <c r="BA50" s="87">
        <v>435</v>
      </c>
      <c r="BB50" s="87">
        <v>449</v>
      </c>
      <c r="BC50" s="87">
        <v>409</v>
      </c>
      <c r="BD50" s="87">
        <v>391</v>
      </c>
      <c r="BE50" s="87">
        <v>335</v>
      </c>
      <c r="BF50" s="87">
        <v>376</v>
      </c>
      <c r="BG50" s="87">
        <v>358</v>
      </c>
      <c r="BH50" s="87">
        <v>364</v>
      </c>
      <c r="BI50" s="87">
        <v>351</v>
      </c>
      <c r="BJ50" s="87">
        <v>400</v>
      </c>
      <c r="BK50" s="87">
        <v>370</v>
      </c>
      <c r="BS50" s="87">
        <f>SUM(C50:F50)</f>
        <v>346.43700000000001</v>
      </c>
      <c r="BT50" s="87">
        <f>SUM(G50:J50)</f>
        <v>374.988</v>
      </c>
      <c r="BU50" s="87">
        <f>SUM(K50:N50)</f>
        <v>509.29100000000005</v>
      </c>
      <c r="BV50" s="87">
        <f>SUM(O50:R50)</f>
        <v>563.64800000000002</v>
      </c>
      <c r="BW50" s="87">
        <f>SUM(S50:V50)</f>
        <v>671</v>
      </c>
      <c r="BX50" s="87">
        <f>SUM(W50:Z50)</f>
        <v>732</v>
      </c>
      <c r="BY50" s="87">
        <f>SUM(AA50:AD50)</f>
        <v>926</v>
      </c>
      <c r="BZ50" s="87">
        <f>SUM(AE50:AH50)</f>
        <v>1033</v>
      </c>
      <c r="CA50" s="87">
        <f>SUM(AI50:AL50)</f>
        <v>1076</v>
      </c>
      <c r="CB50" s="87">
        <f>SUM(AM50:AP50)</f>
        <v>1036</v>
      </c>
      <c r="CC50" s="87">
        <f>SUM(AQ50:AT50)</f>
        <v>1372</v>
      </c>
      <c r="CD50" s="87">
        <f>SUM(AU50:AX50)</f>
        <v>1612</v>
      </c>
      <c r="CE50" s="87">
        <f>SUM(AY50:BB50)</f>
        <v>1760</v>
      </c>
      <c r="CF50" s="87">
        <f>SUM(BC50:BF50)</f>
        <v>1511</v>
      </c>
      <c r="CG50" s="87">
        <f>SUM(BG50:BJ50)</f>
        <v>1473</v>
      </c>
    </row>
    <row r="51" spans="2:147">
      <c r="B51" s="87" t="s">
        <v>56</v>
      </c>
      <c r="C51" s="87">
        <f t="shared" ref="C51:AL51" si="52">C49-C50</f>
        <v>188.041</v>
      </c>
      <c r="D51" s="87">
        <f t="shared" si="52"/>
        <v>193.35599999999999</v>
      </c>
      <c r="E51" s="87">
        <f t="shared" si="52"/>
        <v>157.11500000000001</v>
      </c>
      <c r="F51" s="87">
        <f t="shared" si="52"/>
        <v>170.58600000000001</v>
      </c>
      <c r="G51" s="87">
        <f t="shared" si="52"/>
        <v>181.01099999999997</v>
      </c>
      <c r="H51" s="87">
        <f t="shared" si="52"/>
        <v>192.99700000000001</v>
      </c>
      <c r="I51" s="87">
        <f t="shared" si="52"/>
        <v>195.87300000000002</v>
      </c>
      <c r="J51" s="87">
        <f t="shared" si="52"/>
        <v>203.64699999999999</v>
      </c>
      <c r="K51" s="87">
        <f t="shared" si="52"/>
        <v>219.29200000000003</v>
      </c>
      <c r="L51" s="87">
        <f t="shared" si="52"/>
        <v>223.40899999999999</v>
      </c>
      <c r="M51" s="87">
        <f t="shared" si="52"/>
        <v>209.94</v>
      </c>
      <c r="N51" s="87">
        <f t="shared" si="52"/>
        <v>259.24599999999998</v>
      </c>
      <c r="O51" s="87">
        <f t="shared" si="52"/>
        <v>278.29200000000003</v>
      </c>
      <c r="P51" s="87">
        <f t="shared" si="52"/>
        <v>300.53999999999996</v>
      </c>
      <c r="Q51" s="87">
        <f t="shared" si="52"/>
        <v>333.94100000000003</v>
      </c>
      <c r="R51" s="87">
        <f t="shared" si="52"/>
        <v>384.93700000000001</v>
      </c>
      <c r="S51" s="87">
        <f t="shared" si="52"/>
        <v>375.02700000000004</v>
      </c>
      <c r="T51" s="87">
        <f t="shared" si="52"/>
        <v>376.36500000000001</v>
      </c>
      <c r="U51" s="87">
        <f t="shared" si="52"/>
        <v>387.53899999999999</v>
      </c>
      <c r="V51" s="87">
        <f t="shared" si="52"/>
        <v>410.06899999999996</v>
      </c>
      <c r="W51" s="87">
        <f t="shared" si="52"/>
        <v>397</v>
      </c>
      <c r="X51" s="87">
        <f t="shared" si="52"/>
        <v>424</v>
      </c>
      <c r="Y51" s="87">
        <f t="shared" si="52"/>
        <v>426</v>
      </c>
      <c r="Z51" s="87">
        <f t="shared" si="52"/>
        <v>419</v>
      </c>
      <c r="AA51" s="87">
        <f t="shared" si="52"/>
        <v>368</v>
      </c>
      <c r="AB51" s="87">
        <f t="shared" si="52"/>
        <v>434</v>
      </c>
      <c r="AC51" s="87">
        <f t="shared" si="52"/>
        <v>259</v>
      </c>
      <c r="AD51" s="87">
        <f t="shared" si="52"/>
        <v>765</v>
      </c>
      <c r="AE51" s="87">
        <f t="shared" si="52"/>
        <v>-90</v>
      </c>
      <c r="AF51" s="87">
        <f t="shared" si="52"/>
        <v>575</v>
      </c>
      <c r="AG51" s="87">
        <f t="shared" si="52"/>
        <v>597</v>
      </c>
      <c r="AH51" s="87">
        <f t="shared" si="52"/>
        <v>1218</v>
      </c>
      <c r="AI51" s="87">
        <f t="shared" si="52"/>
        <v>584</v>
      </c>
      <c r="AJ51" s="87">
        <f t="shared" si="52"/>
        <v>573</v>
      </c>
      <c r="AK51" s="87">
        <f t="shared" si="52"/>
        <v>648</v>
      </c>
      <c r="AL51" s="87">
        <f t="shared" si="52"/>
        <v>662</v>
      </c>
      <c r="AM51" s="87">
        <f t="shared" ref="AM51:BF51" si="53">AM49-AM50</f>
        <v>619</v>
      </c>
      <c r="AN51" s="87">
        <f t="shared" si="53"/>
        <v>428</v>
      </c>
      <c r="AO51" s="87">
        <f t="shared" si="53"/>
        <v>526</v>
      </c>
      <c r="AP51" s="87">
        <f t="shared" si="53"/>
        <v>630</v>
      </c>
      <c r="AQ51" s="87">
        <f t="shared" si="53"/>
        <v>764</v>
      </c>
      <c r="AR51" s="87">
        <f t="shared" si="53"/>
        <v>802</v>
      </c>
      <c r="AS51" s="87">
        <f t="shared" si="53"/>
        <v>770</v>
      </c>
      <c r="AT51" s="87">
        <f t="shared" si="53"/>
        <v>818</v>
      </c>
      <c r="AU51" s="87">
        <f t="shared" si="53"/>
        <v>815</v>
      </c>
      <c r="AV51" s="87">
        <f t="shared" si="53"/>
        <v>767</v>
      </c>
      <c r="AW51" s="87">
        <f t="shared" si="53"/>
        <v>717</v>
      </c>
      <c r="AX51" s="87">
        <f t="shared" si="53"/>
        <v>673</v>
      </c>
      <c r="AY51" s="87">
        <f t="shared" si="53"/>
        <v>655</v>
      </c>
      <c r="AZ51" s="87">
        <f t="shared" si="53"/>
        <v>732</v>
      </c>
      <c r="BA51" s="87">
        <f t="shared" si="53"/>
        <v>684</v>
      </c>
      <c r="BB51" s="87">
        <f t="shared" si="53"/>
        <v>673</v>
      </c>
      <c r="BC51" s="87">
        <f t="shared" si="53"/>
        <v>667</v>
      </c>
      <c r="BD51" s="87">
        <f t="shared" si="53"/>
        <v>721</v>
      </c>
      <c r="BE51" s="87">
        <f t="shared" si="53"/>
        <v>745</v>
      </c>
      <c r="BF51" s="87">
        <f t="shared" si="53"/>
        <v>728</v>
      </c>
      <c r="BG51" s="87">
        <f>BG49-BG50</f>
        <v>683</v>
      </c>
      <c r="BH51" s="87">
        <f t="shared" ref="BH51:BJ51" si="54">BH49-BH50</f>
        <v>695</v>
      </c>
      <c r="BI51" s="87">
        <f t="shared" si="54"/>
        <v>733</v>
      </c>
      <c r="BJ51" s="87">
        <f t="shared" si="54"/>
        <v>759</v>
      </c>
      <c r="BK51" s="87">
        <f t="shared" ref="BK51" si="55">BK49-BK50</f>
        <v>721</v>
      </c>
      <c r="BS51" s="87">
        <f t="shared" ref="BS51:BS62" si="56">SUM(C51:F51)</f>
        <v>709.09799999999996</v>
      </c>
      <c r="BT51" s="87">
        <f t="shared" ref="BT51:BT62" si="57">SUM(G51:J51)</f>
        <v>773.52800000000002</v>
      </c>
      <c r="BU51" s="87">
        <f t="shared" ref="BU51:BU62" si="58">SUM(K51:N51)</f>
        <v>911.88700000000006</v>
      </c>
      <c r="BV51" s="87">
        <f t="shared" ref="BV51:BV62" si="59">SUM(O51:R51)</f>
        <v>1297.71</v>
      </c>
      <c r="BW51" s="87">
        <f t="shared" ref="BW51:BW62" si="60">SUM(S51:V51)</f>
        <v>1549</v>
      </c>
      <c r="BX51" s="87">
        <f t="shared" ref="BX51:BX62" si="61">SUM(W51:Z51)</f>
        <v>1666</v>
      </c>
      <c r="BY51" s="87">
        <f t="shared" ref="BY51:BY62" si="62">SUM(AA51:AD51)</f>
        <v>1826</v>
      </c>
      <c r="BZ51" s="87">
        <f t="shared" ref="BZ51:BZ62" si="63">SUM(AE51:AH51)</f>
        <v>2300</v>
      </c>
      <c r="CA51" s="87">
        <f t="shared" ref="CA51:CA62" si="64">SUM(AI51:AL51)</f>
        <v>2467</v>
      </c>
      <c r="CB51" s="87">
        <f t="shared" ref="CB51:CB62" si="65">SUM(AM51:AP51)</f>
        <v>2203</v>
      </c>
      <c r="CC51" s="87">
        <f t="shared" ref="CC51:CC62" si="66">SUM(AQ51:AT51)</f>
        <v>3154</v>
      </c>
      <c r="CD51" s="87">
        <f t="shared" ref="CD51:CD62" si="67">SUM(AU51:AX51)</f>
        <v>2972</v>
      </c>
      <c r="CE51" s="87">
        <f t="shared" ref="CE51:CE62" si="68">SUM(AY51:BB51)</f>
        <v>2744</v>
      </c>
      <c r="CF51" s="87">
        <f t="shared" ref="CF51:CF62" si="69">SUM(BC51:BF51)</f>
        <v>2861</v>
      </c>
      <c r="CG51" s="87">
        <f t="shared" ref="CG51:CG62" si="70">SUM(BG51:BJ51)</f>
        <v>2870</v>
      </c>
    </row>
    <row r="52" spans="2:147">
      <c r="B52" s="87" t="s">
        <v>1710</v>
      </c>
      <c r="C52" s="87">
        <v>50.2</v>
      </c>
      <c r="D52" s="87">
        <v>50.801000000000002</v>
      </c>
      <c r="E52" s="87">
        <v>50.399000000000001</v>
      </c>
      <c r="F52" s="87">
        <v>45.512999999999998</v>
      </c>
      <c r="G52" s="87">
        <v>48.838999999999999</v>
      </c>
      <c r="H52" s="87">
        <v>71.222999999999999</v>
      </c>
      <c r="I52" s="87">
        <v>54.055999999999997</v>
      </c>
      <c r="J52" s="87">
        <v>56.906999999999996</v>
      </c>
      <c r="K52" s="87">
        <v>61.45</v>
      </c>
      <c r="L52" s="87">
        <v>67.608000000000004</v>
      </c>
      <c r="M52" s="87">
        <v>70.956999999999994</v>
      </c>
      <c r="N52" s="87">
        <v>76.727999999999994</v>
      </c>
      <c r="O52" s="87">
        <v>77.040999999999997</v>
      </c>
      <c r="P52" s="87">
        <v>82.984999999999999</v>
      </c>
      <c r="Q52" s="87">
        <v>85.081999999999994</v>
      </c>
      <c r="R52" s="87">
        <v>142.947</v>
      </c>
      <c r="S52" s="87">
        <v>91.772000000000006</v>
      </c>
      <c r="T52" s="87">
        <v>96.182000000000002</v>
      </c>
      <c r="U52" s="87">
        <v>99.225999999999999</v>
      </c>
      <c r="V52" s="87">
        <v>113.82</v>
      </c>
      <c r="W52" s="87">
        <v>124</v>
      </c>
      <c r="X52" s="87">
        <v>125</v>
      </c>
      <c r="Y52" s="87">
        <v>126</v>
      </c>
      <c r="Z52" s="87">
        <v>129</v>
      </c>
      <c r="AA52" s="87">
        <v>145</v>
      </c>
      <c r="AB52" s="87">
        <v>130</v>
      </c>
      <c r="AC52" s="87">
        <v>134</v>
      </c>
      <c r="AD52" s="87">
        <v>137</v>
      </c>
      <c r="AE52" s="87">
        <v>137</v>
      </c>
      <c r="AF52" s="87">
        <v>151</v>
      </c>
      <c r="AG52" s="87">
        <v>159</v>
      </c>
      <c r="AH52" s="87">
        <v>176</v>
      </c>
      <c r="AI52" s="87">
        <v>169</v>
      </c>
      <c r="AJ52" s="87">
        <v>166</v>
      </c>
      <c r="AK52" s="87">
        <v>151</v>
      </c>
      <c r="AL52" s="87">
        <v>161</v>
      </c>
      <c r="AM52" s="87">
        <v>156</v>
      </c>
      <c r="AN52" s="87">
        <v>155</v>
      </c>
      <c r="AO52" s="87">
        <v>172</v>
      </c>
      <c r="AP52" s="87">
        <v>199</v>
      </c>
      <c r="AQ52" s="87">
        <v>197</v>
      </c>
      <c r="AR52" s="87">
        <v>202</v>
      </c>
      <c r="AS52" s="87">
        <v>436</v>
      </c>
      <c r="AT52" s="87">
        <v>350</v>
      </c>
      <c r="AU52" s="87">
        <v>323</v>
      </c>
      <c r="AV52" s="87">
        <v>327</v>
      </c>
      <c r="AW52" s="87">
        <v>325</v>
      </c>
      <c r="AX52" s="87">
        <v>346</v>
      </c>
      <c r="AY52" s="87">
        <v>341</v>
      </c>
      <c r="AZ52" s="87">
        <v>358</v>
      </c>
      <c r="BA52" s="87">
        <v>315</v>
      </c>
      <c r="BB52" s="87">
        <v>340</v>
      </c>
      <c r="BC52" s="87">
        <v>339</v>
      </c>
      <c r="BD52" s="87">
        <v>325</v>
      </c>
      <c r="BE52" s="87">
        <v>253</v>
      </c>
      <c r="BF52" s="87">
        <v>252</v>
      </c>
      <c r="BG52" s="87">
        <v>252</v>
      </c>
      <c r="BH52" s="87">
        <v>247</v>
      </c>
      <c r="BI52" s="87">
        <v>229</v>
      </c>
      <c r="BJ52" s="87">
        <v>239</v>
      </c>
      <c r="BK52" s="87">
        <v>240</v>
      </c>
      <c r="BS52" s="87">
        <f t="shared" si="56"/>
        <v>196.91300000000001</v>
      </c>
      <c r="BT52" s="87">
        <f t="shared" si="57"/>
        <v>231.02499999999998</v>
      </c>
      <c r="BU52" s="87">
        <f t="shared" si="58"/>
        <v>276.74299999999999</v>
      </c>
      <c r="BV52" s="87">
        <f t="shared" si="59"/>
        <v>388.05500000000001</v>
      </c>
      <c r="BW52" s="87">
        <f t="shared" si="60"/>
        <v>401</v>
      </c>
      <c r="BX52" s="87">
        <f t="shared" si="61"/>
        <v>504</v>
      </c>
      <c r="BY52" s="87">
        <f t="shared" si="62"/>
        <v>546</v>
      </c>
      <c r="BZ52" s="87">
        <f t="shared" si="63"/>
        <v>623</v>
      </c>
      <c r="CA52" s="87">
        <f t="shared" si="64"/>
        <v>647</v>
      </c>
      <c r="CB52" s="87">
        <f t="shared" si="65"/>
        <v>682</v>
      </c>
      <c r="CC52" s="87">
        <f t="shared" si="66"/>
        <v>1185</v>
      </c>
      <c r="CD52" s="87">
        <f t="shared" si="67"/>
        <v>1321</v>
      </c>
      <c r="CE52" s="87">
        <f t="shared" si="68"/>
        <v>1354</v>
      </c>
      <c r="CF52" s="87">
        <f t="shared" si="69"/>
        <v>1169</v>
      </c>
      <c r="CG52" s="87">
        <f t="shared" si="70"/>
        <v>967</v>
      </c>
    </row>
    <row r="53" spans="2:147">
      <c r="B53" s="87" t="s">
        <v>1711</v>
      </c>
      <c r="C53" s="87">
        <v>65.661000000000001</v>
      </c>
      <c r="D53" s="87">
        <v>69.233000000000004</v>
      </c>
      <c r="E53" s="87">
        <v>66.031000000000006</v>
      </c>
      <c r="F53" s="87">
        <v>60.917999999999999</v>
      </c>
      <c r="G53" s="87">
        <v>67.968999999999994</v>
      </c>
      <c r="H53" s="87">
        <v>68.516000000000005</v>
      </c>
      <c r="I53" s="87">
        <v>69.790999999999997</v>
      </c>
      <c r="J53" s="87">
        <v>79.715000000000003</v>
      </c>
      <c r="K53" s="87">
        <v>85.073999999999998</v>
      </c>
      <c r="L53" s="87">
        <v>88.7</v>
      </c>
      <c r="M53" s="87">
        <v>95.617000000000004</v>
      </c>
      <c r="N53" s="87">
        <v>111.649</v>
      </c>
      <c r="O53" s="87">
        <v>109.57299999999999</v>
      </c>
      <c r="P53" s="87">
        <v>114.649</v>
      </c>
      <c r="Q53" s="87">
        <v>119.88800000000001</v>
      </c>
      <c r="R53" s="87">
        <v>122.173</v>
      </c>
      <c r="S53" s="87">
        <v>116.31699999999999</v>
      </c>
      <c r="T53" s="87">
        <v>124.441</v>
      </c>
      <c r="U53" s="87">
        <v>136.648</v>
      </c>
      <c r="V53" s="87">
        <v>138.59399999999999</v>
      </c>
      <c r="W53" s="87">
        <v>150</v>
      </c>
      <c r="X53" s="87">
        <v>148</v>
      </c>
      <c r="Y53" s="87">
        <v>139</v>
      </c>
      <c r="Z53" s="87">
        <v>147</v>
      </c>
      <c r="AA53" s="87">
        <v>171</v>
      </c>
      <c r="AB53" s="87">
        <v>161</v>
      </c>
      <c r="AC53" s="87">
        <v>167</v>
      </c>
      <c r="AD53" s="87">
        <v>175</v>
      </c>
      <c r="AE53" s="87">
        <v>183</v>
      </c>
      <c r="AF53" s="87">
        <v>197</v>
      </c>
      <c r="AG53" s="87">
        <v>197</v>
      </c>
      <c r="AH53" s="87">
        <v>217</v>
      </c>
      <c r="AI53" s="87">
        <v>211</v>
      </c>
      <c r="AJ53" s="87">
        <v>202</v>
      </c>
      <c r="AK53" s="87">
        <v>189</v>
      </c>
      <c r="AL53" s="87">
        <v>233</v>
      </c>
      <c r="AM53" s="87">
        <v>274</v>
      </c>
      <c r="AN53" s="87">
        <v>177</v>
      </c>
      <c r="AO53" s="87">
        <v>192</v>
      </c>
      <c r="AP53" s="87">
        <v>298</v>
      </c>
      <c r="AQ53" s="87">
        <v>374</v>
      </c>
      <c r="AR53" s="87">
        <v>413</v>
      </c>
      <c r="AS53" s="87">
        <v>879</v>
      </c>
      <c r="AT53" s="87">
        <v>426</v>
      </c>
      <c r="AU53" s="87">
        <v>308</v>
      </c>
      <c r="AV53" s="87">
        <v>410</v>
      </c>
      <c r="AW53" s="87">
        <v>146</v>
      </c>
      <c r="AX53" s="87">
        <v>433</v>
      </c>
      <c r="AY53" s="87">
        <v>378</v>
      </c>
      <c r="AZ53" s="87">
        <v>462</v>
      </c>
      <c r="BA53" s="87">
        <v>303</v>
      </c>
      <c r="BB53" s="87">
        <v>469</v>
      </c>
      <c r="BC53" s="87">
        <v>439</v>
      </c>
      <c r="BD53" s="87">
        <v>147</v>
      </c>
      <c r="BE53" s="87">
        <v>239</v>
      </c>
      <c r="BF53" s="87">
        <v>267</v>
      </c>
      <c r="BG53" s="87">
        <v>267</v>
      </c>
      <c r="BH53" s="87">
        <v>234</v>
      </c>
      <c r="BI53" s="87">
        <v>277</v>
      </c>
      <c r="BJ53" s="87">
        <v>308</v>
      </c>
      <c r="BK53" s="87">
        <v>272</v>
      </c>
      <c r="BS53" s="87">
        <f t="shared" si="56"/>
        <v>261.84300000000002</v>
      </c>
      <c r="BT53" s="87">
        <f t="shared" si="57"/>
        <v>285.99099999999999</v>
      </c>
      <c r="BU53" s="87">
        <f t="shared" si="58"/>
        <v>381.04</v>
      </c>
      <c r="BV53" s="87">
        <f t="shared" si="59"/>
        <v>466.28300000000002</v>
      </c>
      <c r="BW53" s="87">
        <f t="shared" si="60"/>
        <v>516</v>
      </c>
      <c r="BX53" s="87">
        <f t="shared" si="61"/>
        <v>584</v>
      </c>
      <c r="BY53" s="87">
        <f t="shared" si="62"/>
        <v>674</v>
      </c>
      <c r="BZ53" s="87">
        <f t="shared" si="63"/>
        <v>794</v>
      </c>
      <c r="CA53" s="87">
        <f t="shared" si="64"/>
        <v>835</v>
      </c>
      <c r="CB53" s="87">
        <f t="shared" si="65"/>
        <v>941</v>
      </c>
      <c r="CC53" s="87">
        <f t="shared" si="66"/>
        <v>2092</v>
      </c>
      <c r="CD53" s="87">
        <f t="shared" si="67"/>
        <v>1297</v>
      </c>
      <c r="CE53" s="87">
        <f t="shared" si="68"/>
        <v>1612</v>
      </c>
      <c r="CF53" s="87">
        <f t="shared" si="69"/>
        <v>1092</v>
      </c>
      <c r="CG53" s="87">
        <f t="shared" si="70"/>
        <v>1086</v>
      </c>
    </row>
    <row r="54" spans="2:147">
      <c r="B54" s="87" t="s">
        <v>1712</v>
      </c>
      <c r="C54" s="87">
        <f t="shared" ref="C54:BB54" si="71">C51-SUM(C52:C53)</f>
        <v>72.179999999999993</v>
      </c>
      <c r="D54" s="87">
        <f t="shared" si="71"/>
        <v>73.321999999999989</v>
      </c>
      <c r="E54" s="87">
        <f t="shared" si="71"/>
        <v>40.685000000000002</v>
      </c>
      <c r="F54" s="87">
        <f t="shared" si="71"/>
        <v>64.155000000000015</v>
      </c>
      <c r="G54" s="87">
        <f t="shared" si="71"/>
        <v>64.202999999999975</v>
      </c>
      <c r="H54" s="87">
        <f t="shared" si="71"/>
        <v>53.25800000000001</v>
      </c>
      <c r="I54" s="87">
        <f t="shared" si="71"/>
        <v>72.026000000000025</v>
      </c>
      <c r="J54" s="87">
        <f t="shared" si="71"/>
        <v>67.024999999999977</v>
      </c>
      <c r="K54" s="87">
        <f t="shared" si="71"/>
        <v>72.768000000000029</v>
      </c>
      <c r="L54" s="87">
        <f t="shared" si="71"/>
        <v>67.100999999999999</v>
      </c>
      <c r="M54" s="87">
        <f t="shared" si="71"/>
        <v>43.365999999999985</v>
      </c>
      <c r="N54" s="87">
        <f t="shared" si="71"/>
        <v>70.868999999999971</v>
      </c>
      <c r="O54" s="87">
        <f t="shared" si="71"/>
        <v>91.678000000000054</v>
      </c>
      <c r="P54" s="87">
        <f t="shared" si="71"/>
        <v>102.90599999999995</v>
      </c>
      <c r="Q54" s="87">
        <f t="shared" si="71"/>
        <v>128.97100000000003</v>
      </c>
      <c r="R54" s="87">
        <f t="shared" si="71"/>
        <v>119.81700000000001</v>
      </c>
      <c r="S54" s="87">
        <f t="shared" si="71"/>
        <v>166.93800000000005</v>
      </c>
      <c r="T54" s="87">
        <f t="shared" si="71"/>
        <v>155.74200000000002</v>
      </c>
      <c r="U54" s="87">
        <f t="shared" si="71"/>
        <v>151.66499999999999</v>
      </c>
      <c r="V54" s="87">
        <f t="shared" si="71"/>
        <v>157.65499999999997</v>
      </c>
      <c r="W54" s="87">
        <f t="shared" si="71"/>
        <v>123</v>
      </c>
      <c r="X54" s="87">
        <f t="shared" si="71"/>
        <v>151</v>
      </c>
      <c r="Y54" s="87">
        <f t="shared" si="71"/>
        <v>161</v>
      </c>
      <c r="Z54" s="87">
        <f t="shared" si="71"/>
        <v>143</v>
      </c>
      <c r="AA54" s="87">
        <f t="shared" si="71"/>
        <v>52</v>
      </c>
      <c r="AB54" s="87">
        <f t="shared" si="71"/>
        <v>143</v>
      </c>
      <c r="AC54" s="87">
        <f t="shared" si="71"/>
        <v>-42</v>
      </c>
      <c r="AD54" s="87">
        <f t="shared" si="71"/>
        <v>453</v>
      </c>
      <c r="AE54" s="87">
        <f t="shared" si="71"/>
        <v>-410</v>
      </c>
      <c r="AF54" s="87">
        <f t="shared" si="71"/>
        <v>227</v>
      </c>
      <c r="AG54" s="87">
        <f t="shared" si="71"/>
        <v>241</v>
      </c>
      <c r="AH54" s="87">
        <f t="shared" si="71"/>
        <v>825</v>
      </c>
      <c r="AI54" s="87">
        <f t="shared" si="71"/>
        <v>204</v>
      </c>
      <c r="AJ54" s="87">
        <f t="shared" si="71"/>
        <v>205</v>
      </c>
      <c r="AK54" s="87">
        <f t="shared" si="71"/>
        <v>308</v>
      </c>
      <c r="AL54" s="87">
        <f t="shared" si="71"/>
        <v>268</v>
      </c>
      <c r="AM54" s="87">
        <f t="shared" si="71"/>
        <v>189</v>
      </c>
      <c r="AN54" s="87">
        <f t="shared" si="71"/>
        <v>96</v>
      </c>
      <c r="AO54" s="87">
        <f t="shared" si="71"/>
        <v>162</v>
      </c>
      <c r="AP54" s="87">
        <f t="shared" si="71"/>
        <v>133</v>
      </c>
      <c r="AQ54" s="87">
        <f t="shared" si="71"/>
        <v>193</v>
      </c>
      <c r="AR54" s="87">
        <f t="shared" si="71"/>
        <v>187</v>
      </c>
      <c r="AS54" s="87">
        <f t="shared" si="71"/>
        <v>-545</v>
      </c>
      <c r="AT54" s="87">
        <f t="shared" si="71"/>
        <v>42</v>
      </c>
      <c r="AU54" s="87">
        <f t="shared" si="71"/>
        <v>184</v>
      </c>
      <c r="AV54" s="87">
        <f t="shared" si="71"/>
        <v>30</v>
      </c>
      <c r="AW54" s="87">
        <f t="shared" si="71"/>
        <v>246</v>
      </c>
      <c r="AX54" s="87">
        <f t="shared" si="71"/>
        <v>-106</v>
      </c>
      <c r="AY54" s="87">
        <f t="shared" si="71"/>
        <v>-64</v>
      </c>
      <c r="AZ54" s="87">
        <f t="shared" si="71"/>
        <v>-88</v>
      </c>
      <c r="BA54" s="87">
        <f t="shared" si="71"/>
        <v>66</v>
      </c>
      <c r="BB54" s="87">
        <f t="shared" si="71"/>
        <v>-136</v>
      </c>
      <c r="BC54" s="87">
        <f t="shared" ref="BC54:BJ54" si="72">BC51-SUM(BC52:BC53)</f>
        <v>-111</v>
      </c>
      <c r="BD54" s="87">
        <f t="shared" si="72"/>
        <v>249</v>
      </c>
      <c r="BE54" s="87">
        <f t="shared" si="72"/>
        <v>253</v>
      </c>
      <c r="BF54" s="87">
        <f t="shared" si="72"/>
        <v>209</v>
      </c>
      <c r="BG54" s="87">
        <f t="shared" si="72"/>
        <v>164</v>
      </c>
      <c r="BH54" s="87">
        <f t="shared" si="72"/>
        <v>214</v>
      </c>
      <c r="BI54" s="87">
        <f t="shared" si="72"/>
        <v>227</v>
      </c>
      <c r="BJ54" s="87">
        <f t="shared" si="72"/>
        <v>212</v>
      </c>
      <c r="BK54" s="87">
        <f>BK51-SUM(BK52:BK53)</f>
        <v>209</v>
      </c>
      <c r="BS54" s="87">
        <f t="shared" si="56"/>
        <v>250.34199999999998</v>
      </c>
      <c r="BT54" s="87">
        <f t="shared" si="57"/>
        <v>256.512</v>
      </c>
      <c r="BU54" s="87">
        <f t="shared" si="58"/>
        <v>254.10399999999998</v>
      </c>
      <c r="BV54" s="87">
        <f t="shared" si="59"/>
        <v>443.37200000000007</v>
      </c>
      <c r="BW54" s="87">
        <f t="shared" si="60"/>
        <v>632</v>
      </c>
      <c r="BX54" s="87">
        <f t="shared" si="61"/>
        <v>578</v>
      </c>
      <c r="BY54" s="87">
        <f t="shared" si="62"/>
        <v>606</v>
      </c>
      <c r="BZ54" s="87">
        <f t="shared" si="63"/>
        <v>883</v>
      </c>
      <c r="CA54" s="87">
        <f t="shared" si="64"/>
        <v>985</v>
      </c>
      <c r="CB54" s="87">
        <f t="shared" si="65"/>
        <v>580</v>
      </c>
      <c r="CC54" s="87">
        <f t="shared" si="66"/>
        <v>-123</v>
      </c>
      <c r="CD54" s="87">
        <f t="shared" si="67"/>
        <v>354</v>
      </c>
      <c r="CE54" s="87">
        <f t="shared" si="68"/>
        <v>-222</v>
      </c>
      <c r="CF54" s="87">
        <f t="shared" si="69"/>
        <v>600</v>
      </c>
      <c r="CG54" s="87">
        <f t="shared" si="70"/>
        <v>817</v>
      </c>
    </row>
    <row r="55" spans="2:147">
      <c r="B55" s="87" t="s">
        <v>1713</v>
      </c>
      <c r="C55" s="87">
        <v>-33.380000000000003</v>
      </c>
      <c r="D55" s="87">
        <v>-16.986000000000001</v>
      </c>
      <c r="E55" s="87">
        <v>-8.9730000000000008</v>
      </c>
      <c r="F55" s="87">
        <v>-7.077</v>
      </c>
      <c r="G55" s="87">
        <v>-9.3390000000000004</v>
      </c>
      <c r="H55" s="87">
        <v>-8.1929999999999996</v>
      </c>
      <c r="I55" s="87">
        <v>-5.1689999999999996</v>
      </c>
      <c r="J55" s="87">
        <v>44.557000000000002</v>
      </c>
      <c r="K55" s="87">
        <v>-2.415</v>
      </c>
      <c r="L55" s="87">
        <v>-10.646000000000001</v>
      </c>
      <c r="M55" s="87">
        <v>-8.3170000000000002</v>
      </c>
      <c r="N55" s="87">
        <v>46.585000000000001</v>
      </c>
      <c r="O55" s="87">
        <v>-8.3079999999999998</v>
      </c>
      <c r="P55" s="87">
        <v>-39.773000000000003</v>
      </c>
      <c r="Q55" s="87">
        <v>-7.05</v>
      </c>
      <c r="R55" s="87">
        <v>-10.821999999999999</v>
      </c>
      <c r="S55" s="87">
        <v>1.92</v>
      </c>
      <c r="T55" s="87">
        <v>-10.760999999999999</v>
      </c>
      <c r="U55" s="87">
        <v>-11.865</v>
      </c>
      <c r="V55" s="87">
        <v>-9.2940000000000005</v>
      </c>
      <c r="W55" s="87">
        <v>-5</v>
      </c>
      <c r="X55" s="87">
        <v>-5</v>
      </c>
      <c r="Y55" s="87">
        <v>-7</v>
      </c>
      <c r="Z55" s="87">
        <v>-9</v>
      </c>
      <c r="AA55" s="87">
        <v>451</v>
      </c>
      <c r="AB55" s="87">
        <v>-2</v>
      </c>
      <c r="AC55" s="87">
        <v>-6</v>
      </c>
      <c r="AD55" s="87">
        <v>-6</v>
      </c>
      <c r="AE55" s="87">
        <v>3</v>
      </c>
      <c r="AF55" s="87">
        <v>5</v>
      </c>
      <c r="AG55" s="87">
        <v>-9</v>
      </c>
      <c r="AH55" s="87">
        <v>12</v>
      </c>
      <c r="AI55" s="87">
        <v>29</v>
      </c>
      <c r="AJ55" s="87">
        <v>141</v>
      </c>
      <c r="AK55" s="87">
        <v>-38</v>
      </c>
      <c r="AL55" s="87">
        <v>1</v>
      </c>
      <c r="AM55" s="87">
        <v>-11</v>
      </c>
      <c r="AN55" s="87">
        <v>69</v>
      </c>
      <c r="AO55" s="87">
        <v>53</v>
      </c>
      <c r="AP55" s="87">
        <v>165</v>
      </c>
      <c r="AQ55" s="87">
        <v>1</v>
      </c>
      <c r="AR55" s="87">
        <v>0</v>
      </c>
      <c r="AS55" s="87">
        <v>0</v>
      </c>
      <c r="AT55" s="87">
        <v>0</v>
      </c>
      <c r="AU55" s="87">
        <v>0</v>
      </c>
      <c r="AV55" s="87">
        <v>1</v>
      </c>
      <c r="AW55" s="87">
        <v>3</v>
      </c>
      <c r="AX55" s="87">
        <v>7</v>
      </c>
      <c r="AY55" s="87">
        <v>17</v>
      </c>
      <c r="AZ55" s="87">
        <v>17</v>
      </c>
      <c r="BA55" s="87">
        <v>13</v>
      </c>
      <c r="BB55" s="87">
        <v>11</v>
      </c>
      <c r="BC55" s="87">
        <v>12</v>
      </c>
      <c r="BD55" s="87">
        <v>13</v>
      </c>
      <c r="BE55" s="87">
        <v>11</v>
      </c>
      <c r="BF55" s="87">
        <v>12</v>
      </c>
      <c r="BG55" s="87">
        <v>11</v>
      </c>
      <c r="BH55" s="87">
        <v>10</v>
      </c>
      <c r="BI55" s="87">
        <v>9</v>
      </c>
      <c r="BJ55" s="87">
        <v>20</v>
      </c>
      <c r="BK55" s="87">
        <v>11</v>
      </c>
      <c r="BS55" s="87">
        <f t="shared" si="56"/>
        <v>-66.415999999999997</v>
      </c>
      <c r="BT55" s="87">
        <f t="shared" si="57"/>
        <v>21.856000000000002</v>
      </c>
      <c r="BU55" s="87">
        <f t="shared" si="58"/>
        <v>25.207000000000001</v>
      </c>
      <c r="BV55" s="87">
        <f t="shared" si="59"/>
        <v>-65.953000000000003</v>
      </c>
      <c r="BW55" s="87">
        <f t="shared" si="60"/>
        <v>-30</v>
      </c>
      <c r="BX55" s="87">
        <f t="shared" si="61"/>
        <v>-26</v>
      </c>
      <c r="BY55" s="87">
        <f t="shared" si="62"/>
        <v>437</v>
      </c>
      <c r="BZ55" s="87">
        <f t="shared" si="63"/>
        <v>11</v>
      </c>
      <c r="CA55" s="87">
        <f t="shared" si="64"/>
        <v>133</v>
      </c>
      <c r="CB55" s="87">
        <f t="shared" si="65"/>
        <v>276</v>
      </c>
      <c r="CC55" s="87">
        <f t="shared" si="66"/>
        <v>1</v>
      </c>
      <c r="CD55" s="87">
        <f t="shared" si="67"/>
        <v>11</v>
      </c>
      <c r="CE55" s="87">
        <f t="shared" si="68"/>
        <v>58</v>
      </c>
      <c r="CF55" s="87">
        <f t="shared" si="69"/>
        <v>48</v>
      </c>
      <c r="CG55" s="87">
        <f t="shared" si="70"/>
        <v>50</v>
      </c>
    </row>
    <row r="56" spans="2:147">
      <c r="B56" s="87" t="s">
        <v>1714</v>
      </c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>
        <v>-19</v>
      </c>
      <c r="AR56" s="87">
        <v>-16</v>
      </c>
      <c r="AS56" s="87">
        <v>-14</v>
      </c>
      <c r="AT56" s="87">
        <v>-12</v>
      </c>
      <c r="AU56" s="87">
        <v>-6</v>
      </c>
      <c r="AV56" s="87">
        <v>-6</v>
      </c>
      <c r="AW56" s="87">
        <v>-6</v>
      </c>
      <c r="AX56" s="87">
        <v>-8</v>
      </c>
      <c r="AY56" s="87">
        <v>20</v>
      </c>
      <c r="AZ56" s="87">
        <v>-19</v>
      </c>
      <c r="BA56" s="87">
        <v>-19</v>
      </c>
      <c r="BB56" s="87">
        <v>-59</v>
      </c>
      <c r="BC56" s="87">
        <v>-18</v>
      </c>
      <c r="BD56" s="87">
        <v>-20</v>
      </c>
      <c r="BE56" s="87">
        <v>-36</v>
      </c>
      <c r="BF56" s="87">
        <v>118</v>
      </c>
      <c r="BG56" s="87">
        <v>-25</v>
      </c>
      <c r="BH56" s="87">
        <v>-25</v>
      </c>
      <c r="BI56" s="87">
        <v>-25</v>
      </c>
      <c r="BJ56" s="87">
        <v>-26</v>
      </c>
      <c r="BK56" s="87">
        <v>-24</v>
      </c>
      <c r="BS56" s="87">
        <f t="shared" si="56"/>
        <v>0</v>
      </c>
      <c r="BT56" s="87">
        <f t="shared" si="57"/>
        <v>0</v>
      </c>
      <c r="BU56" s="87">
        <f t="shared" si="58"/>
        <v>0</v>
      </c>
      <c r="BV56" s="87">
        <f t="shared" si="59"/>
        <v>0</v>
      </c>
      <c r="BW56" s="87">
        <f t="shared" si="60"/>
        <v>0</v>
      </c>
      <c r="BX56" s="87">
        <f t="shared" si="61"/>
        <v>0</v>
      </c>
      <c r="BY56" s="87">
        <f t="shared" si="62"/>
        <v>0</v>
      </c>
      <c r="BZ56" s="87">
        <f t="shared" si="63"/>
        <v>0</v>
      </c>
      <c r="CA56" s="87">
        <f t="shared" si="64"/>
        <v>0</v>
      </c>
      <c r="CB56" s="87">
        <f t="shared" si="65"/>
        <v>0</v>
      </c>
      <c r="CC56" s="87">
        <f t="shared" si="66"/>
        <v>-61</v>
      </c>
      <c r="CD56" s="87">
        <f t="shared" si="67"/>
        <v>-26</v>
      </c>
      <c r="CE56" s="87">
        <f t="shared" si="68"/>
        <v>-77</v>
      </c>
      <c r="CF56" s="87">
        <f t="shared" si="69"/>
        <v>44</v>
      </c>
      <c r="CG56" s="87">
        <f t="shared" si="70"/>
        <v>-101</v>
      </c>
    </row>
    <row r="57" spans="2:147">
      <c r="B57" s="87" t="s">
        <v>1715</v>
      </c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>
        <v>-6</v>
      </c>
      <c r="AR57" s="87">
        <v>36</v>
      </c>
      <c r="AS57" s="87">
        <v>979</v>
      </c>
      <c r="AT57" s="87">
        <v>59</v>
      </c>
      <c r="AU57" s="87">
        <v>-38</v>
      </c>
      <c r="AV57" s="87">
        <v>-53</v>
      </c>
      <c r="AW57" s="87">
        <v>-12</v>
      </c>
      <c r="AX57" s="87">
        <v>-39</v>
      </c>
      <c r="AY57" s="87">
        <v>-11</v>
      </c>
      <c r="AZ57" s="87">
        <v>1</v>
      </c>
      <c r="BA57" s="87">
        <v>-22</v>
      </c>
      <c r="BB57" s="87">
        <v>3</v>
      </c>
      <c r="BC57" s="87">
        <v>8</v>
      </c>
      <c r="BD57" s="87">
        <v>-332</v>
      </c>
      <c r="BE57" s="87">
        <v>4</v>
      </c>
      <c r="BF57" s="87">
        <v>28</v>
      </c>
      <c r="BG57" s="87">
        <v>32</v>
      </c>
      <c r="BH57" s="87">
        <v>107</v>
      </c>
      <c r="BI57" s="87">
        <v>9</v>
      </c>
      <c r="BJ57" s="87">
        <v>172</v>
      </c>
      <c r="BK57" s="87">
        <v>-39</v>
      </c>
      <c r="BS57" s="87">
        <f t="shared" si="56"/>
        <v>0</v>
      </c>
      <c r="BT57" s="87">
        <f t="shared" si="57"/>
        <v>0</v>
      </c>
      <c r="BU57" s="87">
        <f t="shared" si="58"/>
        <v>0</v>
      </c>
      <c r="BV57" s="87">
        <f t="shared" si="59"/>
        <v>0</v>
      </c>
      <c r="BW57" s="87">
        <f t="shared" si="60"/>
        <v>0</v>
      </c>
      <c r="BX57" s="87">
        <f t="shared" si="61"/>
        <v>0</v>
      </c>
      <c r="BY57" s="87">
        <f t="shared" si="62"/>
        <v>0</v>
      </c>
      <c r="BZ57" s="87">
        <f t="shared" si="63"/>
        <v>0</v>
      </c>
      <c r="CA57" s="87">
        <f t="shared" si="64"/>
        <v>0</v>
      </c>
      <c r="CB57" s="87">
        <f t="shared" si="65"/>
        <v>0</v>
      </c>
      <c r="CC57" s="87">
        <f t="shared" si="66"/>
        <v>1068</v>
      </c>
      <c r="CD57" s="87">
        <f t="shared" si="67"/>
        <v>-142</v>
      </c>
      <c r="CE57" s="87">
        <f t="shared" si="68"/>
        <v>-29</v>
      </c>
      <c r="CF57" s="87">
        <f t="shared" si="69"/>
        <v>-292</v>
      </c>
      <c r="CG57" s="87">
        <f t="shared" si="70"/>
        <v>320</v>
      </c>
    </row>
    <row r="58" spans="2:147">
      <c r="B58" s="87" t="s">
        <v>1716</v>
      </c>
      <c r="C58" s="87">
        <f t="shared" ref="C58:BB58" si="73">C54+SUM(C55:C57)</f>
        <v>38.79999999999999</v>
      </c>
      <c r="D58" s="87">
        <f t="shared" si="73"/>
        <v>56.335999999999984</v>
      </c>
      <c r="E58" s="87">
        <f t="shared" si="73"/>
        <v>31.712000000000003</v>
      </c>
      <c r="F58" s="87">
        <f t="shared" si="73"/>
        <v>57.078000000000017</v>
      </c>
      <c r="G58" s="87">
        <f t="shared" si="73"/>
        <v>54.863999999999976</v>
      </c>
      <c r="H58" s="87">
        <f t="shared" si="73"/>
        <v>45.065000000000012</v>
      </c>
      <c r="I58" s="87">
        <f t="shared" si="73"/>
        <v>66.857000000000028</v>
      </c>
      <c r="J58" s="87">
        <f t="shared" si="73"/>
        <v>111.58199999999998</v>
      </c>
      <c r="K58" s="87">
        <f t="shared" si="73"/>
        <v>70.353000000000023</v>
      </c>
      <c r="L58" s="87">
        <f t="shared" si="73"/>
        <v>56.454999999999998</v>
      </c>
      <c r="M58" s="87">
        <f t="shared" si="73"/>
        <v>35.048999999999985</v>
      </c>
      <c r="N58" s="87">
        <f t="shared" si="73"/>
        <v>117.45399999999998</v>
      </c>
      <c r="O58" s="87">
        <f t="shared" si="73"/>
        <v>83.370000000000061</v>
      </c>
      <c r="P58" s="87">
        <f t="shared" si="73"/>
        <v>63.132999999999946</v>
      </c>
      <c r="Q58" s="87">
        <f t="shared" si="73"/>
        <v>121.92100000000003</v>
      </c>
      <c r="R58" s="87">
        <f t="shared" si="73"/>
        <v>108.995</v>
      </c>
      <c r="S58" s="87">
        <f t="shared" si="73"/>
        <v>168.85800000000003</v>
      </c>
      <c r="T58" s="87">
        <f t="shared" si="73"/>
        <v>144.98100000000002</v>
      </c>
      <c r="U58" s="87">
        <f t="shared" si="73"/>
        <v>139.79999999999998</v>
      </c>
      <c r="V58" s="87">
        <f t="shared" si="73"/>
        <v>148.36099999999996</v>
      </c>
      <c r="W58" s="87">
        <f t="shared" si="73"/>
        <v>118</v>
      </c>
      <c r="X58" s="87">
        <f t="shared" si="73"/>
        <v>146</v>
      </c>
      <c r="Y58" s="87">
        <f t="shared" si="73"/>
        <v>154</v>
      </c>
      <c r="Z58" s="87">
        <f t="shared" si="73"/>
        <v>134</v>
      </c>
      <c r="AA58" s="87">
        <f t="shared" si="73"/>
        <v>503</v>
      </c>
      <c r="AB58" s="87">
        <f t="shared" si="73"/>
        <v>141</v>
      </c>
      <c r="AC58" s="87">
        <f t="shared" si="73"/>
        <v>-48</v>
      </c>
      <c r="AD58" s="87">
        <f t="shared" si="73"/>
        <v>447</v>
      </c>
      <c r="AE58" s="87">
        <f t="shared" si="73"/>
        <v>-407</v>
      </c>
      <c r="AF58" s="87">
        <f t="shared" si="73"/>
        <v>232</v>
      </c>
      <c r="AG58" s="87">
        <f t="shared" si="73"/>
        <v>232</v>
      </c>
      <c r="AH58" s="87">
        <f t="shared" si="73"/>
        <v>837</v>
      </c>
      <c r="AI58" s="87">
        <f t="shared" si="73"/>
        <v>233</v>
      </c>
      <c r="AJ58" s="87">
        <f t="shared" si="73"/>
        <v>346</v>
      </c>
      <c r="AK58" s="87">
        <f t="shared" si="73"/>
        <v>270</v>
      </c>
      <c r="AL58" s="87">
        <f t="shared" si="73"/>
        <v>269</v>
      </c>
      <c r="AM58" s="87">
        <f t="shared" si="73"/>
        <v>178</v>
      </c>
      <c r="AN58" s="87">
        <f t="shared" si="73"/>
        <v>165</v>
      </c>
      <c r="AO58" s="87">
        <f t="shared" si="73"/>
        <v>215</v>
      </c>
      <c r="AP58" s="87">
        <f t="shared" si="73"/>
        <v>298</v>
      </c>
      <c r="AQ58" s="87">
        <f t="shared" si="73"/>
        <v>169</v>
      </c>
      <c r="AR58" s="87">
        <f t="shared" si="73"/>
        <v>207</v>
      </c>
      <c r="AS58" s="87">
        <f t="shared" si="73"/>
        <v>420</v>
      </c>
      <c r="AT58" s="87">
        <f t="shared" si="73"/>
        <v>89</v>
      </c>
      <c r="AU58" s="87">
        <f t="shared" si="73"/>
        <v>140</v>
      </c>
      <c r="AV58" s="87">
        <f t="shared" si="73"/>
        <v>-28</v>
      </c>
      <c r="AW58" s="87">
        <f t="shared" si="73"/>
        <v>231</v>
      </c>
      <c r="AX58" s="87">
        <f t="shared" si="73"/>
        <v>-146</v>
      </c>
      <c r="AY58" s="87">
        <f t="shared" si="73"/>
        <v>-38</v>
      </c>
      <c r="AZ58" s="87">
        <f t="shared" si="73"/>
        <v>-89</v>
      </c>
      <c r="BA58" s="87">
        <f t="shared" si="73"/>
        <v>38</v>
      </c>
      <c r="BB58" s="87">
        <f t="shared" si="73"/>
        <v>-181</v>
      </c>
      <c r="BC58" s="87">
        <f t="shared" ref="BC58:BJ58" si="74">BC54+SUM(BC55:BC57)</f>
        <v>-109</v>
      </c>
      <c r="BD58" s="87">
        <f t="shared" si="74"/>
        <v>-90</v>
      </c>
      <c r="BE58" s="87">
        <f t="shared" si="74"/>
        <v>232</v>
      </c>
      <c r="BF58" s="87">
        <f t="shared" si="74"/>
        <v>367</v>
      </c>
      <c r="BG58" s="87">
        <f t="shared" si="74"/>
        <v>182</v>
      </c>
      <c r="BH58" s="87">
        <f t="shared" si="74"/>
        <v>306</v>
      </c>
      <c r="BI58" s="87">
        <f t="shared" si="74"/>
        <v>220</v>
      </c>
      <c r="BJ58" s="87">
        <f t="shared" si="74"/>
        <v>378</v>
      </c>
      <c r="BK58" s="87">
        <f>BK54+SUM(BK55:BK57)</f>
        <v>157</v>
      </c>
      <c r="BL58" s="87"/>
      <c r="BS58" s="87">
        <f t="shared" si="56"/>
        <v>183.92599999999999</v>
      </c>
      <c r="BT58" s="87">
        <f t="shared" si="57"/>
        <v>278.36799999999999</v>
      </c>
      <c r="BU58" s="87">
        <f t="shared" si="58"/>
        <v>279.31099999999998</v>
      </c>
      <c r="BV58" s="87">
        <f t="shared" si="59"/>
        <v>377.41900000000004</v>
      </c>
      <c r="BW58" s="87">
        <f t="shared" si="60"/>
        <v>602</v>
      </c>
      <c r="BX58" s="87">
        <f t="shared" si="61"/>
        <v>552</v>
      </c>
      <c r="BY58" s="87">
        <f t="shared" si="62"/>
        <v>1043</v>
      </c>
      <c r="BZ58" s="87">
        <f t="shared" si="63"/>
        <v>894</v>
      </c>
      <c r="CA58" s="87">
        <f t="shared" si="64"/>
        <v>1118</v>
      </c>
      <c r="CB58" s="87">
        <f t="shared" si="65"/>
        <v>856</v>
      </c>
      <c r="CC58" s="87">
        <f t="shared" si="66"/>
        <v>885</v>
      </c>
      <c r="CD58" s="87">
        <f t="shared" si="67"/>
        <v>197</v>
      </c>
      <c r="CE58" s="87">
        <f t="shared" si="68"/>
        <v>-270</v>
      </c>
      <c r="CF58" s="87">
        <f t="shared" si="69"/>
        <v>400</v>
      </c>
      <c r="CG58" s="87">
        <f t="shared" si="70"/>
        <v>1086</v>
      </c>
    </row>
    <row r="59" spans="2:147">
      <c r="B59" s="87" t="s">
        <v>1717</v>
      </c>
      <c r="C59" s="87">
        <v>11.871</v>
      </c>
      <c r="D59" s="87">
        <v>18.404</v>
      </c>
      <c r="E59" s="87">
        <v>7.64</v>
      </c>
      <c r="F59" s="87">
        <v>8.5020000000000007</v>
      </c>
      <c r="G59" s="87">
        <v>14.071</v>
      </c>
      <c r="H59" s="87">
        <v>11.385999999999999</v>
      </c>
      <c r="I59" s="87">
        <v>13.897</v>
      </c>
      <c r="J59" s="87">
        <v>32</v>
      </c>
      <c r="K59" s="87">
        <v>-24.975000000000001</v>
      </c>
      <c r="L59" s="87">
        <v>13.483000000000001</v>
      </c>
      <c r="M59" s="87">
        <v>5.79</v>
      </c>
      <c r="N59" s="87">
        <v>39.707999999999998</v>
      </c>
      <c r="O59" s="87">
        <v>23.811</v>
      </c>
      <c r="P59" s="87">
        <v>13.861000000000001</v>
      </c>
      <c r="Q59" s="87">
        <v>18.954000000000001</v>
      </c>
      <c r="R59" s="87">
        <v>38.780999999999999</v>
      </c>
      <c r="S59" s="87">
        <v>41.387999999999998</v>
      </c>
      <c r="T59" s="87">
        <v>38.924999999999997</v>
      </c>
      <c r="U59" s="87">
        <v>13.295999999999999</v>
      </c>
      <c r="V59" s="87">
        <v>31.390999999999998</v>
      </c>
      <c r="W59" s="87">
        <v>28</v>
      </c>
      <c r="X59" s="87">
        <v>41</v>
      </c>
      <c r="Y59" s="87">
        <v>37</v>
      </c>
      <c r="Z59" s="87">
        <v>27</v>
      </c>
      <c r="AA59" s="87">
        <v>155</v>
      </c>
      <c r="AB59" s="87">
        <v>21</v>
      </c>
      <c r="AC59" s="87">
        <v>23</v>
      </c>
      <c r="AD59" s="87">
        <v>166</v>
      </c>
      <c r="AE59" s="87">
        <v>24</v>
      </c>
      <c r="AF59" s="87">
        <v>32</v>
      </c>
      <c r="AG59" s="87">
        <v>44</v>
      </c>
      <c r="AH59" s="87">
        <v>12</v>
      </c>
      <c r="AI59" s="87">
        <v>9</v>
      </c>
      <c r="AJ59" s="87">
        <v>53</v>
      </c>
      <c r="AK59" s="87">
        <v>36</v>
      </c>
      <c r="AL59" s="87">
        <v>30</v>
      </c>
      <c r="AM59" s="87">
        <v>5</v>
      </c>
      <c r="AN59" s="87">
        <v>118</v>
      </c>
      <c r="AO59" s="87">
        <v>36</v>
      </c>
      <c r="AP59" s="87">
        <v>41</v>
      </c>
      <c r="AQ59" s="87">
        <v>22</v>
      </c>
      <c r="AR59" s="87">
        <v>22</v>
      </c>
      <c r="AS59" s="87">
        <v>103</v>
      </c>
      <c r="AT59" s="87">
        <v>-24</v>
      </c>
      <c r="AU59" s="87">
        <v>54</v>
      </c>
      <c r="AV59" s="87">
        <v>-102</v>
      </c>
      <c r="AW59" s="87">
        <v>144</v>
      </c>
      <c r="AX59" s="87">
        <v>-28</v>
      </c>
      <c r="AY59" s="87">
        <v>-81</v>
      </c>
      <c r="AZ59" s="87">
        <v>145</v>
      </c>
      <c r="BA59" s="87">
        <v>-28</v>
      </c>
      <c r="BB59" s="87">
        <v>8</v>
      </c>
      <c r="BC59" s="87">
        <v>17</v>
      </c>
      <c r="BD59" s="87">
        <v>12</v>
      </c>
      <c r="BE59" s="87">
        <v>15</v>
      </c>
      <c r="BF59" s="87">
        <v>0</v>
      </c>
      <c r="BG59" s="87">
        <v>51</v>
      </c>
      <c r="BH59" s="87">
        <v>71</v>
      </c>
      <c r="BI59" s="87">
        <v>70</v>
      </c>
      <c r="BJ59" s="87">
        <v>44</v>
      </c>
      <c r="BK59" s="87">
        <v>23</v>
      </c>
      <c r="BS59" s="87">
        <f t="shared" si="56"/>
        <v>46.417000000000002</v>
      </c>
      <c r="BT59" s="87">
        <f t="shared" si="57"/>
        <v>71.353999999999999</v>
      </c>
      <c r="BU59" s="87">
        <f t="shared" si="58"/>
        <v>34.006</v>
      </c>
      <c r="BV59" s="87">
        <f t="shared" si="59"/>
        <v>95.406999999999996</v>
      </c>
      <c r="BW59" s="87">
        <f t="shared" si="60"/>
        <v>124.99999999999997</v>
      </c>
      <c r="BX59" s="87">
        <f t="shared" si="61"/>
        <v>133</v>
      </c>
      <c r="BY59" s="87">
        <f t="shared" si="62"/>
        <v>365</v>
      </c>
      <c r="BZ59" s="87">
        <f t="shared" si="63"/>
        <v>112</v>
      </c>
      <c r="CA59" s="87">
        <f t="shared" si="64"/>
        <v>128</v>
      </c>
      <c r="CB59" s="87">
        <f t="shared" si="65"/>
        <v>200</v>
      </c>
      <c r="CC59" s="87">
        <f t="shared" si="66"/>
        <v>123</v>
      </c>
      <c r="CD59" s="87">
        <f t="shared" si="67"/>
        <v>68</v>
      </c>
      <c r="CE59" s="87">
        <f t="shared" si="68"/>
        <v>44</v>
      </c>
      <c r="CF59" s="87">
        <f t="shared" si="69"/>
        <v>44</v>
      </c>
      <c r="CG59" s="87">
        <f t="shared" si="70"/>
        <v>236</v>
      </c>
    </row>
    <row r="60" spans="2:147" s="2" customFormat="1" ht="15">
      <c r="B60" s="86" t="s">
        <v>71</v>
      </c>
      <c r="C60" s="86">
        <f t="shared" ref="C60:BB60" si="75">C58-C59</f>
        <v>26.928999999999988</v>
      </c>
      <c r="D60" s="86">
        <f t="shared" si="75"/>
        <v>37.931999999999988</v>
      </c>
      <c r="E60" s="86">
        <f t="shared" si="75"/>
        <v>24.072000000000003</v>
      </c>
      <c r="F60" s="86">
        <f t="shared" si="75"/>
        <v>48.576000000000015</v>
      </c>
      <c r="G60" s="86">
        <f t="shared" si="75"/>
        <v>40.792999999999978</v>
      </c>
      <c r="H60" s="86">
        <f t="shared" si="75"/>
        <v>33.679000000000016</v>
      </c>
      <c r="I60" s="86">
        <f t="shared" si="75"/>
        <v>52.960000000000029</v>
      </c>
      <c r="J60" s="86">
        <f t="shared" si="75"/>
        <v>79.581999999999979</v>
      </c>
      <c r="K60" s="86">
        <f t="shared" si="75"/>
        <v>95.328000000000031</v>
      </c>
      <c r="L60" s="86">
        <f t="shared" si="75"/>
        <v>42.971999999999994</v>
      </c>
      <c r="M60" s="86">
        <f t="shared" si="75"/>
        <v>29.258999999999986</v>
      </c>
      <c r="N60" s="86">
        <f t="shared" si="75"/>
        <v>77.745999999999981</v>
      </c>
      <c r="O60" s="86">
        <f t="shared" si="75"/>
        <v>59.559000000000061</v>
      </c>
      <c r="P60" s="86">
        <f t="shared" si="75"/>
        <v>49.271999999999949</v>
      </c>
      <c r="Q60" s="86">
        <f t="shared" si="75"/>
        <v>102.96700000000004</v>
      </c>
      <c r="R60" s="86">
        <f t="shared" si="75"/>
        <v>70.213999999999999</v>
      </c>
      <c r="S60" s="86">
        <f t="shared" si="75"/>
        <v>127.47000000000003</v>
      </c>
      <c r="T60" s="86">
        <f t="shared" si="75"/>
        <v>106.05600000000003</v>
      </c>
      <c r="U60" s="86">
        <f t="shared" si="75"/>
        <v>126.50399999999999</v>
      </c>
      <c r="V60" s="86">
        <f t="shared" si="75"/>
        <v>116.96999999999997</v>
      </c>
      <c r="W60" s="86">
        <f t="shared" si="75"/>
        <v>90</v>
      </c>
      <c r="X60" s="86">
        <f t="shared" si="75"/>
        <v>105</v>
      </c>
      <c r="Y60" s="86">
        <f t="shared" si="75"/>
        <v>117</v>
      </c>
      <c r="Z60" s="86">
        <f t="shared" si="75"/>
        <v>107</v>
      </c>
      <c r="AA60" s="86">
        <f t="shared" si="75"/>
        <v>348</v>
      </c>
      <c r="AB60" s="86">
        <f t="shared" si="75"/>
        <v>120</v>
      </c>
      <c r="AC60" s="86">
        <f t="shared" si="75"/>
        <v>-71</v>
      </c>
      <c r="AD60" s="86">
        <f t="shared" si="75"/>
        <v>281</v>
      </c>
      <c r="AE60" s="86">
        <f t="shared" si="75"/>
        <v>-431</v>
      </c>
      <c r="AF60" s="86">
        <f t="shared" si="75"/>
        <v>200</v>
      </c>
      <c r="AG60" s="86">
        <f t="shared" si="75"/>
        <v>188</v>
      </c>
      <c r="AH60" s="86">
        <f t="shared" si="75"/>
        <v>825</v>
      </c>
      <c r="AI60" s="86">
        <f t="shared" si="75"/>
        <v>224</v>
      </c>
      <c r="AJ60" s="86">
        <f t="shared" si="75"/>
        <v>293</v>
      </c>
      <c r="AK60" s="86">
        <f t="shared" si="75"/>
        <v>234</v>
      </c>
      <c r="AL60" s="86">
        <f t="shared" si="75"/>
        <v>239</v>
      </c>
      <c r="AM60" s="86">
        <f t="shared" si="75"/>
        <v>173</v>
      </c>
      <c r="AN60" s="86">
        <f t="shared" si="75"/>
        <v>47</v>
      </c>
      <c r="AO60" s="86">
        <f t="shared" si="75"/>
        <v>179</v>
      </c>
      <c r="AP60" s="86">
        <f t="shared" si="75"/>
        <v>257</v>
      </c>
      <c r="AQ60" s="86">
        <f t="shared" si="75"/>
        <v>147</v>
      </c>
      <c r="AR60" s="86">
        <f t="shared" si="75"/>
        <v>185</v>
      </c>
      <c r="AS60" s="86">
        <f t="shared" si="75"/>
        <v>317</v>
      </c>
      <c r="AT60" s="86">
        <f t="shared" si="75"/>
        <v>113</v>
      </c>
      <c r="AU60" s="86">
        <f t="shared" si="75"/>
        <v>86</v>
      </c>
      <c r="AV60" s="86">
        <f t="shared" si="75"/>
        <v>74</v>
      </c>
      <c r="AW60" s="86">
        <f t="shared" si="75"/>
        <v>87</v>
      </c>
      <c r="AX60" s="86">
        <f t="shared" si="75"/>
        <v>-118</v>
      </c>
      <c r="AY60" s="86">
        <f t="shared" si="75"/>
        <v>43</v>
      </c>
      <c r="AZ60" s="86">
        <f t="shared" si="75"/>
        <v>-234</v>
      </c>
      <c r="BA60" s="86">
        <f t="shared" si="75"/>
        <v>66</v>
      </c>
      <c r="BB60" s="86">
        <f t="shared" si="75"/>
        <v>-189</v>
      </c>
      <c r="BC60" s="86">
        <f t="shared" ref="BC60:BJ60" si="76">BC58-BC59</f>
        <v>-126</v>
      </c>
      <c r="BD60" s="86">
        <f t="shared" si="76"/>
        <v>-102</v>
      </c>
      <c r="BE60" s="86">
        <f t="shared" si="76"/>
        <v>217</v>
      </c>
      <c r="BF60" s="86">
        <f t="shared" si="76"/>
        <v>367</v>
      </c>
      <c r="BG60" s="86">
        <f t="shared" si="76"/>
        <v>131</v>
      </c>
      <c r="BH60" s="86">
        <f t="shared" si="76"/>
        <v>235</v>
      </c>
      <c r="BI60" s="86">
        <f t="shared" si="76"/>
        <v>150</v>
      </c>
      <c r="BJ60" s="86">
        <f t="shared" si="76"/>
        <v>334</v>
      </c>
      <c r="BK60" s="86">
        <f>BK58-BK59</f>
        <v>134</v>
      </c>
      <c r="BL60" s="34"/>
      <c r="BM60" s="34"/>
      <c r="BN60" s="34"/>
      <c r="BS60" s="87">
        <f t="shared" si="56"/>
        <v>137.50899999999999</v>
      </c>
      <c r="BT60" s="87">
        <f t="shared" si="57"/>
        <v>207.01400000000001</v>
      </c>
      <c r="BU60" s="87">
        <f t="shared" si="58"/>
        <v>245.30499999999998</v>
      </c>
      <c r="BV60" s="87">
        <f t="shared" si="59"/>
        <v>282.01200000000006</v>
      </c>
      <c r="BW60" s="87">
        <f t="shared" si="60"/>
        <v>477.00000000000006</v>
      </c>
      <c r="BX60" s="87">
        <f t="shared" si="61"/>
        <v>419</v>
      </c>
      <c r="BY60" s="87">
        <f t="shared" si="62"/>
        <v>678</v>
      </c>
      <c r="BZ60" s="87">
        <f t="shared" si="63"/>
        <v>782</v>
      </c>
      <c r="CA60" s="87">
        <f t="shared" si="64"/>
        <v>990</v>
      </c>
      <c r="CB60" s="87">
        <f t="shared" si="65"/>
        <v>656</v>
      </c>
      <c r="CC60" s="87">
        <f t="shared" si="66"/>
        <v>762</v>
      </c>
      <c r="CD60" s="87">
        <f t="shared" si="67"/>
        <v>129</v>
      </c>
      <c r="CE60" s="87">
        <f t="shared" si="68"/>
        <v>-314</v>
      </c>
      <c r="CF60" s="87">
        <f t="shared" si="69"/>
        <v>356</v>
      </c>
      <c r="CG60" s="87">
        <f t="shared" si="70"/>
        <v>850</v>
      </c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</row>
    <row r="61" spans="2:147">
      <c r="B61" s="1" t="s">
        <v>75</v>
      </c>
      <c r="AQ61" s="1">
        <v>146</v>
      </c>
      <c r="AR61" s="1">
        <v>146</v>
      </c>
      <c r="AS61" s="1">
        <v>152</v>
      </c>
      <c r="AT61" s="1">
        <v>150</v>
      </c>
      <c r="AU61" s="1">
        <v>157</v>
      </c>
      <c r="AV61" s="1">
        <v>157</v>
      </c>
      <c r="AW61" s="1">
        <v>157</v>
      </c>
      <c r="AX61" s="1">
        <v>157</v>
      </c>
      <c r="AY61" s="1">
        <v>158</v>
      </c>
      <c r="AZ61" s="1">
        <v>158</v>
      </c>
      <c r="BA61" s="1">
        <v>158</v>
      </c>
      <c r="BB61" s="1">
        <v>158</v>
      </c>
      <c r="BC61" s="1">
        <v>159</v>
      </c>
      <c r="BD61" s="1">
        <v>159</v>
      </c>
      <c r="BE61" s="1">
        <v>159</v>
      </c>
      <c r="BF61" s="1">
        <v>159</v>
      </c>
      <c r="BG61" s="1">
        <v>159</v>
      </c>
      <c r="BH61" s="1">
        <v>157</v>
      </c>
      <c r="BI61" s="1">
        <v>153</v>
      </c>
      <c r="BJ61" s="1">
        <v>155</v>
      </c>
      <c r="BK61" s="1">
        <v>153</v>
      </c>
      <c r="BS61" s="87" t="e">
        <f>AVERAGE(C61:F61)</f>
        <v>#DIV/0!</v>
      </c>
      <c r="BT61" s="87" t="e">
        <f>AVERAGE(G61:J61)</f>
        <v>#DIV/0!</v>
      </c>
      <c r="BU61" s="87" t="e">
        <f>AVERAGE(K61:N61)</f>
        <v>#DIV/0!</v>
      </c>
      <c r="BV61" s="87" t="e">
        <f>AVERAGE(O61:R61)</f>
        <v>#DIV/0!</v>
      </c>
      <c r="BW61" s="87" t="e">
        <f>AVERAGE(S61:V61)</f>
        <v>#DIV/0!</v>
      </c>
      <c r="BX61" s="87" t="e">
        <f>AVERAGE(W61:Z61)</f>
        <v>#DIV/0!</v>
      </c>
      <c r="BY61" s="87" t="e">
        <f>AVERAGE(AA61:AD61)</f>
        <v>#DIV/0!</v>
      </c>
      <c r="BZ61" s="87" t="e">
        <f>AVERAGE(AE61:AH61)</f>
        <v>#DIV/0!</v>
      </c>
      <c r="CA61" s="87" t="e">
        <f>AVERAGE(AI61:AL61)</f>
        <v>#DIV/0!</v>
      </c>
      <c r="CB61" s="87" t="e">
        <f>AVERAGE(AM61:AP61)</f>
        <v>#DIV/0!</v>
      </c>
      <c r="CC61" s="87">
        <f>AVERAGE(AQ61:AT61)</f>
        <v>148.5</v>
      </c>
      <c r="CD61" s="87">
        <f>AVERAGE(AU61:AX61)</f>
        <v>157</v>
      </c>
      <c r="CE61" s="87">
        <f>AVERAGE(AY61:BB61)</f>
        <v>158</v>
      </c>
      <c r="CF61" s="87">
        <f>AVERAGE(BC61:BF61)</f>
        <v>159</v>
      </c>
      <c r="CG61" s="87">
        <f>AVERAGE(BG61:BJ61)</f>
        <v>156</v>
      </c>
    </row>
    <row r="62" spans="2:147">
      <c r="B62" s="1" t="s">
        <v>136</v>
      </c>
      <c r="C62" s="40" t="e">
        <f t="shared" ref="C62" si="77">C60/C61</f>
        <v>#DIV/0!</v>
      </c>
      <c r="D62" s="40" t="e">
        <f t="shared" ref="D62" si="78">D60/D61</f>
        <v>#DIV/0!</v>
      </c>
      <c r="E62" s="40" t="e">
        <f t="shared" ref="E62" si="79">E60/E61</f>
        <v>#DIV/0!</v>
      </c>
      <c r="F62" s="40" t="e">
        <f t="shared" ref="F62" si="80">F60/F61</f>
        <v>#DIV/0!</v>
      </c>
      <c r="G62" s="40" t="e">
        <f t="shared" ref="G62" si="81">G60/G61</f>
        <v>#DIV/0!</v>
      </c>
      <c r="H62" s="40" t="e">
        <f t="shared" ref="H62" si="82">H60/H61</f>
        <v>#DIV/0!</v>
      </c>
      <c r="I62" s="40" t="e">
        <f t="shared" ref="I62" si="83">I60/I61</f>
        <v>#DIV/0!</v>
      </c>
      <c r="J62" s="40" t="e">
        <f t="shared" ref="J62" si="84">J60/J61</f>
        <v>#DIV/0!</v>
      </c>
      <c r="K62" s="40" t="e">
        <f t="shared" ref="K62" si="85">K60/K61</f>
        <v>#DIV/0!</v>
      </c>
      <c r="L62" s="40" t="e">
        <f t="shared" ref="L62" si="86">L60/L61</f>
        <v>#DIV/0!</v>
      </c>
      <c r="M62" s="40" t="e">
        <f t="shared" ref="M62" si="87">M60/M61</f>
        <v>#DIV/0!</v>
      </c>
      <c r="N62" s="40" t="e">
        <f t="shared" ref="N62" si="88">N60/N61</f>
        <v>#DIV/0!</v>
      </c>
      <c r="O62" s="40" t="e">
        <f t="shared" ref="O62" si="89">O60/O61</f>
        <v>#DIV/0!</v>
      </c>
      <c r="P62" s="40" t="e">
        <f t="shared" ref="P62" si="90">P60/P61</f>
        <v>#DIV/0!</v>
      </c>
      <c r="Q62" s="40" t="e">
        <f t="shared" ref="Q62" si="91">Q60/Q61</f>
        <v>#DIV/0!</v>
      </c>
      <c r="R62" s="40" t="e">
        <f t="shared" ref="R62" si="92">R60/R61</f>
        <v>#DIV/0!</v>
      </c>
      <c r="S62" s="40" t="e">
        <f t="shared" ref="S62" si="93">S60/S61</f>
        <v>#DIV/0!</v>
      </c>
      <c r="T62" s="40" t="e">
        <f t="shared" ref="T62" si="94">T60/T61</f>
        <v>#DIV/0!</v>
      </c>
      <c r="U62" s="40" t="e">
        <f t="shared" ref="U62" si="95">U60/U61</f>
        <v>#DIV/0!</v>
      </c>
      <c r="V62" s="40" t="e">
        <f t="shared" ref="V62" si="96">V60/V61</f>
        <v>#DIV/0!</v>
      </c>
      <c r="W62" s="40" t="e">
        <f t="shared" ref="W62" si="97">W60/W61</f>
        <v>#DIV/0!</v>
      </c>
      <c r="X62" s="40" t="e">
        <f t="shared" ref="X62" si="98">X60/X61</f>
        <v>#DIV/0!</v>
      </c>
      <c r="Y62" s="40" t="e">
        <f t="shared" ref="Y62" si="99">Y60/Y61</f>
        <v>#DIV/0!</v>
      </c>
      <c r="Z62" s="40" t="e">
        <f t="shared" ref="Z62" si="100">Z60/Z61</f>
        <v>#DIV/0!</v>
      </c>
      <c r="AA62" s="40" t="e">
        <f t="shared" ref="AA62" si="101">AA60/AA61</f>
        <v>#DIV/0!</v>
      </c>
      <c r="AB62" s="40" t="e">
        <f t="shared" ref="AB62" si="102">AB60/AB61</f>
        <v>#DIV/0!</v>
      </c>
      <c r="AC62" s="40" t="e">
        <f t="shared" ref="AC62" si="103">AC60/AC61</f>
        <v>#DIV/0!</v>
      </c>
      <c r="AD62" s="40" t="e">
        <f t="shared" ref="AD62" si="104">AD60/AD61</f>
        <v>#DIV/0!</v>
      </c>
      <c r="AE62" s="40" t="e">
        <f t="shared" ref="AE62" si="105">AE60/AE61</f>
        <v>#DIV/0!</v>
      </c>
      <c r="AF62" s="40" t="e">
        <f t="shared" ref="AF62" si="106">AF60/AF61</f>
        <v>#DIV/0!</v>
      </c>
      <c r="AG62" s="40" t="e">
        <f t="shared" ref="AG62" si="107">AG60/AG61</f>
        <v>#DIV/0!</v>
      </c>
      <c r="AH62" s="40" t="e">
        <f t="shared" ref="AH62" si="108">AH60/AH61</f>
        <v>#DIV/0!</v>
      </c>
      <c r="AI62" s="40" t="e">
        <f t="shared" ref="AI62" si="109">AI60/AI61</f>
        <v>#DIV/0!</v>
      </c>
      <c r="AJ62" s="40" t="e">
        <f t="shared" ref="AJ62" si="110">AJ60/AJ61</f>
        <v>#DIV/0!</v>
      </c>
      <c r="AK62" s="40" t="e">
        <f t="shared" ref="AK62" si="111">AK60/AK61</f>
        <v>#DIV/0!</v>
      </c>
      <c r="AL62" s="40" t="e">
        <f t="shared" ref="AL62" si="112">AL60/AL61</f>
        <v>#DIV/0!</v>
      </c>
      <c r="AM62" s="40" t="e">
        <f t="shared" ref="AM62" si="113">AM60/AM61</f>
        <v>#DIV/0!</v>
      </c>
      <c r="AN62" s="40" t="e">
        <f t="shared" ref="AN62" si="114">AN60/AN61</f>
        <v>#DIV/0!</v>
      </c>
      <c r="AO62" s="40" t="e">
        <f t="shared" ref="AO62" si="115">AO60/AO61</f>
        <v>#DIV/0!</v>
      </c>
      <c r="AP62" s="40" t="e">
        <f t="shared" ref="AP62" si="116">AP60/AP61</f>
        <v>#DIV/0!</v>
      </c>
      <c r="AQ62" s="40">
        <f t="shared" ref="AQ62" si="117">AQ60/AQ61</f>
        <v>1.0068493150684932</v>
      </c>
      <c r="AR62" s="40">
        <f t="shared" ref="AR62" si="118">AR60/AR61</f>
        <v>1.2671232876712328</v>
      </c>
      <c r="AS62" s="40">
        <f t="shared" ref="AS62" si="119">AS60/AS61</f>
        <v>2.0855263157894739</v>
      </c>
      <c r="AT62" s="40">
        <f t="shared" ref="AT62" si="120">AT60/AT61</f>
        <v>0.7533333333333333</v>
      </c>
      <c r="AU62" s="40">
        <f t="shared" ref="AU62" si="121">AU60/AU61</f>
        <v>0.54777070063694266</v>
      </c>
      <c r="AV62" s="40">
        <f t="shared" ref="AV62" si="122">AV60/AV61</f>
        <v>0.4713375796178344</v>
      </c>
      <c r="AW62" s="40">
        <f t="shared" ref="AW62" si="123">AW60/AW61</f>
        <v>0.55414012738853502</v>
      </c>
      <c r="AX62" s="40">
        <f t="shared" ref="AX62" si="124">AX60/AX61</f>
        <v>-0.75159235668789814</v>
      </c>
      <c r="AY62" s="40">
        <f t="shared" ref="AY62" si="125">AY60/AY61</f>
        <v>0.27215189873417722</v>
      </c>
      <c r="AZ62" s="40">
        <f t="shared" ref="AZ62" si="126">AZ60/AZ61</f>
        <v>-1.481012658227848</v>
      </c>
      <c r="BA62" s="40">
        <f t="shared" ref="BA62" si="127">BA60/BA61</f>
        <v>0.41772151898734178</v>
      </c>
      <c r="BB62" s="40">
        <f t="shared" ref="BB62" si="128">BB60/BB61</f>
        <v>-1.1962025316455696</v>
      </c>
      <c r="BC62" s="40">
        <f t="shared" ref="BC62" si="129">BC60/BC61</f>
        <v>-0.79245283018867929</v>
      </c>
      <c r="BD62" s="40">
        <f t="shared" ref="BD62" si="130">BD60/BD61</f>
        <v>-0.64150943396226412</v>
      </c>
      <c r="BE62" s="40">
        <f t="shared" ref="BE62" si="131">BE60/BE61</f>
        <v>1.3647798742138364</v>
      </c>
      <c r="BF62" s="40">
        <f t="shared" ref="BD62:BK62" si="132">BF60/BF61</f>
        <v>2.308176100628931</v>
      </c>
      <c r="BG62" s="40">
        <f t="shared" ref="BG62" si="133">BG60/BG61</f>
        <v>0.82389937106918243</v>
      </c>
      <c r="BH62" s="40">
        <f t="shared" ref="BH62" si="134">BH60/BH61</f>
        <v>1.4968152866242037</v>
      </c>
      <c r="BI62" s="40">
        <f t="shared" ref="BI62" si="135">BI60/BI61</f>
        <v>0.98039215686274506</v>
      </c>
      <c r="BJ62" s="40">
        <f t="shared" ref="BJ62" si="136">BJ60/BJ61</f>
        <v>2.1548387096774193</v>
      </c>
      <c r="BK62" s="40">
        <f t="shared" ref="BK62" si="137">BK60/BK61</f>
        <v>0.87581699346405228</v>
      </c>
      <c r="BS62" s="40" t="e">
        <f t="shared" si="56"/>
        <v>#DIV/0!</v>
      </c>
      <c r="BT62" s="40" t="e">
        <f t="shared" si="57"/>
        <v>#DIV/0!</v>
      </c>
      <c r="BU62" s="40" t="e">
        <f t="shared" si="58"/>
        <v>#DIV/0!</v>
      </c>
      <c r="BV62" s="40" t="e">
        <f t="shared" si="59"/>
        <v>#DIV/0!</v>
      </c>
      <c r="BW62" s="40" t="e">
        <f t="shared" si="60"/>
        <v>#DIV/0!</v>
      </c>
      <c r="BX62" s="40" t="e">
        <f t="shared" si="61"/>
        <v>#DIV/0!</v>
      </c>
      <c r="BY62" s="40" t="e">
        <f t="shared" si="62"/>
        <v>#DIV/0!</v>
      </c>
      <c r="BZ62" s="40" t="e">
        <f t="shared" si="63"/>
        <v>#DIV/0!</v>
      </c>
      <c r="CA62" s="40" t="e">
        <f t="shared" si="64"/>
        <v>#DIV/0!</v>
      </c>
      <c r="CB62" s="40" t="e">
        <f t="shared" si="65"/>
        <v>#DIV/0!</v>
      </c>
      <c r="CC62" s="40">
        <f t="shared" si="66"/>
        <v>5.1128322518625327</v>
      </c>
      <c r="CD62" s="40">
        <f t="shared" si="67"/>
        <v>0.82165605095541383</v>
      </c>
      <c r="CE62" s="40">
        <f t="shared" si="68"/>
        <v>-1.9873417721518984</v>
      </c>
      <c r="CF62" s="40">
        <f t="shared" si="69"/>
        <v>2.2389937106918238</v>
      </c>
      <c r="CG62" s="40">
        <f t="shared" si="70"/>
        <v>5.4559455242335506</v>
      </c>
    </row>
    <row r="64" spans="2:147">
      <c r="B64" s="37" t="s">
        <v>57</v>
      </c>
      <c r="C64" s="84">
        <f t="shared" ref="C64:BB64" si="138">C51/C49</f>
        <v>0.66559651699909739</v>
      </c>
      <c r="D64" s="84">
        <f t="shared" si="138"/>
        <v>0.67265959297269096</v>
      </c>
      <c r="E64" s="84">
        <f t="shared" si="138"/>
        <v>0.66715782232620946</v>
      </c>
      <c r="F64" s="84">
        <f t="shared" si="138"/>
        <v>0.68215026932351219</v>
      </c>
      <c r="G64" s="84">
        <f t="shared" si="138"/>
        <v>0.66360303552443445</v>
      </c>
      <c r="H64" s="84">
        <f t="shared" si="138"/>
        <v>0.6877839825806199</v>
      </c>
      <c r="I64" s="84">
        <f t="shared" si="138"/>
        <v>0.68517248857888446</v>
      </c>
      <c r="J64" s="84">
        <f t="shared" si="138"/>
        <v>0.65848705802467145</v>
      </c>
      <c r="K64" s="84">
        <f t="shared" si="138"/>
        <v>0.66259767100357148</v>
      </c>
      <c r="L64" s="84">
        <f t="shared" si="138"/>
        <v>0.64551538021462374</v>
      </c>
      <c r="M64" s="84">
        <f t="shared" si="138"/>
        <v>0.58839686098654709</v>
      </c>
      <c r="N64" s="84">
        <f t="shared" si="138"/>
        <v>0.66932248286972718</v>
      </c>
      <c r="O64" s="84">
        <f t="shared" si="138"/>
        <v>0.66137016642861735</v>
      </c>
      <c r="P64" s="84">
        <f t="shared" si="138"/>
        <v>0.67149572802345114</v>
      </c>
      <c r="Q64" s="84">
        <f t="shared" si="138"/>
        <v>0.69479849364375934</v>
      </c>
      <c r="R64" s="84">
        <f t="shared" si="138"/>
        <v>0.75127395931527252</v>
      </c>
      <c r="S64" s="84">
        <f t="shared" si="138"/>
        <v>0.69634491658388498</v>
      </c>
      <c r="T64" s="84">
        <f t="shared" si="138"/>
        <v>0.69777595675018256</v>
      </c>
      <c r="U64" s="84">
        <f t="shared" si="138"/>
        <v>0.70426935091981957</v>
      </c>
      <c r="V64" s="84">
        <f t="shared" si="138"/>
        <v>0.69293460811847529</v>
      </c>
      <c r="W64" s="84">
        <f t="shared" si="138"/>
        <v>0.69405594405594406</v>
      </c>
      <c r="X64" s="84">
        <f t="shared" si="138"/>
        <v>0.70666666666666667</v>
      </c>
      <c r="Y64" s="84">
        <f t="shared" si="138"/>
        <v>0.70181219110378912</v>
      </c>
      <c r="Z64" s="84">
        <f t="shared" si="138"/>
        <v>0.67689822294022617</v>
      </c>
      <c r="AA64" s="84">
        <f t="shared" si="138"/>
        <v>0.61538461538461542</v>
      </c>
      <c r="AB64" s="84">
        <f t="shared" si="138"/>
        <v>0.65558912386706947</v>
      </c>
      <c r="AC64" s="84">
        <f t="shared" si="138"/>
        <v>0.36274509803921567</v>
      </c>
      <c r="AD64" s="84">
        <f t="shared" si="138"/>
        <v>0.98329048843187661</v>
      </c>
      <c r="AE64" s="84">
        <f t="shared" si="138"/>
        <v>-0.58441558441558439</v>
      </c>
      <c r="AF64" s="84">
        <f t="shared" si="138"/>
        <v>0.69277108433734935</v>
      </c>
      <c r="AG64" s="84">
        <f t="shared" si="138"/>
        <v>0.69988276670574445</v>
      </c>
      <c r="AH64" s="84">
        <f t="shared" si="138"/>
        <v>0.81417112299465244</v>
      </c>
      <c r="AI64" s="84">
        <f t="shared" si="138"/>
        <v>0.69030732860520094</v>
      </c>
      <c r="AJ64" s="84">
        <f t="shared" si="138"/>
        <v>0.68377088305489264</v>
      </c>
      <c r="AK64" s="84">
        <f t="shared" si="138"/>
        <v>0.71444321940463063</v>
      </c>
      <c r="AL64" s="84">
        <f t="shared" si="138"/>
        <v>0.69537815126050417</v>
      </c>
      <c r="AM64" s="84">
        <f t="shared" si="138"/>
        <v>0.7206053550640279</v>
      </c>
      <c r="AN64" s="84">
        <f t="shared" si="138"/>
        <v>0.67614533965244861</v>
      </c>
      <c r="AO64" s="84">
        <f t="shared" si="138"/>
        <v>0.66246851385390426</v>
      </c>
      <c r="AP64" s="84">
        <f t="shared" si="138"/>
        <v>0.66107030430220359</v>
      </c>
      <c r="AQ64" s="84">
        <f t="shared" si="138"/>
        <v>0.69899359560841723</v>
      </c>
      <c r="AR64" s="84">
        <f t="shared" si="138"/>
        <v>0.71225577264653639</v>
      </c>
      <c r="AS64" s="84">
        <f t="shared" si="138"/>
        <v>0.69494584837545126</v>
      </c>
      <c r="AT64" s="84">
        <f t="shared" si="138"/>
        <v>0.68223519599666393</v>
      </c>
      <c r="AU64" s="84">
        <f t="shared" si="138"/>
        <v>0.66639411283728534</v>
      </c>
      <c r="AV64" s="84">
        <f t="shared" si="138"/>
        <v>0.66006884681583478</v>
      </c>
      <c r="AW64" s="84">
        <f t="shared" si="138"/>
        <v>0.64304932735426013</v>
      </c>
      <c r="AX64" s="84">
        <f t="shared" si="138"/>
        <v>0.62084870848708484</v>
      </c>
      <c r="AY64" s="84">
        <f t="shared" si="138"/>
        <v>0.60257589696412139</v>
      </c>
      <c r="AZ64" s="84">
        <f t="shared" si="138"/>
        <v>0.62244897959183676</v>
      </c>
      <c r="BA64" s="84">
        <f t="shared" si="138"/>
        <v>0.61126005361930291</v>
      </c>
      <c r="BB64" s="84">
        <f t="shared" si="138"/>
        <v>0.59982174688057044</v>
      </c>
      <c r="BC64" s="84">
        <f t="shared" ref="BC64:BJ64" si="139">BC51/BC49</f>
        <v>0.61988847583643125</v>
      </c>
      <c r="BD64" s="84">
        <f t="shared" si="139"/>
        <v>0.64838129496402874</v>
      </c>
      <c r="BE64" s="84">
        <f t="shared" si="139"/>
        <v>0.68981481481481477</v>
      </c>
      <c r="BF64" s="84">
        <f t="shared" si="139"/>
        <v>0.65942028985507251</v>
      </c>
      <c r="BG64" s="84">
        <f t="shared" si="139"/>
        <v>0.65609990393852069</v>
      </c>
      <c r="BH64" s="84">
        <f t="shared" si="139"/>
        <v>0.65627950897072707</v>
      </c>
      <c r="BI64" s="84">
        <f t="shared" si="139"/>
        <v>0.67619926199261993</v>
      </c>
      <c r="BJ64" s="84">
        <f t="shared" si="139"/>
        <v>0.65487489214840378</v>
      </c>
      <c r="BK64" s="84">
        <f>BK51/BK49</f>
        <v>0.66086159486709439</v>
      </c>
      <c r="BS64" s="84">
        <f t="shared" ref="BS64:CG64" si="140">BS51/BS49</f>
        <v>0.67179013486052097</v>
      </c>
      <c r="BT64" s="84">
        <f t="shared" si="140"/>
        <v>0.67350215408405278</v>
      </c>
      <c r="BU64" s="84">
        <f t="shared" si="140"/>
        <v>0.64164165220683123</v>
      </c>
      <c r="BV64" s="84">
        <f t="shared" si="140"/>
        <v>0.69718452871505654</v>
      </c>
      <c r="BW64" s="84">
        <f t="shared" si="140"/>
        <v>0.69774774774774773</v>
      </c>
      <c r="BX64" s="84">
        <f t="shared" si="140"/>
        <v>0.69474562135112594</v>
      </c>
      <c r="BY64" s="84">
        <f t="shared" si="140"/>
        <v>0.66351744186046513</v>
      </c>
      <c r="BZ64" s="84">
        <f t="shared" si="140"/>
        <v>0.69006900690069006</v>
      </c>
      <c r="CA64" s="84">
        <f t="shared" si="140"/>
        <v>0.69630256844482075</v>
      </c>
      <c r="CB64" s="84">
        <f t="shared" si="140"/>
        <v>0.68014819388700221</v>
      </c>
      <c r="CC64" s="84">
        <f t="shared" si="140"/>
        <v>0.69686257180733535</v>
      </c>
      <c r="CD64" s="84">
        <f t="shared" si="140"/>
        <v>0.64834205933682376</v>
      </c>
      <c r="CE64" s="84">
        <f t="shared" si="140"/>
        <v>0.60923623445825936</v>
      </c>
      <c r="CF64" s="84">
        <f t="shared" si="140"/>
        <v>0.65439158279963405</v>
      </c>
      <c r="CG64" s="84">
        <f t="shared" si="140"/>
        <v>0.66083352521298644</v>
      </c>
    </row>
    <row r="65" spans="2:96">
      <c r="B65" s="37" t="s">
        <v>58</v>
      </c>
      <c r="C65" s="84">
        <f t="shared" ref="C65:BB65" si="141">C52/C49</f>
        <v>0.17768968019397202</v>
      </c>
      <c r="D65" s="84">
        <f t="shared" si="141"/>
        <v>0.17672986606366325</v>
      </c>
      <c r="E65" s="84">
        <f t="shared" si="141"/>
        <v>0.21400940131380602</v>
      </c>
      <c r="F65" s="84">
        <f t="shared" si="141"/>
        <v>0.18200031191141716</v>
      </c>
      <c r="G65" s="84">
        <f t="shared" si="141"/>
        <v>0.17904828243575174</v>
      </c>
      <c r="H65" s="84">
        <f t="shared" si="141"/>
        <v>0.25381761680927417</v>
      </c>
      <c r="I65" s="84">
        <f t="shared" si="141"/>
        <v>0.18909029852312556</v>
      </c>
      <c r="J65" s="84">
        <f t="shared" si="141"/>
        <v>0.18400724297932194</v>
      </c>
      <c r="K65" s="84">
        <f t="shared" si="141"/>
        <v>0.18567310655732752</v>
      </c>
      <c r="L65" s="84">
        <f t="shared" si="141"/>
        <v>0.19534577311366277</v>
      </c>
      <c r="M65" s="84">
        <f t="shared" si="141"/>
        <v>0.19887051569506725</v>
      </c>
      <c r="N65" s="84">
        <f t="shared" si="141"/>
        <v>0.19809669374118957</v>
      </c>
      <c r="O65" s="84">
        <f t="shared" si="141"/>
        <v>0.1830904912531697</v>
      </c>
      <c r="P65" s="84">
        <f t="shared" si="141"/>
        <v>0.1854131662674722</v>
      </c>
      <c r="Q65" s="84">
        <f t="shared" si="141"/>
        <v>0.17702182552067078</v>
      </c>
      <c r="R65" s="84">
        <f t="shared" si="141"/>
        <v>0.27898684372310339</v>
      </c>
      <c r="S65" s="84">
        <f t="shared" si="141"/>
        <v>0.17040097295591061</v>
      </c>
      <c r="T65" s="84">
        <f t="shared" si="141"/>
        <v>0.17832021328270711</v>
      </c>
      <c r="U65" s="84">
        <f t="shared" si="141"/>
        <v>0.1803220594943219</v>
      </c>
      <c r="V65" s="84">
        <f t="shared" si="141"/>
        <v>0.19233303930812828</v>
      </c>
      <c r="W65" s="84">
        <f t="shared" si="141"/>
        <v>0.21678321678321677</v>
      </c>
      <c r="X65" s="84">
        <f t="shared" si="141"/>
        <v>0.20833333333333334</v>
      </c>
      <c r="Y65" s="84">
        <f t="shared" si="141"/>
        <v>0.20757825370675453</v>
      </c>
      <c r="Z65" s="84">
        <f t="shared" si="141"/>
        <v>0.20840064620355411</v>
      </c>
      <c r="AA65" s="84">
        <f t="shared" si="141"/>
        <v>0.24247491638795987</v>
      </c>
      <c r="AB65" s="84">
        <f t="shared" si="141"/>
        <v>0.19637462235649547</v>
      </c>
      <c r="AC65" s="84">
        <f t="shared" si="141"/>
        <v>0.1876750700280112</v>
      </c>
      <c r="AD65" s="84">
        <f t="shared" si="141"/>
        <v>0.17609254498714652</v>
      </c>
      <c r="AE65" s="84">
        <f t="shared" si="141"/>
        <v>0.88961038961038963</v>
      </c>
      <c r="AF65" s="84">
        <f t="shared" si="141"/>
        <v>0.1819277108433735</v>
      </c>
      <c r="AG65" s="84">
        <f t="shared" si="141"/>
        <v>0.18640093786635403</v>
      </c>
      <c r="AH65" s="84">
        <f t="shared" si="141"/>
        <v>0.11764705882352941</v>
      </c>
      <c r="AI65" s="84">
        <f t="shared" si="141"/>
        <v>0.19976359338061467</v>
      </c>
      <c r="AJ65" s="84">
        <f t="shared" si="141"/>
        <v>0.19809069212410502</v>
      </c>
      <c r="AK65" s="84">
        <f t="shared" si="141"/>
        <v>0.16648291069459759</v>
      </c>
      <c r="AL65" s="84">
        <f t="shared" si="141"/>
        <v>0.16911764705882354</v>
      </c>
      <c r="AM65" s="84">
        <f t="shared" si="141"/>
        <v>0.18160651920838183</v>
      </c>
      <c r="AN65" s="84">
        <f t="shared" si="141"/>
        <v>0.24486571879936808</v>
      </c>
      <c r="AO65" s="84">
        <f t="shared" si="141"/>
        <v>0.21662468513853905</v>
      </c>
      <c r="AP65" s="84">
        <f t="shared" si="141"/>
        <v>0.20881427072402939</v>
      </c>
      <c r="AQ65" s="84">
        <f t="shared" si="141"/>
        <v>0.18023787740164685</v>
      </c>
      <c r="AR65" s="84">
        <f t="shared" si="141"/>
        <v>0.17939609236234458</v>
      </c>
      <c r="AS65" s="84">
        <f t="shared" si="141"/>
        <v>0.39350180505415161</v>
      </c>
      <c r="AT65" s="84">
        <f t="shared" si="141"/>
        <v>0.29190992493744788</v>
      </c>
      <c r="AU65" s="84">
        <f t="shared" si="141"/>
        <v>0.26410466067048244</v>
      </c>
      <c r="AV65" s="84">
        <f t="shared" si="141"/>
        <v>0.28141135972461273</v>
      </c>
      <c r="AW65" s="84">
        <f t="shared" si="141"/>
        <v>0.2914798206278027</v>
      </c>
      <c r="AX65" s="84">
        <f t="shared" si="141"/>
        <v>0.31918819188191883</v>
      </c>
      <c r="AY65" s="84">
        <f t="shared" si="141"/>
        <v>0.31370745170193193</v>
      </c>
      <c r="AZ65" s="84">
        <f t="shared" si="141"/>
        <v>0.304421768707483</v>
      </c>
      <c r="BA65" s="84">
        <f t="shared" si="141"/>
        <v>0.28150134048257375</v>
      </c>
      <c r="BB65" s="84">
        <f t="shared" si="141"/>
        <v>0.30303030303030304</v>
      </c>
      <c r="BC65" s="84">
        <f t="shared" ref="BC65:BJ65" si="142">BC52/BC49</f>
        <v>0.31505576208178437</v>
      </c>
      <c r="BD65" s="84">
        <f t="shared" si="142"/>
        <v>0.29226618705035973</v>
      </c>
      <c r="BE65" s="84">
        <f t="shared" si="142"/>
        <v>0.23425925925925925</v>
      </c>
      <c r="BF65" s="84">
        <f t="shared" si="142"/>
        <v>0.22826086956521738</v>
      </c>
      <c r="BG65" s="84">
        <f t="shared" si="142"/>
        <v>0.24207492795389049</v>
      </c>
      <c r="BH65" s="84">
        <f t="shared" si="142"/>
        <v>0.23323890462700661</v>
      </c>
      <c r="BI65" s="84">
        <f t="shared" si="142"/>
        <v>0.21125461254612546</v>
      </c>
      <c r="BJ65" s="84">
        <f t="shared" si="142"/>
        <v>0.20621225194132872</v>
      </c>
      <c r="BK65" s="84">
        <f>BK52/BK49</f>
        <v>0.21998166819431714</v>
      </c>
      <c r="BS65" s="84">
        <f t="shared" ref="BS65:CG65" si="143">BS52/BS49</f>
        <v>0.18655279076487283</v>
      </c>
      <c r="BT65" s="84">
        <f t="shared" si="143"/>
        <v>0.20115087643533042</v>
      </c>
      <c r="BU65" s="84">
        <f t="shared" si="143"/>
        <v>0.19472789474647087</v>
      </c>
      <c r="BV65" s="84">
        <f t="shared" si="143"/>
        <v>0.20847950797213652</v>
      </c>
      <c r="BW65" s="84">
        <f t="shared" si="143"/>
        <v>0.18063063063063062</v>
      </c>
      <c r="BX65" s="84">
        <f t="shared" si="143"/>
        <v>0.21017514595496248</v>
      </c>
      <c r="BY65" s="84">
        <f t="shared" si="143"/>
        <v>0.19840116279069767</v>
      </c>
      <c r="BZ65" s="84">
        <f t="shared" si="143"/>
        <v>0.18691869186918691</v>
      </c>
      <c r="CA65" s="84">
        <f t="shared" si="143"/>
        <v>0.18261360429014958</v>
      </c>
      <c r="CB65" s="84">
        <f t="shared" si="143"/>
        <v>0.21055881444890398</v>
      </c>
      <c r="CC65" s="84">
        <f t="shared" si="143"/>
        <v>0.26182059213433495</v>
      </c>
      <c r="CD65" s="84">
        <f t="shared" si="143"/>
        <v>0.2881762652705061</v>
      </c>
      <c r="CE65" s="84">
        <f t="shared" si="143"/>
        <v>0.30062166962699821</v>
      </c>
      <c r="CF65" s="84">
        <f t="shared" si="143"/>
        <v>0.26738334858188473</v>
      </c>
      <c r="CG65" s="84">
        <f t="shared" si="143"/>
        <v>0.22265714943587381</v>
      </c>
    </row>
    <row r="66" spans="2:96">
      <c r="B66" s="37" t="s">
        <v>59</v>
      </c>
      <c r="C66" s="84">
        <f t="shared" ref="C66:BB66" si="144">C53/C49</f>
        <v>0.23241597791267721</v>
      </c>
      <c r="D66" s="84">
        <f t="shared" si="144"/>
        <v>0.24085232214298141</v>
      </c>
      <c r="E66" s="84">
        <f t="shared" si="144"/>
        <v>0.2803876024951274</v>
      </c>
      <c r="F66" s="84">
        <f t="shared" si="144"/>
        <v>0.24360281680002879</v>
      </c>
      <c r="G66" s="84">
        <f t="shared" si="144"/>
        <v>0.2491806283682223</v>
      </c>
      <c r="H66" s="84">
        <f t="shared" si="144"/>
        <v>0.24417067286275823</v>
      </c>
      <c r="I66" s="84">
        <f t="shared" si="144"/>
        <v>0.24413203019512089</v>
      </c>
      <c r="J66" s="84">
        <f t="shared" si="144"/>
        <v>0.25775629314665421</v>
      </c>
      <c r="K66" s="84">
        <f t="shared" si="144"/>
        <v>0.25705376513031863</v>
      </c>
      <c r="L66" s="84">
        <f t="shared" si="144"/>
        <v>0.25628875392234479</v>
      </c>
      <c r="M66" s="84">
        <f t="shared" si="144"/>
        <v>0.26798486547085204</v>
      </c>
      <c r="N66" s="84">
        <f t="shared" si="144"/>
        <v>0.28825588780510475</v>
      </c>
      <c r="O66" s="84">
        <f t="shared" si="144"/>
        <v>0.26040386804537274</v>
      </c>
      <c r="P66" s="84">
        <f t="shared" si="144"/>
        <v>0.25615995781646589</v>
      </c>
      <c r="Q66" s="84">
        <f t="shared" si="144"/>
        <v>0.24943927761479726</v>
      </c>
      <c r="R66" s="84">
        <f t="shared" si="144"/>
        <v>0.23844263718848743</v>
      </c>
      <c r="S66" s="84">
        <f t="shared" si="144"/>
        <v>0.21597578750939994</v>
      </c>
      <c r="T66" s="84">
        <f t="shared" si="144"/>
        <v>0.23071204238956722</v>
      </c>
      <c r="U66" s="84">
        <f t="shared" si="144"/>
        <v>0.24832855084131275</v>
      </c>
      <c r="V66" s="84">
        <f t="shared" si="144"/>
        <v>0.2341961452281737</v>
      </c>
      <c r="W66" s="84">
        <f t="shared" si="144"/>
        <v>0.26223776223776224</v>
      </c>
      <c r="X66" s="84">
        <f t="shared" si="144"/>
        <v>0.24666666666666667</v>
      </c>
      <c r="Y66" s="84">
        <f t="shared" si="144"/>
        <v>0.22899505766062603</v>
      </c>
      <c r="Z66" s="84">
        <f t="shared" si="144"/>
        <v>0.23747980613893377</v>
      </c>
      <c r="AA66" s="84">
        <f t="shared" si="144"/>
        <v>0.28595317725752506</v>
      </c>
      <c r="AB66" s="84">
        <f t="shared" si="144"/>
        <v>0.243202416918429</v>
      </c>
      <c r="AC66" s="84">
        <f t="shared" si="144"/>
        <v>0.23389355742296919</v>
      </c>
      <c r="AD66" s="84">
        <f t="shared" si="144"/>
        <v>0.22493573264781491</v>
      </c>
      <c r="AE66" s="84">
        <f t="shared" si="144"/>
        <v>1.1883116883116882</v>
      </c>
      <c r="AF66" s="84">
        <f t="shared" si="144"/>
        <v>0.23734939759036144</v>
      </c>
      <c r="AG66" s="84">
        <f t="shared" si="144"/>
        <v>0.2309495896834701</v>
      </c>
      <c r="AH66" s="84">
        <f t="shared" si="144"/>
        <v>0.14505347593582887</v>
      </c>
      <c r="AI66" s="84">
        <f t="shared" si="144"/>
        <v>0.24940898345153664</v>
      </c>
      <c r="AJ66" s="84">
        <f t="shared" si="144"/>
        <v>0.24105011933174225</v>
      </c>
      <c r="AK66" s="84">
        <f t="shared" si="144"/>
        <v>0.20837927232635062</v>
      </c>
      <c r="AL66" s="84">
        <f t="shared" si="144"/>
        <v>0.24474789915966386</v>
      </c>
      <c r="AM66" s="84">
        <f t="shared" si="144"/>
        <v>0.31897555296856811</v>
      </c>
      <c r="AN66" s="84">
        <f t="shared" si="144"/>
        <v>0.27962085308056872</v>
      </c>
      <c r="AO66" s="84">
        <f t="shared" si="144"/>
        <v>0.24181360201511334</v>
      </c>
      <c r="AP66" s="84">
        <f t="shared" si="144"/>
        <v>0.31269674711437567</v>
      </c>
      <c r="AQ66" s="84">
        <f t="shared" si="144"/>
        <v>0.34217749313815188</v>
      </c>
      <c r="AR66" s="84">
        <f t="shared" si="144"/>
        <v>0.36678507992895204</v>
      </c>
      <c r="AS66" s="84">
        <f t="shared" si="144"/>
        <v>0.79332129963898912</v>
      </c>
      <c r="AT66" s="84">
        <f t="shared" si="144"/>
        <v>0.35529608006672225</v>
      </c>
      <c r="AU66" s="84">
        <f t="shared" si="144"/>
        <v>0.25183973834832379</v>
      </c>
      <c r="AV66" s="84">
        <f t="shared" si="144"/>
        <v>0.35283993115318418</v>
      </c>
      <c r="AW66" s="84">
        <f t="shared" si="144"/>
        <v>0.13094170403587443</v>
      </c>
      <c r="AX66" s="84">
        <f t="shared" si="144"/>
        <v>0.39944649446494462</v>
      </c>
      <c r="AY66" s="84">
        <f t="shared" si="144"/>
        <v>0.34774609015639374</v>
      </c>
      <c r="AZ66" s="84">
        <f t="shared" si="144"/>
        <v>0.39285714285714285</v>
      </c>
      <c r="BA66" s="84">
        <f t="shared" si="144"/>
        <v>0.27077747989276141</v>
      </c>
      <c r="BB66" s="84">
        <f t="shared" si="144"/>
        <v>0.41800356506238862</v>
      </c>
      <c r="BC66" s="84">
        <f t="shared" ref="BC66:BJ66" si="145">BC53/BC49</f>
        <v>0.40799256505576209</v>
      </c>
      <c r="BD66" s="84">
        <f t="shared" si="145"/>
        <v>0.13219424460431656</v>
      </c>
      <c r="BE66" s="84">
        <f t="shared" si="145"/>
        <v>0.2212962962962963</v>
      </c>
      <c r="BF66" s="84">
        <f t="shared" si="145"/>
        <v>0.24184782608695651</v>
      </c>
      <c r="BG66" s="84">
        <f t="shared" si="145"/>
        <v>0.25648414985590778</v>
      </c>
      <c r="BH66" s="84">
        <f t="shared" si="145"/>
        <v>0.22096317280453256</v>
      </c>
      <c r="BI66" s="84">
        <f t="shared" si="145"/>
        <v>0.25553505535055349</v>
      </c>
      <c r="BJ66" s="84">
        <f t="shared" si="145"/>
        <v>0.26574633304572909</v>
      </c>
      <c r="BK66" s="84">
        <f>BK53/BK49</f>
        <v>0.24931255728689275</v>
      </c>
      <c r="BS66" s="84">
        <f t="shared" ref="BS66:CG66" si="146">BS53/BS49</f>
        <v>0.24806662024471007</v>
      </c>
      <c r="BT66" s="84">
        <f t="shared" si="146"/>
        <v>0.24900915616325761</v>
      </c>
      <c r="BU66" s="84">
        <f t="shared" si="146"/>
        <v>0.26811560550472918</v>
      </c>
      <c r="BV66" s="84">
        <f t="shared" si="146"/>
        <v>0.25050688798178539</v>
      </c>
      <c r="BW66" s="84">
        <f t="shared" si="146"/>
        <v>0.23243243243243245</v>
      </c>
      <c r="BX66" s="84">
        <f t="shared" si="146"/>
        <v>0.24353628023352794</v>
      </c>
      <c r="BY66" s="84">
        <f t="shared" si="146"/>
        <v>0.24491279069767441</v>
      </c>
      <c r="BZ66" s="84">
        <f t="shared" si="146"/>
        <v>0.23822382238223822</v>
      </c>
      <c r="CA66" s="84">
        <f t="shared" si="146"/>
        <v>0.23567598080722552</v>
      </c>
      <c r="CB66" s="84">
        <f t="shared" si="146"/>
        <v>0.29052176597715346</v>
      </c>
      <c r="CC66" s="84">
        <f t="shared" si="146"/>
        <v>0.46221829429960232</v>
      </c>
      <c r="CD66" s="84">
        <f t="shared" si="146"/>
        <v>0.28294066317626526</v>
      </c>
      <c r="CE66" s="84">
        <f t="shared" si="146"/>
        <v>0.35790408525754885</v>
      </c>
      <c r="CF66" s="84">
        <f t="shared" si="146"/>
        <v>0.24977127172918573</v>
      </c>
      <c r="CG66" s="84">
        <f t="shared" si="146"/>
        <v>0.25005756389592448</v>
      </c>
    </row>
    <row r="67" spans="2:96">
      <c r="B67" s="37" t="s">
        <v>60</v>
      </c>
      <c r="C67" s="84">
        <f t="shared" ref="C67:BB67" si="147">C54/C49</f>
        <v>0.25549085889244816</v>
      </c>
      <c r="D67" s="84">
        <f t="shared" si="147"/>
        <v>0.25507740476604623</v>
      </c>
      <c r="E67" s="84">
        <f t="shared" si="147"/>
        <v>0.17276081851727609</v>
      </c>
      <c r="F67" s="84">
        <f t="shared" si="147"/>
        <v>0.25654714061206624</v>
      </c>
      <c r="G67" s="84">
        <f t="shared" si="147"/>
        <v>0.23537412472046038</v>
      </c>
      <c r="H67" s="84">
        <f t="shared" si="147"/>
        <v>0.18979569290858747</v>
      </c>
      <c r="I67" s="84">
        <f t="shared" si="147"/>
        <v>0.25195015986063796</v>
      </c>
      <c r="J67" s="84">
        <f t="shared" si="147"/>
        <v>0.21672352189869523</v>
      </c>
      <c r="K67" s="84">
        <f t="shared" si="147"/>
        <v>0.21987079931592535</v>
      </c>
      <c r="L67" s="84">
        <f t="shared" si="147"/>
        <v>0.19388085317861622</v>
      </c>
      <c r="M67" s="84">
        <f t="shared" si="147"/>
        <v>0.12154147982062775</v>
      </c>
      <c r="N67" s="84">
        <f t="shared" si="147"/>
        <v>0.18296990132343288</v>
      </c>
      <c r="O67" s="84">
        <f t="shared" si="147"/>
        <v>0.21787580713007493</v>
      </c>
      <c r="P67" s="84">
        <f t="shared" si="147"/>
        <v>0.229922603939513</v>
      </c>
      <c r="Q67" s="84">
        <f t="shared" si="147"/>
        <v>0.26833739050829125</v>
      </c>
      <c r="R67" s="84">
        <f t="shared" si="147"/>
        <v>0.23384447840368167</v>
      </c>
      <c r="S67" s="84">
        <f t="shared" si="147"/>
        <v>0.30996815611857442</v>
      </c>
      <c r="T67" s="84">
        <f t="shared" si="147"/>
        <v>0.28874370107790825</v>
      </c>
      <c r="U67" s="84">
        <f t="shared" si="147"/>
        <v>0.2756187405841849</v>
      </c>
      <c r="V67" s="84">
        <f t="shared" si="147"/>
        <v>0.26640542358217328</v>
      </c>
      <c r="W67" s="84">
        <f t="shared" si="147"/>
        <v>0.21503496503496503</v>
      </c>
      <c r="X67" s="84">
        <f t="shared" si="147"/>
        <v>0.25166666666666665</v>
      </c>
      <c r="Y67" s="84">
        <f t="shared" si="147"/>
        <v>0.26523887973640858</v>
      </c>
      <c r="Z67" s="84">
        <f t="shared" si="147"/>
        <v>0.23101777059773829</v>
      </c>
      <c r="AA67" s="84">
        <f t="shared" si="147"/>
        <v>8.6956521739130432E-2</v>
      </c>
      <c r="AB67" s="84">
        <f t="shared" si="147"/>
        <v>0.21601208459214502</v>
      </c>
      <c r="AC67" s="84">
        <f t="shared" si="147"/>
        <v>-5.8823529411764705E-2</v>
      </c>
      <c r="AD67" s="84">
        <f t="shared" si="147"/>
        <v>0.5822622107969152</v>
      </c>
      <c r="AE67" s="84">
        <f t="shared" si="147"/>
        <v>-2.6623376623376624</v>
      </c>
      <c r="AF67" s="84">
        <f t="shared" si="147"/>
        <v>0.27349397590361446</v>
      </c>
      <c r="AG67" s="84">
        <f t="shared" si="147"/>
        <v>0.2825322391559203</v>
      </c>
      <c r="AH67" s="84">
        <f t="shared" si="147"/>
        <v>0.55147058823529416</v>
      </c>
      <c r="AI67" s="84">
        <f t="shared" si="147"/>
        <v>0.24113475177304963</v>
      </c>
      <c r="AJ67" s="84">
        <f t="shared" si="147"/>
        <v>0.24463007159904535</v>
      </c>
      <c r="AK67" s="84">
        <f t="shared" si="147"/>
        <v>0.33958103638368248</v>
      </c>
      <c r="AL67" s="84">
        <f t="shared" si="147"/>
        <v>0.28151260504201681</v>
      </c>
      <c r="AM67" s="84">
        <f t="shared" si="147"/>
        <v>0.22002328288707801</v>
      </c>
      <c r="AN67" s="84">
        <f t="shared" si="147"/>
        <v>0.15165876777251186</v>
      </c>
      <c r="AO67" s="84">
        <f t="shared" si="147"/>
        <v>0.20403022670025189</v>
      </c>
      <c r="AP67" s="84">
        <f t="shared" si="147"/>
        <v>0.13955928646379853</v>
      </c>
      <c r="AQ67" s="84">
        <f t="shared" si="147"/>
        <v>0.17657822506861848</v>
      </c>
      <c r="AR67" s="84">
        <f t="shared" si="147"/>
        <v>0.1660746003552398</v>
      </c>
      <c r="AS67" s="84">
        <f t="shared" si="147"/>
        <v>-0.49187725631768953</v>
      </c>
      <c r="AT67" s="84">
        <f t="shared" si="147"/>
        <v>3.5029190992493742E-2</v>
      </c>
      <c r="AU67" s="84">
        <f t="shared" si="147"/>
        <v>0.15044971381847916</v>
      </c>
      <c r="AV67" s="84">
        <f t="shared" si="147"/>
        <v>2.5817555938037865E-2</v>
      </c>
      <c r="AW67" s="84">
        <f t="shared" si="147"/>
        <v>0.22062780269058296</v>
      </c>
      <c r="AX67" s="84">
        <f t="shared" si="147"/>
        <v>-9.7785977859778592E-2</v>
      </c>
      <c r="AY67" s="84">
        <f t="shared" si="147"/>
        <v>-5.8877644894204231E-2</v>
      </c>
      <c r="AZ67" s="84">
        <f t="shared" si="147"/>
        <v>-7.4829931972789115E-2</v>
      </c>
      <c r="BA67" s="84">
        <f t="shared" si="147"/>
        <v>5.8981233243967826E-2</v>
      </c>
      <c r="BB67" s="84">
        <f t="shared" si="147"/>
        <v>-0.12121212121212122</v>
      </c>
      <c r="BC67" s="84">
        <f t="shared" ref="BC67:BJ67" si="148">BC54/BC49</f>
        <v>-0.10315985130111524</v>
      </c>
      <c r="BD67" s="84">
        <f t="shared" si="148"/>
        <v>0.22392086330935251</v>
      </c>
      <c r="BE67" s="84">
        <f t="shared" si="148"/>
        <v>0.23425925925925925</v>
      </c>
      <c r="BF67" s="84">
        <f t="shared" si="148"/>
        <v>0.18931159420289856</v>
      </c>
      <c r="BG67" s="84">
        <f t="shared" si="148"/>
        <v>0.15754082612872239</v>
      </c>
      <c r="BH67" s="84">
        <f t="shared" si="148"/>
        <v>0.20207743153918792</v>
      </c>
      <c r="BI67" s="84">
        <f t="shared" si="148"/>
        <v>0.20940959409594095</v>
      </c>
      <c r="BJ67" s="84">
        <f t="shared" si="148"/>
        <v>0.18291630716134599</v>
      </c>
      <c r="BK67" s="84">
        <f>BK54/BK49</f>
        <v>0.19156736938588451</v>
      </c>
      <c r="BS67" s="84">
        <f t="shared" ref="BS67:CG67" si="149">BS54/BS49</f>
        <v>0.23717072385093818</v>
      </c>
      <c r="BT67" s="84">
        <f t="shared" si="149"/>
        <v>0.2233421214854647</v>
      </c>
      <c r="BU67" s="84">
        <f t="shared" si="149"/>
        <v>0.17879815195563115</v>
      </c>
      <c r="BV67" s="84">
        <f t="shared" si="149"/>
        <v>0.23819813276113469</v>
      </c>
      <c r="BW67" s="84">
        <f t="shared" si="149"/>
        <v>0.28468468468468466</v>
      </c>
      <c r="BX67" s="84">
        <f t="shared" si="149"/>
        <v>0.24103419516263552</v>
      </c>
      <c r="BY67" s="84">
        <f t="shared" si="149"/>
        <v>0.22020348837209303</v>
      </c>
      <c r="BZ67" s="84">
        <f t="shared" si="149"/>
        <v>0.26492649264926493</v>
      </c>
      <c r="CA67" s="84">
        <f t="shared" si="149"/>
        <v>0.27801298334744567</v>
      </c>
      <c r="CB67" s="84">
        <f t="shared" si="149"/>
        <v>0.17906761346094474</v>
      </c>
      <c r="CC67" s="84">
        <f t="shared" si="149"/>
        <v>-2.7176314626601857E-2</v>
      </c>
      <c r="CD67" s="84">
        <f t="shared" si="149"/>
        <v>7.7225130890052354E-2</v>
      </c>
      <c r="CE67" s="84">
        <f t="shared" si="149"/>
        <v>-4.9289520426287745E-2</v>
      </c>
      <c r="CF67" s="84">
        <f t="shared" si="149"/>
        <v>0.1372369624885636</v>
      </c>
      <c r="CG67" s="84">
        <f t="shared" si="149"/>
        <v>0.18811881188118812</v>
      </c>
    </row>
    <row r="68" spans="2:96">
      <c r="B68" s="37" t="s">
        <v>61</v>
      </c>
      <c r="C68" s="84">
        <f t="shared" ref="C68:BB68" si="150">C59/C58</f>
        <v>0.30595360824742279</v>
      </c>
      <c r="D68" s="84">
        <f t="shared" si="150"/>
        <v>0.32668276057938095</v>
      </c>
      <c r="E68" s="84">
        <f t="shared" si="150"/>
        <v>0.24091826437941469</v>
      </c>
      <c r="F68" s="84">
        <f t="shared" si="150"/>
        <v>0.1489540628613476</v>
      </c>
      <c r="G68" s="84">
        <f t="shared" si="150"/>
        <v>0.25647054534849822</v>
      </c>
      <c r="H68" s="84">
        <f t="shared" si="150"/>
        <v>0.25265727282813705</v>
      </c>
      <c r="I68" s="84">
        <f t="shared" si="150"/>
        <v>0.20786155525973338</v>
      </c>
      <c r="J68" s="84">
        <f t="shared" si="150"/>
        <v>0.28678460683622814</v>
      </c>
      <c r="K68" s="84">
        <f t="shared" si="150"/>
        <v>-0.35499552257899442</v>
      </c>
      <c r="L68" s="84">
        <f t="shared" si="150"/>
        <v>0.23882738464263575</v>
      </c>
      <c r="M68" s="84">
        <f t="shared" si="150"/>
        <v>0.16519729521527013</v>
      </c>
      <c r="N68" s="84">
        <f t="shared" si="150"/>
        <v>0.33807277742775899</v>
      </c>
      <c r="O68" s="84">
        <f t="shared" si="150"/>
        <v>0.28560633321338591</v>
      </c>
      <c r="P68" s="84">
        <f t="shared" si="150"/>
        <v>0.21955237356057866</v>
      </c>
      <c r="Q68" s="84">
        <f t="shared" si="150"/>
        <v>0.15546132331591764</v>
      </c>
      <c r="R68" s="84">
        <f t="shared" si="150"/>
        <v>0.35580531217028299</v>
      </c>
      <c r="S68" s="84">
        <f t="shared" si="150"/>
        <v>0.24510535479515327</v>
      </c>
      <c r="T68" s="84">
        <f t="shared" si="150"/>
        <v>0.26848345645291444</v>
      </c>
      <c r="U68" s="84">
        <f t="shared" si="150"/>
        <v>9.5107296137339065E-2</v>
      </c>
      <c r="V68" s="84">
        <f t="shared" si="150"/>
        <v>0.21158525488504396</v>
      </c>
      <c r="W68" s="84">
        <f t="shared" si="150"/>
        <v>0.23728813559322035</v>
      </c>
      <c r="X68" s="84">
        <f t="shared" si="150"/>
        <v>0.28082191780821919</v>
      </c>
      <c r="Y68" s="84">
        <f t="shared" si="150"/>
        <v>0.24025974025974026</v>
      </c>
      <c r="Z68" s="84">
        <f t="shared" si="150"/>
        <v>0.20149253731343283</v>
      </c>
      <c r="AA68" s="84">
        <f t="shared" si="150"/>
        <v>0.30815109343936381</v>
      </c>
      <c r="AB68" s="84">
        <f t="shared" si="150"/>
        <v>0.14893617021276595</v>
      </c>
      <c r="AC68" s="84">
        <f t="shared" si="150"/>
        <v>-0.47916666666666669</v>
      </c>
      <c r="AD68" s="84">
        <f t="shared" si="150"/>
        <v>0.37136465324384788</v>
      </c>
      <c r="AE68" s="84">
        <f t="shared" si="150"/>
        <v>-5.896805896805897E-2</v>
      </c>
      <c r="AF68" s="84">
        <f t="shared" si="150"/>
        <v>0.13793103448275862</v>
      </c>
      <c r="AG68" s="84">
        <f t="shared" si="150"/>
        <v>0.18965517241379309</v>
      </c>
      <c r="AH68" s="84">
        <f t="shared" si="150"/>
        <v>1.4336917562724014E-2</v>
      </c>
      <c r="AI68" s="84">
        <f t="shared" si="150"/>
        <v>3.8626609442060089E-2</v>
      </c>
      <c r="AJ68" s="84">
        <f t="shared" si="150"/>
        <v>0.15317919075144509</v>
      </c>
      <c r="AK68" s="84">
        <f t="shared" si="150"/>
        <v>0.13333333333333333</v>
      </c>
      <c r="AL68" s="84">
        <f t="shared" si="150"/>
        <v>0.11152416356877323</v>
      </c>
      <c r="AM68" s="84">
        <f t="shared" si="150"/>
        <v>2.8089887640449437E-2</v>
      </c>
      <c r="AN68" s="84">
        <f t="shared" si="150"/>
        <v>0.7151515151515152</v>
      </c>
      <c r="AO68" s="84">
        <f t="shared" si="150"/>
        <v>0.16744186046511628</v>
      </c>
      <c r="AP68" s="84">
        <f t="shared" si="150"/>
        <v>0.13758389261744966</v>
      </c>
      <c r="AQ68" s="84">
        <f t="shared" si="150"/>
        <v>0.13017751479289941</v>
      </c>
      <c r="AR68" s="84">
        <f t="shared" si="150"/>
        <v>0.10628019323671498</v>
      </c>
      <c r="AS68" s="84">
        <f t="shared" si="150"/>
        <v>0.24523809523809523</v>
      </c>
      <c r="AT68" s="84">
        <f t="shared" si="150"/>
        <v>-0.2696629213483146</v>
      </c>
      <c r="AU68" s="84">
        <f t="shared" si="150"/>
        <v>0.38571428571428573</v>
      </c>
      <c r="AV68" s="84">
        <f t="shared" si="150"/>
        <v>3.6428571428571428</v>
      </c>
      <c r="AW68" s="84">
        <f t="shared" si="150"/>
        <v>0.62337662337662336</v>
      </c>
      <c r="AX68" s="84">
        <f t="shared" si="150"/>
        <v>0.19178082191780821</v>
      </c>
      <c r="AY68" s="84">
        <f t="shared" si="150"/>
        <v>2.1315789473684212</v>
      </c>
      <c r="AZ68" s="84">
        <f t="shared" si="150"/>
        <v>-1.6292134831460674</v>
      </c>
      <c r="BA68" s="84">
        <f t="shared" si="150"/>
        <v>-0.73684210526315785</v>
      </c>
      <c r="BB68" s="84">
        <f t="shared" si="150"/>
        <v>-4.4198895027624308E-2</v>
      </c>
      <c r="BC68" s="84">
        <f t="shared" ref="BC68:BJ68" si="151">BC59/BC58</f>
        <v>-0.15596330275229359</v>
      </c>
      <c r="BD68" s="84">
        <f t="shared" si="151"/>
        <v>-0.13333333333333333</v>
      </c>
      <c r="BE68" s="84">
        <f t="shared" si="151"/>
        <v>6.4655172413793108E-2</v>
      </c>
      <c r="BF68" s="84">
        <f t="shared" si="151"/>
        <v>0</v>
      </c>
      <c r="BG68" s="84">
        <f t="shared" si="151"/>
        <v>0.28021978021978022</v>
      </c>
      <c r="BH68" s="84">
        <f t="shared" si="151"/>
        <v>0.23202614379084968</v>
      </c>
      <c r="BI68" s="84">
        <f t="shared" si="151"/>
        <v>0.31818181818181818</v>
      </c>
      <c r="BJ68" s="84">
        <f t="shared" si="151"/>
        <v>0.1164021164021164</v>
      </c>
      <c r="BK68" s="84">
        <f>BK59/BK58</f>
        <v>0.1464968152866242</v>
      </c>
      <c r="BS68" s="84">
        <f t="shared" ref="BS68:CG68" si="152">BS59/BS58</f>
        <v>0.25236780009351589</v>
      </c>
      <c r="BT68" s="84">
        <f t="shared" si="152"/>
        <v>0.25632975054603979</v>
      </c>
      <c r="BU68" s="84">
        <f t="shared" si="152"/>
        <v>0.12174959095774962</v>
      </c>
      <c r="BV68" s="84">
        <f t="shared" si="152"/>
        <v>0.25278801544172386</v>
      </c>
      <c r="BW68" s="84">
        <f t="shared" si="152"/>
        <v>0.20764119601328898</v>
      </c>
      <c r="BX68" s="84">
        <f t="shared" si="152"/>
        <v>0.24094202898550723</v>
      </c>
      <c r="BY68" s="84">
        <f t="shared" si="152"/>
        <v>0.34995206136145734</v>
      </c>
      <c r="BZ68" s="84">
        <f t="shared" si="152"/>
        <v>0.12527964205816555</v>
      </c>
      <c r="CA68" s="84">
        <f t="shared" si="152"/>
        <v>0.11449016100178891</v>
      </c>
      <c r="CB68" s="84">
        <f t="shared" si="152"/>
        <v>0.23364485981308411</v>
      </c>
      <c r="CC68" s="84">
        <f t="shared" si="152"/>
        <v>0.13898305084745763</v>
      </c>
      <c r="CD68" s="84">
        <f t="shared" si="152"/>
        <v>0.34517766497461927</v>
      </c>
      <c r="CE68" s="84">
        <f t="shared" si="152"/>
        <v>-0.16296296296296298</v>
      </c>
      <c r="CF68" s="84">
        <f t="shared" si="152"/>
        <v>0.11</v>
      </c>
      <c r="CG68" s="84">
        <f t="shared" si="152"/>
        <v>0.21731123388581952</v>
      </c>
    </row>
    <row r="69" spans="2:96">
      <c r="B69" s="37" t="s">
        <v>62</v>
      </c>
      <c r="C69" s="84">
        <f t="shared" ref="C69:BB69" si="153">C60/C49</f>
        <v>9.5318832628355984E-2</v>
      </c>
      <c r="D69" s="84">
        <f t="shared" si="153"/>
        <v>0.13196034092885717</v>
      </c>
      <c r="E69" s="84">
        <f t="shared" si="153"/>
        <v>0.10221699455199386</v>
      </c>
      <c r="F69" s="84">
        <f t="shared" si="153"/>
        <v>0.19424883333133397</v>
      </c>
      <c r="G69" s="84">
        <f t="shared" si="153"/>
        <v>0.14955090369175489</v>
      </c>
      <c r="H69" s="84">
        <f t="shared" si="153"/>
        <v>0.12002195241031055</v>
      </c>
      <c r="I69" s="84">
        <f t="shared" si="153"/>
        <v>0.18525644164911823</v>
      </c>
      <c r="J69" s="84">
        <f t="shared" si="153"/>
        <v>0.25732624124941389</v>
      </c>
      <c r="K69" s="84">
        <f t="shared" si="153"/>
        <v>0.28803654844421356</v>
      </c>
      <c r="L69" s="84">
        <f t="shared" si="153"/>
        <v>0.1241627997018151</v>
      </c>
      <c r="M69" s="84">
        <f t="shared" si="153"/>
        <v>8.2003923766816103E-2</v>
      </c>
      <c r="N69" s="84">
        <f t="shared" si="153"/>
        <v>0.20072497069651915</v>
      </c>
      <c r="O69" s="84">
        <f t="shared" si="153"/>
        <v>0.14154393853334646</v>
      </c>
      <c r="P69" s="84">
        <f t="shared" si="153"/>
        <v>0.11008829943159464</v>
      </c>
      <c r="Q69" s="84">
        <f t="shared" si="153"/>
        <v>0.21423340199321733</v>
      </c>
      <c r="R69" s="84">
        <f t="shared" si="153"/>
        <v>0.13703528052476779</v>
      </c>
      <c r="S69" s="84">
        <f t="shared" si="153"/>
        <v>0.23668452275955551</v>
      </c>
      <c r="T69" s="84">
        <f t="shared" si="153"/>
        <v>0.19662648458038706</v>
      </c>
      <c r="U69" s="84">
        <f t="shared" si="153"/>
        <v>0.22989399768477714</v>
      </c>
      <c r="V69" s="84">
        <f t="shared" si="153"/>
        <v>0.19765590939968161</v>
      </c>
      <c r="W69" s="84">
        <f t="shared" si="153"/>
        <v>0.15734265734265734</v>
      </c>
      <c r="X69" s="84">
        <f t="shared" si="153"/>
        <v>0.17499999999999999</v>
      </c>
      <c r="Y69" s="84">
        <f t="shared" si="153"/>
        <v>0.1927512355848435</v>
      </c>
      <c r="Z69" s="84">
        <f t="shared" si="153"/>
        <v>0.172859450726979</v>
      </c>
      <c r="AA69" s="84">
        <f t="shared" si="153"/>
        <v>0.58193979933110362</v>
      </c>
      <c r="AB69" s="84">
        <f t="shared" si="153"/>
        <v>0.18126888217522658</v>
      </c>
      <c r="AC69" s="84">
        <f t="shared" si="153"/>
        <v>-9.9439775910364139E-2</v>
      </c>
      <c r="AD69" s="84">
        <f t="shared" si="153"/>
        <v>0.36118251928020567</v>
      </c>
      <c r="AE69" s="84">
        <f t="shared" si="153"/>
        <v>-2.7987012987012987</v>
      </c>
      <c r="AF69" s="84">
        <f t="shared" si="153"/>
        <v>0.24096385542168675</v>
      </c>
      <c r="AG69" s="84">
        <f t="shared" si="153"/>
        <v>0.22039859320046892</v>
      </c>
      <c r="AH69" s="84">
        <f t="shared" si="153"/>
        <v>0.55147058823529416</v>
      </c>
      <c r="AI69" s="84">
        <f t="shared" si="153"/>
        <v>0.26477541371158392</v>
      </c>
      <c r="AJ69" s="84">
        <f t="shared" si="153"/>
        <v>0.34964200477326968</v>
      </c>
      <c r="AK69" s="84">
        <f t="shared" si="153"/>
        <v>0.2579933847850055</v>
      </c>
      <c r="AL69" s="84">
        <f t="shared" si="153"/>
        <v>0.25105042016806722</v>
      </c>
      <c r="AM69" s="84">
        <f t="shared" si="153"/>
        <v>0.20139697322467986</v>
      </c>
      <c r="AN69" s="84">
        <f t="shared" si="153"/>
        <v>7.4249605055292253E-2</v>
      </c>
      <c r="AO69" s="84">
        <f t="shared" si="153"/>
        <v>0.22544080604534006</v>
      </c>
      <c r="AP69" s="84">
        <f t="shared" si="153"/>
        <v>0.26967471143756561</v>
      </c>
      <c r="AQ69" s="84">
        <f t="shared" si="153"/>
        <v>0.13449222323879231</v>
      </c>
      <c r="AR69" s="84">
        <f t="shared" si="153"/>
        <v>0.16429840142095914</v>
      </c>
      <c r="AS69" s="84">
        <f t="shared" si="153"/>
        <v>0.28610108303249099</v>
      </c>
      <c r="AT69" s="84">
        <f t="shared" si="153"/>
        <v>9.4245204336947455E-2</v>
      </c>
      <c r="AU69" s="84">
        <f t="shared" si="153"/>
        <v>7.0318887980376124E-2</v>
      </c>
      <c r="AV69" s="84">
        <f t="shared" si="153"/>
        <v>6.3683304647160072E-2</v>
      </c>
      <c r="AW69" s="84">
        <f t="shared" si="153"/>
        <v>7.8026905829596413E-2</v>
      </c>
      <c r="AX69" s="84">
        <f t="shared" si="153"/>
        <v>-0.10885608856088561</v>
      </c>
      <c r="AY69" s="84">
        <f t="shared" si="153"/>
        <v>3.9558417663293467E-2</v>
      </c>
      <c r="AZ69" s="84">
        <f t="shared" si="153"/>
        <v>-0.19897959183673469</v>
      </c>
      <c r="BA69" s="84">
        <f t="shared" si="153"/>
        <v>5.8981233243967826E-2</v>
      </c>
      <c r="BB69" s="84">
        <f t="shared" si="153"/>
        <v>-0.16844919786096257</v>
      </c>
      <c r="BC69" s="84">
        <f t="shared" ref="BC69:BJ69" si="154">BC60/BC49</f>
        <v>-0.1171003717472119</v>
      </c>
      <c r="BD69" s="84">
        <f t="shared" si="154"/>
        <v>-9.172661870503597E-2</v>
      </c>
      <c r="BE69" s="84">
        <f t="shared" si="154"/>
        <v>0.20092592592592592</v>
      </c>
      <c r="BF69" s="84">
        <f t="shared" si="154"/>
        <v>0.33242753623188404</v>
      </c>
      <c r="BG69" s="84">
        <f t="shared" si="154"/>
        <v>0.12584053794428435</v>
      </c>
      <c r="BH69" s="84">
        <f t="shared" si="154"/>
        <v>0.22190745986779981</v>
      </c>
      <c r="BI69" s="84">
        <f t="shared" si="154"/>
        <v>0.13837638376383765</v>
      </c>
      <c r="BJ69" s="84">
        <f t="shared" si="154"/>
        <v>0.28817946505608283</v>
      </c>
      <c r="BK69" s="84">
        <f>BK60/BK49</f>
        <v>0.1228230980751604</v>
      </c>
      <c r="BS69" s="84">
        <f t="shared" ref="BS69:CG69" si="155">BS60/BS49</f>
        <v>0.13027422112956938</v>
      </c>
      <c r="BT69" s="84">
        <f t="shared" si="155"/>
        <v>0.18024476803109404</v>
      </c>
      <c r="BU69" s="84">
        <f t="shared" si="155"/>
        <v>0.17260680928075156</v>
      </c>
      <c r="BV69" s="84">
        <f t="shared" si="155"/>
        <v>0.15150873716931407</v>
      </c>
      <c r="BW69" s="84">
        <f t="shared" si="155"/>
        <v>0.21486486486486489</v>
      </c>
      <c r="BX69" s="84">
        <f t="shared" si="155"/>
        <v>0.17472894078398665</v>
      </c>
      <c r="BY69" s="84">
        <f t="shared" si="155"/>
        <v>0.24636627906976744</v>
      </c>
      <c r="BZ69" s="84">
        <f t="shared" si="155"/>
        <v>0.23462346234623463</v>
      </c>
      <c r="CA69" s="84">
        <f t="shared" si="155"/>
        <v>0.27942421676545298</v>
      </c>
      <c r="CB69" s="84">
        <f t="shared" si="155"/>
        <v>0.20253164556962025</v>
      </c>
      <c r="CC69" s="84">
        <f t="shared" si="155"/>
        <v>0.16836058329650905</v>
      </c>
      <c r="CD69" s="84">
        <f t="shared" si="155"/>
        <v>2.8141361256544501E-2</v>
      </c>
      <c r="CE69" s="84">
        <f t="shared" si="155"/>
        <v>-6.9715808170515092E-2</v>
      </c>
      <c r="CF69" s="84">
        <f t="shared" si="155"/>
        <v>8.1427264409881059E-2</v>
      </c>
      <c r="CG69" s="84">
        <f t="shared" si="155"/>
        <v>0.19571724614321898</v>
      </c>
    </row>
    <row r="71" spans="2:96">
      <c r="B71" s="1" t="s">
        <v>63</v>
      </c>
      <c r="BB71" s="1">
        <v>1048</v>
      </c>
      <c r="BC71" s="1">
        <v>1108</v>
      </c>
      <c r="BD71" s="1">
        <v>920</v>
      </c>
      <c r="BE71" s="1">
        <v>869</v>
      </c>
      <c r="BF71" s="1">
        <v>1127</v>
      </c>
      <c r="BG71" s="1">
        <v>1113</v>
      </c>
      <c r="BH71" s="1">
        <v>934</v>
      </c>
      <c r="BI71" s="1">
        <v>1050</v>
      </c>
      <c r="BJ71" s="1">
        <v>1418</v>
      </c>
      <c r="BK71" s="1">
        <v>1089</v>
      </c>
      <c r="CE71" s="1">
        <f>BB71</f>
        <v>1048</v>
      </c>
      <c r="CF71" s="1">
        <f>BF71</f>
        <v>1127</v>
      </c>
      <c r="CG71" s="1">
        <f>BG71</f>
        <v>1113</v>
      </c>
    </row>
    <row r="72" spans="2:96">
      <c r="B72" s="1" t="s">
        <v>64</v>
      </c>
      <c r="BB72" s="1">
        <v>6</v>
      </c>
      <c r="BC72" s="1">
        <v>6</v>
      </c>
      <c r="BD72" s="1">
        <v>74</v>
      </c>
      <c r="BE72" s="1">
        <v>70</v>
      </c>
      <c r="BF72" s="1">
        <v>93</v>
      </c>
      <c r="BG72" s="1">
        <v>124</v>
      </c>
      <c r="BH72" s="1">
        <v>221</v>
      </c>
      <c r="BI72" s="1">
        <v>228</v>
      </c>
      <c r="BJ72" s="1">
        <v>215</v>
      </c>
      <c r="BK72" s="1">
        <v>66</v>
      </c>
      <c r="CE72" s="1">
        <f t="shared" ref="CE72:CE82" si="156">BB72</f>
        <v>6</v>
      </c>
      <c r="CF72" s="1">
        <f t="shared" ref="CF72:CF82" si="157">BF72</f>
        <v>93</v>
      </c>
      <c r="CG72" s="1">
        <f t="shared" ref="CG72:CG82" si="158">BG72</f>
        <v>124</v>
      </c>
    </row>
    <row r="73" spans="2:96">
      <c r="B73" s="1" t="s">
        <v>1718</v>
      </c>
      <c r="BB73" s="1">
        <v>734</v>
      </c>
      <c r="BC73" s="1">
        <v>635</v>
      </c>
      <c r="BD73" s="1">
        <v>641</v>
      </c>
      <c r="BE73" s="1">
        <v>699</v>
      </c>
      <c r="BF73" s="1">
        <v>735</v>
      </c>
      <c r="BG73" s="1">
        <v>699</v>
      </c>
      <c r="BH73" s="1">
        <v>701</v>
      </c>
      <c r="BI73" s="1">
        <v>729</v>
      </c>
      <c r="BJ73" s="1">
        <v>854</v>
      </c>
      <c r="BK73" s="1">
        <v>738</v>
      </c>
      <c r="CE73" s="1">
        <f t="shared" si="156"/>
        <v>734</v>
      </c>
      <c r="CF73" s="1">
        <f t="shared" si="157"/>
        <v>735</v>
      </c>
      <c r="CG73" s="1">
        <f t="shared" si="158"/>
        <v>699</v>
      </c>
      <c r="CL73" s="47"/>
      <c r="CM73" s="48"/>
      <c r="CN73" s="47"/>
      <c r="CO73" s="48"/>
      <c r="CP73" s="49"/>
      <c r="CQ73" s="50"/>
      <c r="CR73" s="48"/>
    </row>
    <row r="74" spans="2:96" ht="13.5" customHeight="1">
      <c r="B74" s="1" t="s">
        <v>1719</v>
      </c>
      <c r="BB74" s="1">
        <v>587</v>
      </c>
      <c r="BC74" s="1">
        <v>584</v>
      </c>
      <c r="BD74" s="1">
        <v>561</v>
      </c>
      <c r="BE74" s="1">
        <v>574</v>
      </c>
      <c r="BF74" s="1">
        <v>547</v>
      </c>
      <c r="BG74" s="1">
        <v>537</v>
      </c>
      <c r="BH74" s="1">
        <v>575</v>
      </c>
      <c r="BI74" s="1">
        <v>590</v>
      </c>
      <c r="BJ74" s="1">
        <v>564</v>
      </c>
      <c r="BK74" s="1">
        <v>611</v>
      </c>
      <c r="CE74" s="1">
        <f t="shared" si="156"/>
        <v>587</v>
      </c>
      <c r="CF74" s="1">
        <f t="shared" si="157"/>
        <v>547</v>
      </c>
      <c r="CG74" s="1">
        <f t="shared" si="158"/>
        <v>537</v>
      </c>
      <c r="CI74" s="68" t="s">
        <v>109</v>
      </c>
      <c r="CL74" s="75" t="s">
        <v>131</v>
      </c>
      <c r="CM74" s="48"/>
      <c r="CN74" s="69" t="s">
        <v>108</v>
      </c>
      <c r="CO74" s="48"/>
      <c r="CP74" s="49" t="s">
        <v>110</v>
      </c>
      <c r="CQ74" s="50">
        <v>0.14749999999999999</v>
      </c>
      <c r="CR74" s="48"/>
    </row>
    <row r="75" spans="2:96" ht="13.5" customHeight="1">
      <c r="B75" s="1" t="s">
        <v>1725</v>
      </c>
      <c r="BB75" s="1">
        <v>234</v>
      </c>
      <c r="BC75" s="1">
        <v>250</v>
      </c>
      <c r="BD75" s="1">
        <v>263</v>
      </c>
      <c r="BE75" s="1">
        <v>161</v>
      </c>
      <c r="BF75" s="1">
        <v>244</v>
      </c>
      <c r="BG75" s="1">
        <v>200</v>
      </c>
      <c r="BH75" s="1">
        <v>210</v>
      </c>
      <c r="BI75" s="1">
        <v>199</v>
      </c>
      <c r="BJ75" s="1">
        <v>238</v>
      </c>
      <c r="BK75" s="1">
        <v>234</v>
      </c>
      <c r="CE75" s="1">
        <f t="shared" si="156"/>
        <v>234</v>
      </c>
      <c r="CF75" s="1">
        <f t="shared" si="157"/>
        <v>244</v>
      </c>
      <c r="CG75" s="1">
        <f t="shared" si="158"/>
        <v>200</v>
      </c>
      <c r="CI75" s="48">
        <v>2024</v>
      </c>
      <c r="CJ75" s="48">
        <v>2025</v>
      </c>
      <c r="CL75" s="47" t="s">
        <v>130</v>
      </c>
      <c r="CM75" s="48"/>
      <c r="CN75" s="48">
        <v>2025</v>
      </c>
      <c r="CO75" s="48"/>
      <c r="CP75" s="49" t="s">
        <v>111</v>
      </c>
      <c r="CQ75" s="50">
        <v>1.4999999999999999E-2</v>
      </c>
      <c r="CR75" s="48"/>
    </row>
    <row r="76" spans="2:96" ht="13.5" customHeight="1">
      <c r="B76" s="1" t="s">
        <v>1720</v>
      </c>
      <c r="BB76" s="1">
        <v>1007</v>
      </c>
      <c r="BC76" s="1">
        <v>964</v>
      </c>
      <c r="BD76" s="1">
        <v>859</v>
      </c>
      <c r="BE76" s="1">
        <v>832</v>
      </c>
      <c r="BF76" s="1">
        <v>815</v>
      </c>
      <c r="BG76" s="1">
        <v>782</v>
      </c>
      <c r="BH76" s="1">
        <v>764</v>
      </c>
      <c r="BI76" s="1">
        <v>748</v>
      </c>
      <c r="BJ76" s="1">
        <v>759</v>
      </c>
      <c r="BK76" s="1">
        <v>755</v>
      </c>
      <c r="CE76" s="1">
        <f t="shared" si="156"/>
        <v>1007</v>
      </c>
      <c r="CF76" s="1">
        <f t="shared" si="157"/>
        <v>815</v>
      </c>
      <c r="CG76" s="1">
        <f t="shared" si="158"/>
        <v>782</v>
      </c>
      <c r="CI76" s="52">
        <f>SUM(CF71:CF74)-CF87+CF77+CF81+CF80</f>
        <v>3282</v>
      </c>
      <c r="CJ76" s="52">
        <f>SUM(CG71:CG74)-CG87+CG77+CG81+CG80</f>
        <v>3270</v>
      </c>
      <c r="CL76" s="52">
        <f>AVERAGE(CI76:CJ76)</f>
        <v>3276</v>
      </c>
      <c r="CM76" s="48"/>
      <c r="CN76" s="51" t="e">
        <f>AVERAGE(CH58)*(1-CH69)</f>
        <v>#DIV/0!</v>
      </c>
      <c r="CO76" s="48"/>
      <c r="CP76" s="49" t="s">
        <v>112</v>
      </c>
      <c r="CQ76" s="50">
        <f>CL87</f>
        <v>4.24E-2</v>
      </c>
      <c r="CR76" s="48"/>
    </row>
    <row r="77" spans="2:96" ht="13.5" customHeight="1">
      <c r="B77" s="1" t="s">
        <v>1730</v>
      </c>
      <c r="BB77" s="1">
        <v>544</v>
      </c>
      <c r="BC77" s="1">
        <v>550</v>
      </c>
      <c r="BD77" s="1">
        <v>460</v>
      </c>
      <c r="BE77" s="1">
        <v>453</v>
      </c>
      <c r="BF77" s="1">
        <v>419</v>
      </c>
      <c r="BG77" s="1">
        <v>410</v>
      </c>
      <c r="BH77" s="1">
        <v>397</v>
      </c>
      <c r="BI77" s="1">
        <v>382</v>
      </c>
      <c r="BJ77" s="1">
        <v>370</v>
      </c>
      <c r="BK77" s="1">
        <v>371</v>
      </c>
      <c r="CE77" s="1">
        <f t="shared" si="156"/>
        <v>544</v>
      </c>
      <c r="CF77" s="1">
        <f t="shared" si="157"/>
        <v>419</v>
      </c>
      <c r="CG77" s="1">
        <f t="shared" si="158"/>
        <v>410</v>
      </c>
      <c r="CJ77" s="48"/>
      <c r="CK77" s="48"/>
      <c r="CL77" s="48"/>
      <c r="CM77" s="48"/>
      <c r="CN77" s="53" t="e">
        <f>CN76/CL76</f>
        <v>#DIV/0!</v>
      </c>
      <c r="CO77" s="48"/>
      <c r="CP77" s="49" t="s">
        <v>113</v>
      </c>
      <c r="CQ77" s="50">
        <f>8.69%-CQ76</f>
        <v>4.4499999999999991E-2</v>
      </c>
      <c r="CR77" s="48"/>
    </row>
    <row r="78" spans="2:96" ht="13.5" customHeight="1">
      <c r="B78" s="1" t="s">
        <v>1721</v>
      </c>
      <c r="BB78" s="1">
        <v>2545</v>
      </c>
      <c r="BC78" s="1">
        <v>2545</v>
      </c>
      <c r="BD78" s="1">
        <v>1079</v>
      </c>
      <c r="BE78" s="1">
        <v>1113</v>
      </c>
      <c r="BF78" s="1">
        <v>1113</v>
      </c>
      <c r="BG78" s="1">
        <v>1113</v>
      </c>
      <c r="BH78" s="1">
        <v>1113</v>
      </c>
      <c r="BI78" s="1">
        <v>1113</v>
      </c>
      <c r="BJ78" s="1">
        <v>1113</v>
      </c>
      <c r="BK78" s="1">
        <v>1284</v>
      </c>
      <c r="CE78" s="1">
        <f t="shared" si="156"/>
        <v>2545</v>
      </c>
      <c r="CF78" s="1">
        <f t="shared" si="157"/>
        <v>1113</v>
      </c>
      <c r="CG78" s="1">
        <f t="shared" si="158"/>
        <v>1113</v>
      </c>
      <c r="CJ78" s="48"/>
      <c r="CK78" s="48"/>
      <c r="CL78" s="48"/>
      <c r="CM78" s="48"/>
      <c r="CN78" s="53"/>
      <c r="CO78" s="48"/>
      <c r="CP78" s="49"/>
      <c r="CQ78" s="50"/>
      <c r="CR78" s="48"/>
    </row>
    <row r="79" spans="2:96" ht="13.5" customHeight="1">
      <c r="B79" s="1" t="s">
        <v>1722</v>
      </c>
      <c r="BB79" s="1">
        <v>2993</v>
      </c>
      <c r="BC79" s="1">
        <v>2940</v>
      </c>
      <c r="BD79" s="1">
        <v>278</v>
      </c>
      <c r="BE79" s="1">
        <v>305</v>
      </c>
      <c r="BF79" s="1">
        <v>295</v>
      </c>
      <c r="BG79" s="1">
        <v>278</v>
      </c>
      <c r="BH79" s="1">
        <v>238</v>
      </c>
      <c r="BI79" s="1">
        <v>225</v>
      </c>
      <c r="BJ79" s="1">
        <v>210</v>
      </c>
      <c r="BK79" s="1">
        <v>430</v>
      </c>
      <c r="CE79" s="1">
        <f t="shared" si="156"/>
        <v>2993</v>
      </c>
      <c r="CF79" s="1">
        <f t="shared" si="157"/>
        <v>295</v>
      </c>
      <c r="CG79" s="1">
        <f t="shared" si="158"/>
        <v>278</v>
      </c>
      <c r="CJ79" s="48"/>
      <c r="CK79" s="48"/>
      <c r="CL79" s="48"/>
      <c r="CM79" s="48"/>
      <c r="CN79" s="53"/>
      <c r="CO79" s="48"/>
      <c r="CP79" s="49"/>
      <c r="CQ79" s="50"/>
      <c r="CR79" s="48"/>
    </row>
    <row r="80" spans="2:96" ht="13.5" customHeight="1">
      <c r="B80" s="1" t="s">
        <v>1723</v>
      </c>
      <c r="BB80" s="1">
        <v>56</v>
      </c>
      <c r="BC80" s="1">
        <v>62</v>
      </c>
      <c r="BD80" s="1">
        <v>632</v>
      </c>
      <c r="BE80" s="1">
        <v>617</v>
      </c>
      <c r="BF80" s="1">
        <v>567</v>
      </c>
      <c r="BG80" s="1">
        <v>553</v>
      </c>
      <c r="BH80" s="1">
        <v>534</v>
      </c>
      <c r="BI80" s="1">
        <v>490</v>
      </c>
      <c r="BJ80" s="1">
        <v>454</v>
      </c>
      <c r="BK80" s="1">
        <v>458</v>
      </c>
      <c r="CE80" s="1">
        <f t="shared" si="156"/>
        <v>56</v>
      </c>
      <c r="CF80" s="1">
        <f t="shared" si="157"/>
        <v>567</v>
      </c>
      <c r="CG80" s="1">
        <f t="shared" si="158"/>
        <v>553</v>
      </c>
      <c r="CI80" s="54" t="s">
        <v>123</v>
      </c>
      <c r="CJ80" s="48"/>
      <c r="CK80" s="48"/>
      <c r="CM80" s="48"/>
      <c r="CN80" s="48"/>
      <c r="CO80" s="48"/>
      <c r="CP80" s="49" t="s">
        <v>114</v>
      </c>
      <c r="CQ80" s="55">
        <f>'Notes | Quant Analysis'!S206</f>
        <v>1.0053004247766544</v>
      </c>
      <c r="CR80" s="48"/>
    </row>
    <row r="81" spans="2:96" ht="13.5" customHeight="1">
      <c r="B81" s="1" t="s">
        <v>1724</v>
      </c>
      <c r="BB81" s="1">
        <v>357</v>
      </c>
      <c r="BC81" s="1">
        <v>396</v>
      </c>
      <c r="BD81" s="1">
        <v>314</v>
      </c>
      <c r="BE81" s="1">
        <v>321</v>
      </c>
      <c r="BF81" s="1">
        <v>348</v>
      </c>
      <c r="BG81" s="1">
        <v>373</v>
      </c>
      <c r="BH81" s="1">
        <v>400</v>
      </c>
      <c r="BI81" s="1">
        <v>423</v>
      </c>
      <c r="BJ81" s="1">
        <v>449</v>
      </c>
      <c r="BK81" s="1">
        <v>523</v>
      </c>
      <c r="CE81" s="1">
        <f t="shared" si="156"/>
        <v>357</v>
      </c>
      <c r="CF81" s="1">
        <f t="shared" si="157"/>
        <v>348</v>
      </c>
      <c r="CG81" s="1">
        <f t="shared" si="158"/>
        <v>373</v>
      </c>
      <c r="CI81" s="61" t="s">
        <v>124</v>
      </c>
      <c r="CL81" s="51">
        <f>Main!C5</f>
        <v>28547.284000000003</v>
      </c>
      <c r="CM81" s="48"/>
      <c r="CO81" s="48"/>
      <c r="CP81" s="49" t="s">
        <v>115</v>
      </c>
      <c r="CQ81" s="50">
        <f>+CQ76+(CQ77*CQ80)</f>
        <v>8.7135868902561114E-2</v>
      </c>
      <c r="CR81" s="48"/>
    </row>
    <row r="82" spans="2:96" ht="13.5" customHeight="1">
      <c r="B82" s="2" t="s">
        <v>132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>
        <f t="shared" ref="BB82" si="159">SUM(BB71:BB81)</f>
        <v>10111</v>
      </c>
      <c r="BC82" s="2">
        <f>SUM(BC70:BC81)</f>
        <v>10040</v>
      </c>
      <c r="BD82" s="2">
        <f t="shared" ref="BD82:BI82" si="160">SUM(BD71:BD81)</f>
        <v>6081</v>
      </c>
      <c r="BE82" s="2">
        <f t="shared" si="160"/>
        <v>6014</v>
      </c>
      <c r="BF82" s="2">
        <f t="shared" si="160"/>
        <v>6303</v>
      </c>
      <c r="BG82" s="2">
        <f t="shared" si="160"/>
        <v>6182</v>
      </c>
      <c r="BH82" s="2">
        <f t="shared" si="160"/>
        <v>6087</v>
      </c>
      <c r="BI82" s="2">
        <f t="shared" si="160"/>
        <v>6177</v>
      </c>
      <c r="BJ82" s="2">
        <f>SUM(BJ71:BJ81)</f>
        <v>6644</v>
      </c>
      <c r="BK82" s="2">
        <f>SUM(BK71:BK81)</f>
        <v>6559</v>
      </c>
      <c r="CE82" s="2">
        <f t="shared" si="156"/>
        <v>10111</v>
      </c>
      <c r="CF82" s="2">
        <f t="shared" si="157"/>
        <v>6303</v>
      </c>
      <c r="CG82" s="2">
        <f t="shared" si="158"/>
        <v>6182</v>
      </c>
      <c r="CI82" s="61" t="s">
        <v>125</v>
      </c>
      <c r="CL82" s="60">
        <f>Main!C7/(Main!C7+CL81)</f>
        <v>6.5135626849684783E-2</v>
      </c>
      <c r="CM82" s="54"/>
      <c r="CO82" s="48"/>
      <c r="CP82" s="49"/>
      <c r="CQ82" s="48"/>
      <c r="CR82" s="48"/>
    </row>
    <row r="83" spans="2:96" ht="13.5" customHeight="1">
      <c r="CI83" s="61" t="s">
        <v>126</v>
      </c>
      <c r="CL83" s="60">
        <f>CL81/(CL81+Main!C7)</f>
        <v>0.93486437315031523</v>
      </c>
      <c r="CM83" s="48"/>
      <c r="CO83" s="48"/>
      <c r="CP83" s="49" t="s">
        <v>116</v>
      </c>
      <c r="CQ83" s="51">
        <f>NPV(CQ81,CH60:EE60)</f>
        <v>0</v>
      </c>
      <c r="CR83" s="48"/>
    </row>
    <row r="84" spans="2:96" ht="13.5" customHeight="1">
      <c r="B84" s="1" t="s">
        <v>1726</v>
      </c>
      <c r="BB84" s="1">
        <v>245</v>
      </c>
      <c r="BC84" s="1">
        <v>201</v>
      </c>
      <c r="BD84" s="1">
        <v>199</v>
      </c>
      <c r="BE84" s="1">
        <v>191</v>
      </c>
      <c r="BF84" s="1">
        <v>221</v>
      </c>
      <c r="BG84" s="1">
        <v>207</v>
      </c>
      <c r="BH84" s="1">
        <v>200</v>
      </c>
      <c r="BI84" s="1">
        <v>218</v>
      </c>
      <c r="BJ84" s="1">
        <v>240</v>
      </c>
      <c r="BK84" s="1">
        <v>218</v>
      </c>
      <c r="CE84" s="1">
        <f t="shared" ref="CE84:CE92" si="161">BB84</f>
        <v>245</v>
      </c>
      <c r="CF84" s="1">
        <f t="shared" ref="CF84:CF92" si="162">BF84</f>
        <v>221</v>
      </c>
      <c r="CG84" s="1">
        <f t="shared" ref="CG84:CG92" si="163">BG84</f>
        <v>207</v>
      </c>
      <c r="CI84" s="62" t="s">
        <v>139</v>
      </c>
      <c r="CJ84" s="34"/>
      <c r="CK84" s="34"/>
      <c r="CL84" s="63" t="e">
        <f>#REF!/#REF!</f>
        <v>#REF!</v>
      </c>
      <c r="CM84" s="48"/>
      <c r="CN84" s="48"/>
      <c r="CO84" s="48"/>
      <c r="CP84" s="49" t="s">
        <v>75</v>
      </c>
      <c r="CQ84" s="52">
        <f>Main!C4</f>
        <v>151.30000000000001</v>
      </c>
      <c r="CR84" s="64"/>
    </row>
    <row r="85" spans="2:96" ht="13.5" customHeight="1">
      <c r="B85" s="1" t="s">
        <v>1727</v>
      </c>
      <c r="BB85" s="1">
        <v>1325</v>
      </c>
      <c r="BC85" s="1">
        <v>1273</v>
      </c>
      <c r="BD85" s="1">
        <v>1265</v>
      </c>
      <c r="BE85" s="1">
        <v>784</v>
      </c>
      <c r="BF85" s="1">
        <v>827</v>
      </c>
      <c r="BG85" s="1">
        <v>734</v>
      </c>
      <c r="BH85" s="1">
        <v>762</v>
      </c>
      <c r="BI85" s="1">
        <v>746</v>
      </c>
      <c r="BJ85" s="1">
        <v>846</v>
      </c>
      <c r="BK85" s="1">
        <v>849</v>
      </c>
      <c r="CE85" s="1">
        <f t="shared" si="161"/>
        <v>1325</v>
      </c>
      <c r="CF85" s="1">
        <f t="shared" si="162"/>
        <v>827</v>
      </c>
      <c r="CG85" s="1">
        <f t="shared" si="163"/>
        <v>734</v>
      </c>
      <c r="CM85" s="48"/>
      <c r="CN85" s="48"/>
      <c r="CO85" s="48"/>
      <c r="CP85" s="49" t="s">
        <v>117</v>
      </c>
      <c r="CQ85" s="55">
        <f>CQ83/CQ84</f>
        <v>0</v>
      </c>
      <c r="CR85" s="47"/>
    </row>
    <row r="86" spans="2:96" ht="13.5" customHeight="1">
      <c r="B86" s="1" t="s">
        <v>1728</v>
      </c>
      <c r="BB86" s="1">
        <v>0</v>
      </c>
      <c r="BC86" s="1">
        <v>0</v>
      </c>
      <c r="BD86" s="1">
        <v>744</v>
      </c>
      <c r="BE86" s="1">
        <v>0</v>
      </c>
      <c r="BF86" s="1">
        <v>499</v>
      </c>
      <c r="BG86" s="1">
        <v>499</v>
      </c>
      <c r="BH86" s="1">
        <v>499</v>
      </c>
      <c r="BI86" s="1">
        <v>998</v>
      </c>
      <c r="BJ86" s="1">
        <v>499</v>
      </c>
      <c r="BK86" s="1">
        <v>499</v>
      </c>
      <c r="CE86" s="1">
        <f t="shared" si="161"/>
        <v>0</v>
      </c>
      <c r="CF86" s="1">
        <f t="shared" si="162"/>
        <v>499</v>
      </c>
      <c r="CG86" s="1">
        <f t="shared" si="163"/>
        <v>499</v>
      </c>
      <c r="CI86" s="34" t="s">
        <v>122</v>
      </c>
      <c r="CL86" s="48"/>
      <c r="CM86" s="54"/>
      <c r="CN86" s="54"/>
      <c r="CO86" s="54"/>
      <c r="CP86" s="49" t="s">
        <v>118</v>
      </c>
      <c r="CQ86" s="55">
        <f>Main!C3</f>
        <v>188.68</v>
      </c>
      <c r="CR86" s="56"/>
    </row>
    <row r="87" spans="2:96" ht="13.5" customHeight="1">
      <c r="B87" s="1" t="s">
        <v>1729</v>
      </c>
      <c r="BB87" s="1">
        <v>687</v>
      </c>
      <c r="BC87" s="1">
        <v>700</v>
      </c>
      <c r="BD87" s="1">
        <v>616</v>
      </c>
      <c r="BE87" s="1">
        <v>613</v>
      </c>
      <c r="BF87" s="1">
        <v>554</v>
      </c>
      <c r="BG87" s="1">
        <v>539</v>
      </c>
      <c r="BH87" s="1">
        <v>528</v>
      </c>
      <c r="BI87" s="1">
        <v>506</v>
      </c>
      <c r="BJ87" s="1">
        <v>486</v>
      </c>
      <c r="BK87" s="1">
        <v>475</v>
      </c>
      <c r="CE87" s="1">
        <f t="shared" si="161"/>
        <v>687</v>
      </c>
      <c r="CF87" s="1">
        <f t="shared" si="162"/>
        <v>554</v>
      </c>
      <c r="CG87" s="1">
        <f t="shared" si="163"/>
        <v>539</v>
      </c>
      <c r="CI87" s="65" t="s">
        <v>112</v>
      </c>
      <c r="CL87" s="60">
        <v>4.24E-2</v>
      </c>
      <c r="CM87" s="48"/>
      <c r="CN87" s="48"/>
      <c r="CO87" s="48"/>
      <c r="CP87" s="49" t="s">
        <v>119</v>
      </c>
      <c r="CQ87" s="50">
        <f>CQ85/CQ86-1</f>
        <v>-1</v>
      </c>
      <c r="CR87" s="47" t="str">
        <f>IF(CQ87&gt;0,"Upside","Downside")</f>
        <v>Downside</v>
      </c>
    </row>
    <row r="88" spans="2:96" ht="13.5" customHeight="1">
      <c r="B88" s="1" t="s">
        <v>1731</v>
      </c>
      <c r="BB88" s="1">
        <v>1489</v>
      </c>
      <c r="BC88" s="1">
        <v>1490</v>
      </c>
      <c r="BD88" s="1">
        <v>1490</v>
      </c>
      <c r="BE88" s="1">
        <v>1988</v>
      </c>
      <c r="BF88" s="1">
        <v>1490</v>
      </c>
      <c r="BG88" s="1">
        <v>1491</v>
      </c>
      <c r="BH88" s="1">
        <v>1492</v>
      </c>
      <c r="BI88" s="1">
        <v>994</v>
      </c>
      <c r="BJ88" s="1">
        <v>1490</v>
      </c>
      <c r="BK88" s="1">
        <v>1490</v>
      </c>
      <c r="CE88" s="1">
        <f t="shared" si="161"/>
        <v>1489</v>
      </c>
      <c r="CF88" s="1">
        <f t="shared" si="162"/>
        <v>1490</v>
      </c>
      <c r="CG88" s="1">
        <f t="shared" si="163"/>
        <v>1491</v>
      </c>
      <c r="CI88" s="65" t="s">
        <v>114</v>
      </c>
      <c r="CL88" s="55">
        <f>'Notes | Quant Analysis'!S206</f>
        <v>1.0053004247766544</v>
      </c>
      <c r="CP88" s="76" t="str" cm="1">
        <f t="array" ref="CP88">_xlfn.IFS(CQ87&gt;=25%,"Strong Buy",CQ87&gt;=10.00001%,"Buy",AND(CQ87&lt;=10%,CQ87&gt;=-4.9999%),"Hold",AND(CQ87&lt;=-5%,CQ87&gt;=-14.999999%),"Sell",CQ87&lt;=-15%,"Strong Sell")</f>
        <v>Strong Sell</v>
      </c>
      <c r="CQ88" s="76"/>
    </row>
    <row r="89" spans="2:96" ht="13.5" customHeight="1">
      <c r="B89" s="1" t="s">
        <v>1732</v>
      </c>
      <c r="BB89" s="1">
        <v>620</v>
      </c>
      <c r="BC89" s="1">
        <v>642</v>
      </c>
      <c r="BD89" s="1">
        <v>331</v>
      </c>
      <c r="BE89" s="1">
        <v>313</v>
      </c>
      <c r="BF89" s="1">
        <v>339</v>
      </c>
      <c r="BG89" s="1">
        <v>344</v>
      </c>
      <c r="BH89" s="1">
        <v>348</v>
      </c>
      <c r="BI89" s="1">
        <v>334</v>
      </c>
      <c r="BJ89" s="1">
        <v>360</v>
      </c>
      <c r="BK89" s="1">
        <v>352</v>
      </c>
      <c r="CE89" s="1">
        <f t="shared" si="161"/>
        <v>620</v>
      </c>
      <c r="CF89" s="1">
        <f t="shared" si="162"/>
        <v>339</v>
      </c>
      <c r="CG89" s="1">
        <f t="shared" si="163"/>
        <v>344</v>
      </c>
      <c r="CI89" s="61" t="s">
        <v>127</v>
      </c>
      <c r="CL89" s="60">
        <v>0.14330000000000001</v>
      </c>
    </row>
    <row r="90" spans="2:96" ht="13.5" customHeight="1">
      <c r="B90" s="2" t="s">
        <v>133</v>
      </c>
      <c r="AT90" s="2"/>
      <c r="AU90" s="2"/>
      <c r="AV90" s="2"/>
      <c r="AW90" s="2"/>
      <c r="AX90" s="2"/>
      <c r="AY90" s="2"/>
      <c r="AZ90" s="2"/>
      <c r="BA90" s="2"/>
      <c r="BB90" s="2">
        <f t="shared" ref="BB90:BI90" si="164">SUM(BB84:BB89)</f>
        <v>4366</v>
      </c>
      <c r="BC90" s="2">
        <f t="shared" si="164"/>
        <v>4306</v>
      </c>
      <c r="BD90" s="2">
        <f t="shared" si="164"/>
        <v>4645</v>
      </c>
      <c r="BE90" s="2">
        <f t="shared" si="164"/>
        <v>3889</v>
      </c>
      <c r="BF90" s="2">
        <f t="shared" si="164"/>
        <v>3930</v>
      </c>
      <c r="BG90" s="2">
        <f t="shared" si="164"/>
        <v>3814</v>
      </c>
      <c r="BH90" s="2">
        <f t="shared" si="164"/>
        <v>3829</v>
      </c>
      <c r="BI90" s="2">
        <f t="shared" si="164"/>
        <v>3796</v>
      </c>
      <c r="BJ90" s="2">
        <f>SUM(BJ84:BJ89)</f>
        <v>3921</v>
      </c>
      <c r="BK90" s="2">
        <f>SUM(BK84:BK89)</f>
        <v>3883</v>
      </c>
      <c r="CE90" s="2">
        <f t="shared" si="161"/>
        <v>4366</v>
      </c>
      <c r="CF90" s="2">
        <f t="shared" si="162"/>
        <v>3930</v>
      </c>
      <c r="CG90" s="2">
        <f t="shared" si="163"/>
        <v>3814</v>
      </c>
      <c r="CI90" s="62" t="s">
        <v>128</v>
      </c>
      <c r="CJ90" s="48"/>
      <c r="CK90" s="2"/>
      <c r="CL90" s="63">
        <f>(CL87+CL88)*(CL89-CL87)</f>
        <v>0.10571297285996445</v>
      </c>
    </row>
    <row r="91" spans="2:96" ht="13.5" customHeight="1">
      <c r="B91" s="1" t="s">
        <v>134</v>
      </c>
      <c r="BB91" s="1">
        <v>5745</v>
      </c>
      <c r="BC91" s="1">
        <v>5734</v>
      </c>
      <c r="BD91" s="1">
        <v>6081</v>
      </c>
      <c r="BE91" s="1">
        <v>2125</v>
      </c>
      <c r="BF91" s="1">
        <v>2373</v>
      </c>
      <c r="BG91" s="1">
        <v>2368</v>
      </c>
      <c r="BH91" s="1">
        <v>2258</v>
      </c>
      <c r="BI91" s="1">
        <v>2381</v>
      </c>
      <c r="BJ91" s="1">
        <v>2723</v>
      </c>
      <c r="BK91" s="1">
        <v>2676</v>
      </c>
      <c r="CE91" s="1">
        <f t="shared" si="161"/>
        <v>5745</v>
      </c>
      <c r="CF91" s="1">
        <f t="shared" si="162"/>
        <v>2373</v>
      </c>
      <c r="CG91" s="1">
        <f t="shared" si="163"/>
        <v>2368</v>
      </c>
      <c r="CI91" s="66"/>
    </row>
    <row r="92" spans="2:96" ht="13.5" customHeight="1">
      <c r="B92" s="2" t="s">
        <v>135</v>
      </c>
      <c r="AT92" s="2"/>
      <c r="AU92" s="2"/>
      <c r="AV92" s="2"/>
      <c r="AW92" s="2"/>
      <c r="AX92" s="2"/>
      <c r="AY92" s="2"/>
      <c r="AZ92" s="2"/>
      <c r="BA92" s="2"/>
      <c r="BB92" s="2">
        <f t="shared" ref="AX92:BI92" si="165">BB90+BB91</f>
        <v>10111</v>
      </c>
      <c r="BC92" s="2">
        <f t="shared" si="165"/>
        <v>10040</v>
      </c>
      <c r="BD92" s="2">
        <f t="shared" si="165"/>
        <v>10726</v>
      </c>
      <c r="BE92" s="2">
        <f t="shared" si="165"/>
        <v>6014</v>
      </c>
      <c r="BF92" s="2">
        <f t="shared" si="165"/>
        <v>6303</v>
      </c>
      <c r="BG92" s="2">
        <f t="shared" si="165"/>
        <v>6182</v>
      </c>
      <c r="BH92" s="2">
        <f t="shared" si="165"/>
        <v>6087</v>
      </c>
      <c r="BI92" s="2">
        <f t="shared" si="165"/>
        <v>6177</v>
      </c>
      <c r="BJ92" s="2">
        <f>BJ90+BJ91</f>
        <v>6644</v>
      </c>
      <c r="BK92" s="2">
        <f>BK90+BK91</f>
        <v>6559</v>
      </c>
      <c r="CE92" s="2">
        <f t="shared" si="161"/>
        <v>10111</v>
      </c>
      <c r="CF92" s="2">
        <f t="shared" si="162"/>
        <v>6303</v>
      </c>
      <c r="CG92" s="2">
        <f t="shared" si="163"/>
        <v>6182</v>
      </c>
      <c r="CI92" s="34" t="s">
        <v>129</v>
      </c>
      <c r="CJ92" s="67"/>
      <c r="CL92" s="59"/>
    </row>
    <row r="94" spans="2:96">
      <c r="B94" s="1" t="s">
        <v>65</v>
      </c>
      <c r="BB94" s="70">
        <f t="shared" ref="BB94:BI94" si="166">SUM(BB71:BB75)/SUM(BB84:BB86)</f>
        <v>1.6617834394904458</v>
      </c>
      <c r="BC94" s="70">
        <f t="shared" si="166"/>
        <v>1.7523744911804613</v>
      </c>
      <c r="BD94" s="70">
        <f t="shared" si="166"/>
        <v>1.113677536231884</v>
      </c>
      <c r="BE94" s="70">
        <f t="shared" si="166"/>
        <v>2.433846153846154</v>
      </c>
      <c r="BF94" s="70">
        <f t="shared" si="166"/>
        <v>1.7750484809308338</v>
      </c>
      <c r="BG94" s="70">
        <f t="shared" si="166"/>
        <v>1.85625</v>
      </c>
      <c r="BH94" s="70">
        <f t="shared" si="166"/>
        <v>1.8076659822039698</v>
      </c>
      <c r="BI94" s="70">
        <f t="shared" si="166"/>
        <v>1.4250764525993884</v>
      </c>
      <c r="BJ94" s="70">
        <f>SUM(BJ71:BJ75)/SUM(BJ84:BJ86)</f>
        <v>2.0750788643533125</v>
      </c>
      <c r="BK94" s="70">
        <f>SUM(BK71:BK75)/SUM(BK84:BK86)</f>
        <v>1.7484035759897829</v>
      </c>
      <c r="CE94" s="70">
        <f t="shared" ref="CE94:CG94" si="167">SUM(CE71:CE75)/SUM(CE84:CE86)</f>
        <v>1.6617834394904458</v>
      </c>
      <c r="CF94" s="70">
        <f t="shared" si="167"/>
        <v>1.7750484809308338</v>
      </c>
      <c r="CG94" s="70">
        <f t="shared" si="167"/>
        <v>1.85625</v>
      </c>
    </row>
    <row r="95" spans="2:96">
      <c r="B95" s="1" t="s">
        <v>66</v>
      </c>
      <c r="BB95" s="70">
        <f t="shared" ref="BB95:BI95" si="168">(SUM(BB71:BB75)-BB74)/SUM(BB84:BB86)</f>
        <v>1.2878980891719745</v>
      </c>
      <c r="BC95" s="70">
        <f t="shared" si="168"/>
        <v>1.3561736770691994</v>
      </c>
      <c r="BD95" s="70">
        <f t="shared" si="168"/>
        <v>0.85960144927536231</v>
      </c>
      <c r="BE95" s="70">
        <f t="shared" si="168"/>
        <v>1.8451282051282052</v>
      </c>
      <c r="BF95" s="70">
        <f t="shared" si="168"/>
        <v>1.4214608920491274</v>
      </c>
      <c r="BG95" s="70">
        <f t="shared" si="168"/>
        <v>1.4833333333333334</v>
      </c>
      <c r="BH95" s="70">
        <f t="shared" si="168"/>
        <v>1.4140999315537304</v>
      </c>
      <c r="BI95" s="70">
        <f t="shared" si="168"/>
        <v>1.1243628950050968</v>
      </c>
      <c r="BJ95" s="70">
        <f>(SUM(BJ71:BJ75)-BJ74)/SUM(BJ84:BJ86)</f>
        <v>1.7192429022082019</v>
      </c>
      <c r="BK95" s="70">
        <f>(SUM(BK71:BK75)-BK74)/SUM(BK84:BK86)</f>
        <v>1.3582375478927202</v>
      </c>
      <c r="CE95" s="70">
        <f t="shared" ref="CE95:CG95" si="169">(SUM(CE71:CE75)-CE74)/SUM(CE84:CE86)</f>
        <v>1.2878980891719745</v>
      </c>
      <c r="CF95" s="70">
        <f t="shared" si="169"/>
        <v>1.4214608920491274</v>
      </c>
      <c r="CG95" s="70">
        <f t="shared" si="169"/>
        <v>1.4833333333333334</v>
      </c>
    </row>
    <row r="96" spans="2:96">
      <c r="B96" s="1" t="s">
        <v>67</v>
      </c>
      <c r="BB96" s="70">
        <f t="shared" ref="BB96:BI96" si="170">(BB72+BB71)/SUM(BB84:BB86)</f>
        <v>0.67133757961783436</v>
      </c>
      <c r="BC96" s="70">
        <f t="shared" si="170"/>
        <v>0.75576662143826323</v>
      </c>
      <c r="BD96" s="70">
        <f t="shared" si="170"/>
        <v>0.45018115942028986</v>
      </c>
      <c r="BE96" s="70">
        <f t="shared" si="170"/>
        <v>0.96307692307692305</v>
      </c>
      <c r="BF96" s="70">
        <f t="shared" si="170"/>
        <v>0.78862314156431801</v>
      </c>
      <c r="BG96" s="70">
        <f t="shared" si="170"/>
        <v>0.85902777777777772</v>
      </c>
      <c r="BH96" s="70">
        <f t="shared" si="170"/>
        <v>0.79055441478439425</v>
      </c>
      <c r="BI96" s="70">
        <f t="shared" si="170"/>
        <v>0.65137614678899081</v>
      </c>
      <c r="BJ96" s="70">
        <f>(BJ72+BJ71)/SUM(BJ84:BJ86)</f>
        <v>1.0302839116719242</v>
      </c>
      <c r="BK96" s="70">
        <f>(BK72+BK71)/SUM(BK84:BK86)</f>
        <v>0.73754789272030652</v>
      </c>
      <c r="CE96" s="70">
        <f t="shared" ref="CE96:CG96" si="171">(CE72+CE71)/SUM(CE84:CE86)</f>
        <v>0.67133757961783436</v>
      </c>
      <c r="CF96" s="70">
        <f t="shared" si="171"/>
        <v>0.78862314156431801</v>
      </c>
      <c r="CG96" s="70">
        <f t="shared" si="171"/>
        <v>0.85902777777777772</v>
      </c>
    </row>
    <row r="97" spans="2:147">
      <c r="B97" s="1" t="s">
        <v>137</v>
      </c>
      <c r="BB97" s="70">
        <f t="shared" ref="BB97:BI97" si="172">BB49/SUM(BB77:BB78)</f>
        <v>0.36322434444804141</v>
      </c>
      <c r="BC97" s="70">
        <f t="shared" si="172"/>
        <v>0.34765751211631662</v>
      </c>
      <c r="BD97" s="70">
        <f t="shared" si="172"/>
        <v>0.72254710851202075</v>
      </c>
      <c r="BE97" s="70">
        <f t="shared" si="172"/>
        <v>0.68965517241379315</v>
      </c>
      <c r="BF97" s="70">
        <f t="shared" si="172"/>
        <v>0.72062663185378595</v>
      </c>
      <c r="BG97" s="70">
        <f t="shared" si="172"/>
        <v>0.6835193696651346</v>
      </c>
      <c r="BH97" s="70">
        <f t="shared" si="172"/>
        <v>0.70132450331125828</v>
      </c>
      <c r="BI97" s="70">
        <f t="shared" si="172"/>
        <v>0.72508361204013383</v>
      </c>
      <c r="BJ97" s="70">
        <f>BJ49/SUM(BJ77:BJ78)</f>
        <v>0.78152393796358732</v>
      </c>
      <c r="BK97" s="70">
        <f>BK49/SUM(BK77:BK78)</f>
        <v>0.65921450151057404</v>
      </c>
      <c r="CE97" s="70">
        <f t="shared" ref="CE97:CG97" si="173">CE49/SUM(CE77:CE78)</f>
        <v>1.4580770475882163</v>
      </c>
      <c r="CF97" s="70">
        <f t="shared" si="173"/>
        <v>2.85378590078329</v>
      </c>
      <c r="CG97" s="70">
        <f t="shared" si="173"/>
        <v>2.8516086671043994</v>
      </c>
    </row>
    <row r="98" spans="2:147">
      <c r="B98" s="1" t="s">
        <v>138</v>
      </c>
      <c r="BB98" s="70">
        <f t="shared" ref="BB98:BI98" si="174">BB49/BB82</f>
        <v>0.110968252398378</v>
      </c>
      <c r="BC98" s="70">
        <f t="shared" si="174"/>
        <v>0.10717131474103586</v>
      </c>
      <c r="BD98" s="70">
        <f t="shared" si="174"/>
        <v>0.18286466041769445</v>
      </c>
      <c r="BE98" s="70">
        <f t="shared" si="174"/>
        <v>0.17958097771865647</v>
      </c>
      <c r="BF98" s="70">
        <f t="shared" si="174"/>
        <v>0.17515468824369348</v>
      </c>
      <c r="BG98" s="70">
        <f t="shared" si="174"/>
        <v>0.16839210611452604</v>
      </c>
      <c r="BH98" s="70">
        <f t="shared" si="174"/>
        <v>0.17397732873336619</v>
      </c>
      <c r="BI98" s="70">
        <f t="shared" si="174"/>
        <v>0.17548971992876802</v>
      </c>
      <c r="BJ98" s="70">
        <f>BJ49/BJ82</f>
        <v>0.17444310656231185</v>
      </c>
      <c r="BK98" s="70">
        <f>BK49/BK82</f>
        <v>0.16633633175788992</v>
      </c>
      <c r="CE98" s="70">
        <f t="shared" ref="CE98:CG98" si="175">CE49/CE82</f>
        <v>0.44545544456532488</v>
      </c>
      <c r="CF98" s="70">
        <f t="shared" si="175"/>
        <v>0.69363795018245278</v>
      </c>
      <c r="CG98" s="70">
        <f t="shared" si="175"/>
        <v>0.70252345519249437</v>
      </c>
    </row>
    <row r="99" spans="2:147">
      <c r="B99" s="1" t="s">
        <v>68</v>
      </c>
      <c r="BB99" s="70">
        <f t="array" ref="BB99">BB50/AVERAGE(AY74:BB74)</f>
        <v>0.76490630323679731</v>
      </c>
      <c r="BC99" s="70">
        <f t="array" ref="BC99">BC50/AVERAGE(AZ74:BC74)</f>
        <v>0.69854824935952176</v>
      </c>
      <c r="BD99" s="70">
        <f t="array" ref="BD99">BD50/AVERAGE(BA74:BD74)</f>
        <v>0.6772517321016166</v>
      </c>
      <c r="BE99" s="70">
        <f t="array" ref="BE99">BE50/AVERAGE(BB74:BE74)</f>
        <v>0.58109280138768427</v>
      </c>
      <c r="BF99" s="70">
        <f t="array" ref="BF99">BF50/AVERAGE(BC74:BF74)</f>
        <v>0.66372462488967343</v>
      </c>
      <c r="BG99" s="70">
        <f t="array" ref="BG99">BG50/AVERAGE(BD74:BG74)</f>
        <v>0.64533573681838663</v>
      </c>
      <c r="BH99" s="70">
        <f t="array" ref="BH99">BH50/AVERAGE(BE74:BH74)</f>
        <v>0.65203761755485889</v>
      </c>
      <c r="BI99" s="70">
        <f t="array" ref="BI99">BI50/AVERAGE(BF74:BI74)</f>
        <v>0.62427745664739887</v>
      </c>
      <c r="BJ99" s="70">
        <f t="array" ref="BJ99">BJ50/AVERAGE(BG74:BJ74)</f>
        <v>0.70609002647837604</v>
      </c>
      <c r="BK99" s="70">
        <f t="array" ref="BK99">BK50/AVERAGE(BH74:BK74)</f>
        <v>0.63247863247863245</v>
      </c>
      <c r="CE99" s="70">
        <f t="array" ref="CE99">CE50/AVERAGE(CB74:CE74)</f>
        <v>2.9982964224872233</v>
      </c>
      <c r="CF99" s="70">
        <f t="array" ref="CF99">CF50/AVERAGE(CC74:CF74)</f>
        <v>2.6649029982363315</v>
      </c>
      <c r="CG99" s="70">
        <f t="array" ref="CG99">CG50/AVERAGE(CD74:CG74)</f>
        <v>2.644524236983842</v>
      </c>
    </row>
    <row r="100" spans="2:147">
      <c r="B100" s="1" t="s">
        <v>69</v>
      </c>
      <c r="BB100" s="71">
        <f t="shared" ref="BB100:BI100" si="176">BB60/BB82</f>
        <v>-1.869251310453961E-2</v>
      </c>
      <c r="BC100" s="71">
        <f t="shared" si="176"/>
        <v>-1.2549800796812749E-2</v>
      </c>
      <c r="BD100" s="71">
        <f t="shared" si="176"/>
        <v>-1.6773556980759743E-2</v>
      </c>
      <c r="BE100" s="71">
        <f t="shared" si="176"/>
        <v>3.608247422680412E-2</v>
      </c>
      <c r="BF100" s="71">
        <f t="shared" si="176"/>
        <v>5.8226241472314769E-2</v>
      </c>
      <c r="BG100" s="71">
        <f t="shared" si="176"/>
        <v>2.1190553219022971E-2</v>
      </c>
      <c r="BH100" s="71">
        <f t="shared" si="176"/>
        <v>3.8606867093806473E-2</v>
      </c>
      <c r="BI100" s="71">
        <f t="shared" si="176"/>
        <v>2.4283632831471589E-2</v>
      </c>
      <c r="BJ100" s="71">
        <f>BJ60/BJ82</f>
        <v>5.0270921131848285E-2</v>
      </c>
      <c r="BK100" s="71">
        <f>BK60/BK82</f>
        <v>2.0429943588961733E-2</v>
      </c>
      <c r="CE100" s="71">
        <f t="shared" ref="CE100:CG100" si="177">CE60/CE82</f>
        <v>-3.1055286321827712E-2</v>
      </c>
      <c r="CF100" s="71">
        <f t="shared" si="177"/>
        <v>5.6481040774234492E-2</v>
      </c>
      <c r="CG100" s="71">
        <f t="shared" si="177"/>
        <v>0.13749595600129408</v>
      </c>
    </row>
    <row r="101" spans="2:147">
      <c r="B101" s="1" t="s">
        <v>70</v>
      </c>
      <c r="BB101" s="71">
        <f t="shared" ref="BB101:BI101" si="178">BB60/BB91</f>
        <v>-3.2898172323759793E-2</v>
      </c>
      <c r="BC101" s="71">
        <f t="shared" si="178"/>
        <v>-2.1974189047785142E-2</v>
      </c>
      <c r="BD101" s="71">
        <f t="shared" si="178"/>
        <v>-1.6773556980759743E-2</v>
      </c>
      <c r="BE101" s="71">
        <f t="shared" si="178"/>
        <v>0.10211764705882354</v>
      </c>
      <c r="BF101" s="71">
        <f t="shared" si="178"/>
        <v>0.15465655288664137</v>
      </c>
      <c r="BG101" s="71">
        <f t="shared" si="178"/>
        <v>5.5320945945945943E-2</v>
      </c>
      <c r="BH101" s="71">
        <f t="shared" si="178"/>
        <v>0.10407440212577503</v>
      </c>
      <c r="BI101" s="71">
        <f t="shared" si="178"/>
        <v>6.2998740025199493E-2</v>
      </c>
      <c r="BJ101" s="71">
        <f>BJ60/BJ91</f>
        <v>0.1226588321704003</v>
      </c>
      <c r="BK101" s="71">
        <f>BK60/BK91</f>
        <v>5.0074738415545592E-2</v>
      </c>
      <c r="CE101" s="71">
        <f t="shared" ref="CE101:CG101" si="179">CE60/CE91</f>
        <v>-5.4656222802436899E-2</v>
      </c>
      <c r="CF101" s="71">
        <f t="shared" si="179"/>
        <v>0.15002107037505269</v>
      </c>
      <c r="CG101" s="71">
        <f t="shared" si="179"/>
        <v>0.35895270270270269</v>
      </c>
    </row>
    <row r="103" spans="2:147">
      <c r="B103" s="1" t="s">
        <v>71</v>
      </c>
      <c r="C103" s="87">
        <f t="shared" ref="C103:BB103" si="180">C60</f>
        <v>26.928999999999988</v>
      </c>
      <c r="D103" s="87">
        <f t="shared" si="180"/>
        <v>37.931999999999988</v>
      </c>
      <c r="E103" s="87">
        <f t="shared" si="180"/>
        <v>24.072000000000003</v>
      </c>
      <c r="F103" s="87">
        <f t="shared" si="180"/>
        <v>48.576000000000015</v>
      </c>
      <c r="G103" s="87">
        <f t="shared" si="180"/>
        <v>40.792999999999978</v>
      </c>
      <c r="H103" s="87">
        <f t="shared" si="180"/>
        <v>33.679000000000016</v>
      </c>
      <c r="I103" s="87">
        <f t="shared" si="180"/>
        <v>52.960000000000029</v>
      </c>
      <c r="J103" s="87">
        <f t="shared" si="180"/>
        <v>79.581999999999979</v>
      </c>
      <c r="K103" s="87">
        <f t="shared" si="180"/>
        <v>95.328000000000031</v>
      </c>
      <c r="L103" s="87">
        <f t="shared" si="180"/>
        <v>42.971999999999994</v>
      </c>
      <c r="M103" s="87">
        <f t="shared" si="180"/>
        <v>29.258999999999986</v>
      </c>
      <c r="N103" s="87">
        <f t="shared" si="180"/>
        <v>77.745999999999981</v>
      </c>
      <c r="O103" s="87">
        <f t="shared" si="180"/>
        <v>59.559000000000061</v>
      </c>
      <c r="P103" s="87">
        <f t="shared" si="180"/>
        <v>49.271999999999949</v>
      </c>
      <c r="Q103" s="87">
        <f t="shared" si="180"/>
        <v>102.96700000000004</v>
      </c>
      <c r="R103" s="87">
        <f t="shared" si="180"/>
        <v>70.213999999999999</v>
      </c>
      <c r="S103" s="87">
        <f t="shared" si="180"/>
        <v>127.47000000000003</v>
      </c>
      <c r="T103" s="87">
        <f t="shared" si="180"/>
        <v>106.05600000000003</v>
      </c>
      <c r="U103" s="87">
        <f t="shared" si="180"/>
        <v>126.50399999999999</v>
      </c>
      <c r="V103" s="87">
        <f t="shared" si="180"/>
        <v>116.96999999999997</v>
      </c>
      <c r="W103" s="87">
        <f t="shared" si="180"/>
        <v>90</v>
      </c>
      <c r="X103" s="87">
        <f t="shared" si="180"/>
        <v>105</v>
      </c>
      <c r="Y103" s="87">
        <f t="shared" si="180"/>
        <v>117</v>
      </c>
      <c r="Z103" s="87">
        <f t="shared" si="180"/>
        <v>107</v>
      </c>
      <c r="AA103" s="87">
        <f t="shared" si="180"/>
        <v>348</v>
      </c>
      <c r="AB103" s="87">
        <f t="shared" si="180"/>
        <v>120</v>
      </c>
      <c r="AC103" s="87">
        <f t="shared" si="180"/>
        <v>-71</v>
      </c>
      <c r="AD103" s="87">
        <f t="shared" si="180"/>
        <v>281</v>
      </c>
      <c r="AE103" s="87">
        <f t="shared" si="180"/>
        <v>-431</v>
      </c>
      <c r="AF103" s="87">
        <f t="shared" si="180"/>
        <v>200</v>
      </c>
      <c r="AG103" s="87">
        <f t="shared" si="180"/>
        <v>188</v>
      </c>
      <c r="AH103" s="87">
        <f t="shared" si="180"/>
        <v>825</v>
      </c>
      <c r="AI103" s="87">
        <f t="shared" si="180"/>
        <v>224</v>
      </c>
      <c r="AJ103" s="87">
        <f t="shared" si="180"/>
        <v>293</v>
      </c>
      <c r="AK103" s="87">
        <f t="shared" si="180"/>
        <v>234</v>
      </c>
      <c r="AL103" s="87">
        <f t="shared" si="180"/>
        <v>239</v>
      </c>
      <c r="AM103" s="87">
        <f t="shared" si="180"/>
        <v>173</v>
      </c>
      <c r="AN103" s="87">
        <f t="shared" si="180"/>
        <v>47</v>
      </c>
      <c r="AO103" s="87">
        <f t="shared" si="180"/>
        <v>179</v>
      </c>
      <c r="AP103" s="87">
        <f t="shared" si="180"/>
        <v>257</v>
      </c>
      <c r="AQ103" s="87">
        <f t="shared" si="180"/>
        <v>147</v>
      </c>
      <c r="AR103" s="87">
        <f t="shared" si="180"/>
        <v>185</v>
      </c>
      <c r="AS103" s="87">
        <f t="shared" si="180"/>
        <v>317</v>
      </c>
      <c r="AT103" s="87">
        <f t="shared" si="180"/>
        <v>113</v>
      </c>
      <c r="AU103" s="87">
        <f t="shared" si="180"/>
        <v>86</v>
      </c>
      <c r="AV103" s="87">
        <f t="shared" si="180"/>
        <v>74</v>
      </c>
      <c r="AW103" s="87">
        <f t="shared" si="180"/>
        <v>87</v>
      </c>
      <c r="AX103" s="87">
        <f t="shared" si="180"/>
        <v>-118</v>
      </c>
      <c r="AY103" s="87">
        <f t="shared" si="180"/>
        <v>43</v>
      </c>
      <c r="AZ103" s="87">
        <f t="shared" si="180"/>
        <v>-234</v>
      </c>
      <c r="BA103" s="87">
        <f t="shared" si="180"/>
        <v>66</v>
      </c>
      <c r="BB103" s="87">
        <f t="shared" si="180"/>
        <v>-189</v>
      </c>
      <c r="BC103" s="87">
        <f t="shared" ref="BC103:BJ103" si="181">BC60</f>
        <v>-126</v>
      </c>
      <c r="BD103" s="87">
        <f t="shared" si="181"/>
        <v>-102</v>
      </c>
      <c r="BE103" s="87">
        <f t="shared" si="181"/>
        <v>217</v>
      </c>
      <c r="BF103" s="87">
        <f t="shared" si="181"/>
        <v>367</v>
      </c>
      <c r="BG103" s="87">
        <f t="shared" si="181"/>
        <v>131</v>
      </c>
      <c r="BH103" s="87">
        <f t="shared" si="181"/>
        <v>235</v>
      </c>
      <c r="BI103" s="87">
        <f t="shared" si="181"/>
        <v>150</v>
      </c>
      <c r="BJ103" s="87">
        <f t="shared" si="181"/>
        <v>334</v>
      </c>
      <c r="BK103" s="87">
        <f>BK60</f>
        <v>134</v>
      </c>
      <c r="BS103" s="87">
        <f t="shared" ref="BS103:BS106" si="182">SUM(C103:F103)</f>
        <v>137.50899999999999</v>
      </c>
      <c r="BT103" s="87">
        <f t="shared" ref="BT103:BT106" si="183">SUM(G103:J103)</f>
        <v>207.01400000000001</v>
      </c>
      <c r="BU103" s="87">
        <f t="shared" ref="BU103:BU106" si="184">SUM(K103:N103)</f>
        <v>245.30499999999998</v>
      </c>
      <c r="BV103" s="87">
        <f t="shared" ref="BV103:BV106" si="185">SUM(O103:R103)</f>
        <v>282.01200000000006</v>
      </c>
      <c r="BW103" s="87">
        <f t="shared" ref="BW103:BW106" si="186">SUM(S103:V103)</f>
        <v>477.00000000000006</v>
      </c>
      <c r="BX103" s="87">
        <f t="shared" ref="BX103:BX106" si="187">SUM(W103:Z103)</f>
        <v>419</v>
      </c>
      <c r="BY103" s="87">
        <f t="shared" ref="BY103:BY106" si="188">SUM(AA103:AD103)</f>
        <v>678</v>
      </c>
      <c r="BZ103" s="87">
        <f t="shared" ref="BZ103:BZ106" si="189">SUM(AE103:AH103)</f>
        <v>782</v>
      </c>
      <c r="CA103" s="87">
        <f t="shared" ref="CA103:CA106" si="190">SUM(AI103:AL103)</f>
        <v>990</v>
      </c>
      <c r="CB103" s="87">
        <f t="shared" ref="CB103:CB106" si="191">SUM(AM103:AP103)</f>
        <v>656</v>
      </c>
      <c r="CC103" s="87">
        <f t="shared" ref="CC103:CC106" si="192">SUM(AQ103:AT103)</f>
        <v>762</v>
      </c>
      <c r="CD103" s="87">
        <f t="shared" ref="CD103:CD106" si="193">SUM(AU103:AX103)</f>
        <v>129</v>
      </c>
      <c r="CE103" s="87">
        <f t="shared" ref="CE103:CE106" si="194">SUM(AY103:BB103)</f>
        <v>-314</v>
      </c>
      <c r="CF103" s="87">
        <f t="shared" ref="CF103:CF106" si="195">SUM(BC103:BF103)</f>
        <v>356</v>
      </c>
      <c r="CG103" s="87">
        <f t="shared" ref="CG103:CG106" si="196">SUM(BG103:BJ103)</f>
        <v>850</v>
      </c>
    </row>
    <row r="104" spans="2:147" s="2" customFormat="1" ht="15">
      <c r="B104" s="2" t="s">
        <v>72</v>
      </c>
      <c r="C104" s="86">
        <v>88.578000000000003</v>
      </c>
      <c r="D104" s="86">
        <v>71.22</v>
      </c>
      <c r="E104" s="86">
        <v>90.042000000000002</v>
      </c>
      <c r="F104" s="86">
        <v>108.3</v>
      </c>
      <c r="G104" s="86">
        <v>65.44</v>
      </c>
      <c r="H104" s="86">
        <v>96.328999999999994</v>
      </c>
      <c r="I104" s="86">
        <v>51.228000000000002</v>
      </c>
      <c r="J104" s="86">
        <v>78.876000000000005</v>
      </c>
      <c r="K104" s="86">
        <v>87.84</v>
      </c>
      <c r="L104" s="86">
        <v>88.605999999999995</v>
      </c>
      <c r="M104" s="86">
        <v>83.135999999999996</v>
      </c>
      <c r="N104" s="86">
        <v>126.839</v>
      </c>
      <c r="O104" s="86">
        <v>37.087000000000003</v>
      </c>
      <c r="P104" s="86">
        <v>178.03</v>
      </c>
      <c r="Q104" s="86">
        <v>145.60499999999999</v>
      </c>
      <c r="R104" s="86">
        <v>140.54900000000001</v>
      </c>
      <c r="S104" s="86">
        <v>66.778999999999996</v>
      </c>
      <c r="T104" s="86">
        <v>171.44499999999999</v>
      </c>
      <c r="U104" s="86">
        <v>180.994</v>
      </c>
      <c r="V104" s="86">
        <v>366.78199999999998</v>
      </c>
      <c r="W104" s="86">
        <v>99</v>
      </c>
      <c r="X104" s="86">
        <v>242</v>
      </c>
      <c r="Y104" s="86">
        <v>176</v>
      </c>
      <c r="Z104" s="86">
        <v>262</v>
      </c>
      <c r="AA104" s="86">
        <v>168</v>
      </c>
      <c r="AB104" s="86">
        <v>178</v>
      </c>
      <c r="AC104" s="86">
        <v>235</v>
      </c>
      <c r="AD104" s="86">
        <v>294</v>
      </c>
      <c r="AE104" s="86">
        <v>255</v>
      </c>
      <c r="AF104" s="86">
        <v>295</v>
      </c>
      <c r="AG104" s="86">
        <v>292</v>
      </c>
      <c r="AH104" s="86">
        <v>300</v>
      </c>
      <c r="AI104" s="86">
        <v>198</v>
      </c>
      <c r="AJ104" s="86">
        <v>143</v>
      </c>
      <c r="AK104" s="86">
        <v>267</v>
      </c>
      <c r="AL104" s="86">
        <v>443</v>
      </c>
      <c r="AM104" s="86">
        <v>281</v>
      </c>
      <c r="AN104" s="86">
        <v>240</v>
      </c>
      <c r="AO104" s="86">
        <v>153</v>
      </c>
      <c r="AP104" s="86">
        <v>406</v>
      </c>
      <c r="AQ104" s="86">
        <v>282</v>
      </c>
      <c r="AR104" s="86">
        <v>253</v>
      </c>
      <c r="AS104" s="86">
        <v>-272</v>
      </c>
      <c r="AT104" s="86">
        <v>282</v>
      </c>
      <c r="AU104" s="86">
        <v>172</v>
      </c>
      <c r="AV104" s="86">
        <v>125</v>
      </c>
      <c r="AW104" s="86">
        <v>-52</v>
      </c>
      <c r="AX104" s="86">
        <v>147</v>
      </c>
      <c r="AY104" s="86">
        <v>10</v>
      </c>
      <c r="AZ104" s="86">
        <v>105</v>
      </c>
      <c r="BA104" s="86">
        <v>139</v>
      </c>
      <c r="BB104" s="86">
        <v>224</v>
      </c>
      <c r="BC104" s="86">
        <v>77</v>
      </c>
      <c r="BD104" s="86">
        <v>80</v>
      </c>
      <c r="BE104" s="86">
        <v>316</v>
      </c>
      <c r="BF104" s="86">
        <v>364</v>
      </c>
      <c r="BG104" s="86">
        <v>240</v>
      </c>
      <c r="BH104" s="86">
        <v>234</v>
      </c>
      <c r="BI104" s="86">
        <v>284</v>
      </c>
      <c r="BJ104" s="86">
        <v>321</v>
      </c>
      <c r="BK104" s="86">
        <v>289</v>
      </c>
      <c r="BL104" s="34"/>
      <c r="BM104" s="34"/>
      <c r="BN104" s="34"/>
      <c r="BS104" s="86">
        <f t="shared" si="182"/>
        <v>358.14</v>
      </c>
      <c r="BT104" s="86">
        <f t="shared" si="183"/>
        <v>291.87300000000005</v>
      </c>
      <c r="BU104" s="86">
        <f t="shared" si="184"/>
        <v>386.42099999999999</v>
      </c>
      <c r="BV104" s="86">
        <f t="shared" si="185"/>
        <v>501.27099999999996</v>
      </c>
      <c r="BW104" s="86">
        <f t="shared" si="186"/>
        <v>786</v>
      </c>
      <c r="BX104" s="86">
        <f t="shared" si="187"/>
        <v>779</v>
      </c>
      <c r="BY104" s="86">
        <f t="shared" si="188"/>
        <v>875</v>
      </c>
      <c r="BZ104" s="86">
        <f t="shared" si="189"/>
        <v>1142</v>
      </c>
      <c r="CA104" s="86">
        <f t="shared" si="190"/>
        <v>1051</v>
      </c>
      <c r="CB104" s="86">
        <f t="shared" si="191"/>
        <v>1080</v>
      </c>
      <c r="CC104" s="86">
        <f t="shared" si="192"/>
        <v>545</v>
      </c>
      <c r="CD104" s="86">
        <f t="shared" si="193"/>
        <v>392</v>
      </c>
      <c r="CE104" s="86">
        <f t="shared" si="194"/>
        <v>478</v>
      </c>
      <c r="CF104" s="86">
        <f t="shared" si="195"/>
        <v>837</v>
      </c>
      <c r="CG104" s="86">
        <f t="shared" si="196"/>
        <v>1079</v>
      </c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</row>
    <row r="105" spans="2:147">
      <c r="B105" s="1" t="s">
        <v>73</v>
      </c>
      <c r="C105" s="87">
        <v>-12.3</v>
      </c>
      <c r="D105" s="87">
        <v>-16.202999999999999</v>
      </c>
      <c r="E105" s="87">
        <v>-22.183</v>
      </c>
      <c r="F105" s="87">
        <v>-27.114000000000001</v>
      </c>
      <c r="G105" s="87">
        <v>-13.084</v>
      </c>
      <c r="H105" s="87">
        <v>-20.946000000000002</v>
      </c>
      <c r="I105" s="87">
        <v>-17.649999999999999</v>
      </c>
      <c r="J105" s="87">
        <v>-17.100999999999999</v>
      </c>
      <c r="K105" s="87">
        <v>-21.440999999999999</v>
      </c>
      <c r="L105" s="87">
        <v>-11.534000000000001</v>
      </c>
      <c r="M105" s="87">
        <v>-18.93</v>
      </c>
      <c r="N105" s="87">
        <v>-27.31</v>
      </c>
      <c r="O105" s="87">
        <v>-19.012</v>
      </c>
      <c r="P105" s="87">
        <v>-23.324000000000002</v>
      </c>
      <c r="Q105" s="87">
        <v>-28.827999999999999</v>
      </c>
      <c r="R105" s="87">
        <v>-34.832000000000001</v>
      </c>
      <c r="S105" s="87">
        <v>-36.551000000000002</v>
      </c>
      <c r="T105" s="87">
        <v>-41.350999999999999</v>
      </c>
      <c r="U105" s="87">
        <v>-29.459</v>
      </c>
      <c r="V105" s="87">
        <v>-35.639000000000003</v>
      </c>
      <c r="W105" s="87">
        <v>-53</v>
      </c>
      <c r="X105" s="87">
        <v>-68</v>
      </c>
      <c r="Y105" s="87">
        <v>-57</v>
      </c>
      <c r="Z105" s="87">
        <v>-82</v>
      </c>
      <c r="AA105" s="87">
        <v>-83</v>
      </c>
      <c r="AB105" s="87">
        <v>-69</v>
      </c>
      <c r="AC105" s="87">
        <v>-82</v>
      </c>
      <c r="AD105" s="87">
        <v>-76</v>
      </c>
      <c r="AE105" s="87">
        <v>-90</v>
      </c>
      <c r="AF105" s="87">
        <v>-77</v>
      </c>
      <c r="AG105" s="87">
        <v>-64</v>
      </c>
      <c r="AH105" s="87">
        <v>-65</v>
      </c>
      <c r="AI105" s="87">
        <v>-56</v>
      </c>
      <c r="AJ105" s="87">
        <v>-47</v>
      </c>
      <c r="AK105" s="87">
        <v>-49</v>
      </c>
      <c r="AL105" s="87">
        <v>-57</v>
      </c>
      <c r="AM105" s="87">
        <v>-40</v>
      </c>
      <c r="AN105" s="87">
        <v>-39</v>
      </c>
      <c r="AO105" s="87">
        <v>-48</v>
      </c>
      <c r="AP105" s="87">
        <v>-62</v>
      </c>
      <c r="AQ105" s="87">
        <v>-42</v>
      </c>
      <c r="AR105" s="87">
        <v>-44</v>
      </c>
      <c r="AS105" s="87">
        <v>-52</v>
      </c>
      <c r="AT105" s="87">
        <v>-70</v>
      </c>
      <c r="AU105" s="87">
        <v>-61</v>
      </c>
      <c r="AV105" s="87">
        <v>-71</v>
      </c>
      <c r="AW105" s="87">
        <v>-66</v>
      </c>
      <c r="AX105" s="87">
        <v>-88</v>
      </c>
      <c r="AY105" s="87">
        <v>-52</v>
      </c>
      <c r="AZ105" s="87">
        <v>-47</v>
      </c>
      <c r="BA105" s="87">
        <v>-45</v>
      </c>
      <c r="BB105" s="87">
        <v>-51</v>
      </c>
      <c r="BC105" s="87">
        <v>-36</v>
      </c>
      <c r="BD105" s="87">
        <v>-31</v>
      </c>
      <c r="BE105" s="87">
        <v>-32</v>
      </c>
      <c r="BF105" s="87">
        <v>-29</v>
      </c>
      <c r="BG105" s="87">
        <v>-32</v>
      </c>
      <c r="BH105" s="87">
        <v>-30</v>
      </c>
      <c r="BI105" s="87">
        <v>-31</v>
      </c>
      <c r="BJ105" s="87">
        <v>-55</v>
      </c>
      <c r="BK105" s="87">
        <v>-38</v>
      </c>
      <c r="BS105" s="87">
        <f t="shared" si="182"/>
        <v>-77.8</v>
      </c>
      <c r="BT105" s="87">
        <f t="shared" si="183"/>
        <v>-68.781000000000006</v>
      </c>
      <c r="BU105" s="87">
        <f t="shared" si="184"/>
        <v>-79.215000000000003</v>
      </c>
      <c r="BV105" s="87">
        <f t="shared" si="185"/>
        <v>-105.99600000000001</v>
      </c>
      <c r="BW105" s="87">
        <f t="shared" si="186"/>
        <v>-143</v>
      </c>
      <c r="BX105" s="87">
        <f t="shared" si="187"/>
        <v>-260</v>
      </c>
      <c r="BY105" s="87">
        <f t="shared" si="188"/>
        <v>-310</v>
      </c>
      <c r="BZ105" s="87">
        <f t="shared" si="189"/>
        <v>-296</v>
      </c>
      <c r="CA105" s="87">
        <f t="shared" si="190"/>
        <v>-209</v>
      </c>
      <c r="CB105" s="87">
        <f t="shared" si="191"/>
        <v>-189</v>
      </c>
      <c r="CC105" s="87">
        <f t="shared" si="192"/>
        <v>-208</v>
      </c>
      <c r="CD105" s="87">
        <f t="shared" si="193"/>
        <v>-286</v>
      </c>
      <c r="CE105" s="87">
        <f t="shared" si="194"/>
        <v>-195</v>
      </c>
      <c r="CF105" s="87">
        <f t="shared" si="195"/>
        <v>-128</v>
      </c>
      <c r="CG105" s="87">
        <f t="shared" si="196"/>
        <v>-148</v>
      </c>
    </row>
    <row r="106" spans="2:147" s="2" customFormat="1" ht="15">
      <c r="B106" s="2" t="s">
        <v>74</v>
      </c>
      <c r="C106" s="86">
        <f t="shared" ref="C106:BB106" si="197">C104+C105</f>
        <v>76.278000000000006</v>
      </c>
      <c r="D106" s="86">
        <f t="shared" si="197"/>
        <v>55.016999999999996</v>
      </c>
      <c r="E106" s="86">
        <f t="shared" si="197"/>
        <v>67.859000000000009</v>
      </c>
      <c r="F106" s="86">
        <f t="shared" si="197"/>
        <v>81.185999999999993</v>
      </c>
      <c r="G106" s="86">
        <f t="shared" si="197"/>
        <v>52.355999999999995</v>
      </c>
      <c r="H106" s="86">
        <f t="shared" si="197"/>
        <v>75.382999999999996</v>
      </c>
      <c r="I106" s="86">
        <f t="shared" si="197"/>
        <v>33.578000000000003</v>
      </c>
      <c r="J106" s="86">
        <f t="shared" si="197"/>
        <v>61.775000000000006</v>
      </c>
      <c r="K106" s="86">
        <f t="shared" si="197"/>
        <v>66.399000000000001</v>
      </c>
      <c r="L106" s="86">
        <f t="shared" si="197"/>
        <v>77.071999999999989</v>
      </c>
      <c r="M106" s="86">
        <f t="shared" si="197"/>
        <v>64.205999999999989</v>
      </c>
      <c r="N106" s="86">
        <f t="shared" si="197"/>
        <v>99.528999999999996</v>
      </c>
      <c r="O106" s="86">
        <f t="shared" si="197"/>
        <v>18.075000000000003</v>
      </c>
      <c r="P106" s="86">
        <f t="shared" si="197"/>
        <v>154.70599999999999</v>
      </c>
      <c r="Q106" s="86">
        <f t="shared" si="197"/>
        <v>116.77699999999999</v>
      </c>
      <c r="R106" s="86">
        <f t="shared" si="197"/>
        <v>105.71700000000001</v>
      </c>
      <c r="S106" s="86">
        <f t="shared" si="197"/>
        <v>30.227999999999994</v>
      </c>
      <c r="T106" s="86">
        <f t="shared" si="197"/>
        <v>130.09399999999999</v>
      </c>
      <c r="U106" s="86">
        <f t="shared" si="197"/>
        <v>151.535</v>
      </c>
      <c r="V106" s="86">
        <f t="shared" si="197"/>
        <v>331.14299999999997</v>
      </c>
      <c r="W106" s="86">
        <f t="shared" si="197"/>
        <v>46</v>
      </c>
      <c r="X106" s="86">
        <f t="shared" si="197"/>
        <v>174</v>
      </c>
      <c r="Y106" s="86">
        <f t="shared" si="197"/>
        <v>119</v>
      </c>
      <c r="Z106" s="86">
        <f t="shared" si="197"/>
        <v>180</v>
      </c>
      <c r="AA106" s="86">
        <f t="shared" si="197"/>
        <v>85</v>
      </c>
      <c r="AB106" s="86">
        <f t="shared" si="197"/>
        <v>109</v>
      </c>
      <c r="AC106" s="86">
        <f t="shared" si="197"/>
        <v>153</v>
      </c>
      <c r="AD106" s="86">
        <f t="shared" si="197"/>
        <v>218</v>
      </c>
      <c r="AE106" s="86">
        <f t="shared" si="197"/>
        <v>165</v>
      </c>
      <c r="AF106" s="86">
        <f t="shared" si="197"/>
        <v>218</v>
      </c>
      <c r="AG106" s="86">
        <f t="shared" si="197"/>
        <v>228</v>
      </c>
      <c r="AH106" s="86">
        <f t="shared" si="197"/>
        <v>235</v>
      </c>
      <c r="AI106" s="86">
        <f t="shared" si="197"/>
        <v>142</v>
      </c>
      <c r="AJ106" s="86">
        <f t="shared" si="197"/>
        <v>96</v>
      </c>
      <c r="AK106" s="86">
        <f t="shared" si="197"/>
        <v>218</v>
      </c>
      <c r="AL106" s="86">
        <f t="shared" si="197"/>
        <v>386</v>
      </c>
      <c r="AM106" s="86">
        <f t="shared" si="197"/>
        <v>241</v>
      </c>
      <c r="AN106" s="86">
        <f t="shared" si="197"/>
        <v>201</v>
      </c>
      <c r="AO106" s="86">
        <f t="shared" si="197"/>
        <v>105</v>
      </c>
      <c r="AP106" s="86">
        <f t="shared" si="197"/>
        <v>344</v>
      </c>
      <c r="AQ106" s="86">
        <f t="shared" si="197"/>
        <v>240</v>
      </c>
      <c r="AR106" s="86">
        <f t="shared" si="197"/>
        <v>209</v>
      </c>
      <c r="AS106" s="86">
        <f t="shared" si="197"/>
        <v>-324</v>
      </c>
      <c r="AT106" s="86">
        <f t="shared" si="197"/>
        <v>212</v>
      </c>
      <c r="AU106" s="86">
        <f t="shared" si="197"/>
        <v>111</v>
      </c>
      <c r="AV106" s="86">
        <f t="shared" si="197"/>
        <v>54</v>
      </c>
      <c r="AW106" s="86">
        <f t="shared" si="197"/>
        <v>-118</v>
      </c>
      <c r="AX106" s="86">
        <f t="shared" si="197"/>
        <v>59</v>
      </c>
      <c r="AY106" s="86">
        <f t="shared" si="197"/>
        <v>-42</v>
      </c>
      <c r="AZ106" s="86">
        <f t="shared" si="197"/>
        <v>58</v>
      </c>
      <c r="BA106" s="86">
        <f t="shared" si="197"/>
        <v>94</v>
      </c>
      <c r="BB106" s="86">
        <f t="shared" si="197"/>
        <v>173</v>
      </c>
      <c r="BC106" s="86">
        <f t="shared" ref="BC106:BI106" si="198">BC104+BC105</f>
        <v>41</v>
      </c>
      <c r="BD106" s="86">
        <f t="shared" si="198"/>
        <v>49</v>
      </c>
      <c r="BE106" s="86">
        <f t="shared" si="198"/>
        <v>284</v>
      </c>
      <c r="BF106" s="86">
        <f t="shared" si="198"/>
        <v>335</v>
      </c>
      <c r="BG106" s="86">
        <f t="shared" si="198"/>
        <v>208</v>
      </c>
      <c r="BH106" s="86">
        <f t="shared" si="198"/>
        <v>204</v>
      </c>
      <c r="BI106" s="86">
        <f t="shared" si="198"/>
        <v>253</v>
      </c>
      <c r="BJ106" s="86">
        <f>BJ104+BJ105</f>
        <v>266</v>
      </c>
      <c r="BK106" s="86">
        <f>BK104+BK105</f>
        <v>251</v>
      </c>
      <c r="BL106" s="34"/>
      <c r="BM106" s="34"/>
      <c r="BN106" s="34"/>
      <c r="BS106" s="86">
        <f t="shared" si="182"/>
        <v>280.34000000000003</v>
      </c>
      <c r="BT106" s="86">
        <f t="shared" si="183"/>
        <v>223.09200000000001</v>
      </c>
      <c r="BU106" s="86">
        <f t="shared" si="184"/>
        <v>307.20600000000002</v>
      </c>
      <c r="BV106" s="86">
        <f t="shared" si="185"/>
        <v>395.27499999999998</v>
      </c>
      <c r="BW106" s="86">
        <f t="shared" si="186"/>
        <v>643</v>
      </c>
      <c r="BX106" s="86">
        <f t="shared" si="187"/>
        <v>519</v>
      </c>
      <c r="BY106" s="86">
        <f t="shared" si="188"/>
        <v>565</v>
      </c>
      <c r="BZ106" s="86">
        <f t="shared" si="189"/>
        <v>846</v>
      </c>
      <c r="CA106" s="86">
        <f t="shared" si="190"/>
        <v>842</v>
      </c>
      <c r="CB106" s="86">
        <f t="shared" si="191"/>
        <v>891</v>
      </c>
      <c r="CC106" s="86">
        <f t="shared" si="192"/>
        <v>337</v>
      </c>
      <c r="CD106" s="86">
        <f t="shared" si="193"/>
        <v>106</v>
      </c>
      <c r="CE106" s="86">
        <f t="shared" si="194"/>
        <v>283</v>
      </c>
      <c r="CF106" s="86">
        <f t="shared" si="195"/>
        <v>709</v>
      </c>
      <c r="CG106" s="86">
        <f t="shared" si="196"/>
        <v>931</v>
      </c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</row>
    <row r="107" spans="2:147">
      <c r="B107" s="1" t="s">
        <v>75</v>
      </c>
      <c r="C107" s="1">
        <f t="shared" ref="C107:BJ107" si="199">C61</f>
        <v>0</v>
      </c>
      <c r="D107" s="1">
        <f t="shared" si="199"/>
        <v>0</v>
      </c>
      <c r="E107" s="1">
        <f t="shared" si="199"/>
        <v>0</v>
      </c>
      <c r="F107" s="1">
        <f t="shared" si="199"/>
        <v>0</v>
      </c>
      <c r="G107" s="1">
        <f t="shared" si="199"/>
        <v>0</v>
      </c>
      <c r="H107" s="1">
        <f t="shared" si="199"/>
        <v>0</v>
      </c>
      <c r="I107" s="1">
        <f t="shared" si="199"/>
        <v>0</v>
      </c>
      <c r="J107" s="1">
        <f t="shared" si="199"/>
        <v>0</v>
      </c>
      <c r="K107" s="1">
        <f t="shared" si="199"/>
        <v>0</v>
      </c>
      <c r="L107" s="1">
        <f t="shared" si="199"/>
        <v>0</v>
      </c>
      <c r="M107" s="1">
        <f t="shared" si="199"/>
        <v>0</v>
      </c>
      <c r="N107" s="1">
        <f t="shared" si="199"/>
        <v>0</v>
      </c>
      <c r="O107" s="1">
        <f t="shared" si="199"/>
        <v>0</v>
      </c>
      <c r="P107" s="1">
        <f t="shared" si="199"/>
        <v>0</v>
      </c>
      <c r="Q107" s="1">
        <f t="shared" si="199"/>
        <v>0</v>
      </c>
      <c r="R107" s="1">
        <f t="shared" si="199"/>
        <v>0</v>
      </c>
      <c r="S107" s="1">
        <f t="shared" si="199"/>
        <v>0</v>
      </c>
      <c r="T107" s="1">
        <f t="shared" si="199"/>
        <v>0</v>
      </c>
      <c r="U107" s="1">
        <f t="shared" si="199"/>
        <v>0</v>
      </c>
      <c r="V107" s="1">
        <f t="shared" si="199"/>
        <v>0</v>
      </c>
      <c r="W107" s="1">
        <f t="shared" si="199"/>
        <v>0</v>
      </c>
      <c r="X107" s="1">
        <f t="shared" si="199"/>
        <v>0</v>
      </c>
      <c r="Y107" s="1">
        <f t="shared" si="199"/>
        <v>0</v>
      </c>
      <c r="Z107" s="1">
        <f t="shared" si="199"/>
        <v>0</v>
      </c>
      <c r="AA107" s="1">
        <f t="shared" si="199"/>
        <v>0</v>
      </c>
      <c r="AB107" s="1">
        <f t="shared" si="199"/>
        <v>0</v>
      </c>
      <c r="AC107" s="1">
        <f t="shared" si="199"/>
        <v>0</v>
      </c>
      <c r="AD107" s="1">
        <f t="shared" si="199"/>
        <v>0</v>
      </c>
      <c r="AE107" s="1">
        <f t="shared" si="199"/>
        <v>0</v>
      </c>
      <c r="AF107" s="1">
        <f t="shared" si="199"/>
        <v>0</v>
      </c>
      <c r="AG107" s="1">
        <f t="shared" si="199"/>
        <v>0</v>
      </c>
      <c r="AH107" s="1">
        <f t="shared" si="199"/>
        <v>0</v>
      </c>
      <c r="AI107" s="1">
        <f t="shared" si="199"/>
        <v>0</v>
      </c>
      <c r="AJ107" s="1">
        <f t="shared" si="199"/>
        <v>0</v>
      </c>
      <c r="AK107" s="1">
        <f t="shared" si="199"/>
        <v>0</v>
      </c>
      <c r="AL107" s="1">
        <f t="shared" si="199"/>
        <v>0</v>
      </c>
      <c r="AM107" s="1">
        <f t="shared" si="199"/>
        <v>0</v>
      </c>
      <c r="AN107" s="1">
        <f t="shared" si="199"/>
        <v>0</v>
      </c>
      <c r="AO107" s="1">
        <f t="shared" si="199"/>
        <v>0</v>
      </c>
      <c r="AP107" s="1">
        <f t="shared" si="199"/>
        <v>0</v>
      </c>
      <c r="AQ107" s="1">
        <f t="shared" si="199"/>
        <v>146</v>
      </c>
      <c r="AR107" s="1">
        <f t="shared" si="199"/>
        <v>146</v>
      </c>
      <c r="AS107" s="1">
        <f t="shared" si="199"/>
        <v>152</v>
      </c>
      <c r="AT107" s="1">
        <f t="shared" si="199"/>
        <v>150</v>
      </c>
      <c r="AU107" s="1">
        <f t="shared" si="199"/>
        <v>157</v>
      </c>
      <c r="AV107" s="1">
        <f t="shared" si="199"/>
        <v>157</v>
      </c>
      <c r="AW107" s="1">
        <f t="shared" si="199"/>
        <v>157</v>
      </c>
      <c r="AX107" s="1">
        <f t="shared" si="199"/>
        <v>157</v>
      </c>
      <c r="AY107" s="1">
        <f t="shared" si="199"/>
        <v>158</v>
      </c>
      <c r="AZ107" s="1">
        <f t="shared" si="199"/>
        <v>158</v>
      </c>
      <c r="BA107" s="1">
        <f t="shared" si="199"/>
        <v>158</v>
      </c>
      <c r="BB107" s="1">
        <f t="shared" si="199"/>
        <v>158</v>
      </c>
      <c r="BC107" s="1">
        <f t="shared" si="199"/>
        <v>159</v>
      </c>
      <c r="BD107" s="1">
        <f t="shared" si="199"/>
        <v>159</v>
      </c>
      <c r="BE107" s="1">
        <f t="shared" si="199"/>
        <v>159</v>
      </c>
      <c r="BF107" s="1">
        <f t="shared" si="199"/>
        <v>159</v>
      </c>
      <c r="BG107" s="1">
        <f t="shared" si="199"/>
        <v>159</v>
      </c>
      <c r="BH107" s="1">
        <f t="shared" si="199"/>
        <v>157</v>
      </c>
      <c r="BI107" s="1">
        <f t="shared" si="199"/>
        <v>153</v>
      </c>
      <c r="BJ107" s="1">
        <f t="shared" si="199"/>
        <v>155</v>
      </c>
      <c r="BK107" s="1">
        <f>BK61</f>
        <v>153</v>
      </c>
      <c r="BS107" s="87" t="e">
        <f t="shared" ref="BS107:CF107" si="200">BS61</f>
        <v>#DIV/0!</v>
      </c>
      <c r="BT107" s="87" t="e">
        <f t="shared" si="200"/>
        <v>#DIV/0!</v>
      </c>
      <c r="BU107" s="87" t="e">
        <f t="shared" si="200"/>
        <v>#DIV/0!</v>
      </c>
      <c r="BV107" s="87" t="e">
        <f t="shared" si="200"/>
        <v>#DIV/0!</v>
      </c>
      <c r="BW107" s="87" t="e">
        <f t="shared" si="200"/>
        <v>#DIV/0!</v>
      </c>
      <c r="BX107" s="87" t="e">
        <f t="shared" si="200"/>
        <v>#DIV/0!</v>
      </c>
      <c r="BY107" s="87" t="e">
        <f t="shared" si="200"/>
        <v>#DIV/0!</v>
      </c>
      <c r="BZ107" s="87" t="e">
        <f t="shared" si="200"/>
        <v>#DIV/0!</v>
      </c>
      <c r="CA107" s="87" t="e">
        <f t="shared" si="200"/>
        <v>#DIV/0!</v>
      </c>
      <c r="CB107" s="87" t="e">
        <f t="shared" si="200"/>
        <v>#DIV/0!</v>
      </c>
      <c r="CC107" s="87">
        <f t="shared" si="200"/>
        <v>148.5</v>
      </c>
      <c r="CD107" s="87">
        <f t="shared" si="200"/>
        <v>157</v>
      </c>
      <c r="CE107" s="87">
        <f t="shared" si="200"/>
        <v>158</v>
      </c>
      <c r="CF107" s="87">
        <f t="shared" si="200"/>
        <v>159</v>
      </c>
      <c r="CG107" s="87">
        <f>CG61</f>
        <v>156</v>
      </c>
    </row>
    <row r="108" spans="2:147">
      <c r="B108" s="1" t="s">
        <v>76</v>
      </c>
      <c r="C108" s="40" t="e">
        <f t="shared" ref="C108:BB108" si="201">C106/C107</f>
        <v>#DIV/0!</v>
      </c>
      <c r="D108" s="40" t="e">
        <f t="shared" si="201"/>
        <v>#DIV/0!</v>
      </c>
      <c r="E108" s="40" t="e">
        <f t="shared" si="201"/>
        <v>#DIV/0!</v>
      </c>
      <c r="F108" s="40" t="e">
        <f t="shared" si="201"/>
        <v>#DIV/0!</v>
      </c>
      <c r="G108" s="40" t="e">
        <f t="shared" si="201"/>
        <v>#DIV/0!</v>
      </c>
      <c r="H108" s="40" t="e">
        <f t="shared" si="201"/>
        <v>#DIV/0!</v>
      </c>
      <c r="I108" s="40" t="e">
        <f t="shared" si="201"/>
        <v>#DIV/0!</v>
      </c>
      <c r="J108" s="40" t="e">
        <f t="shared" si="201"/>
        <v>#DIV/0!</v>
      </c>
      <c r="K108" s="40" t="e">
        <f t="shared" si="201"/>
        <v>#DIV/0!</v>
      </c>
      <c r="L108" s="40" t="e">
        <f t="shared" si="201"/>
        <v>#DIV/0!</v>
      </c>
      <c r="M108" s="40" t="e">
        <f t="shared" si="201"/>
        <v>#DIV/0!</v>
      </c>
      <c r="N108" s="40" t="e">
        <f t="shared" si="201"/>
        <v>#DIV/0!</v>
      </c>
      <c r="O108" s="40" t="e">
        <f t="shared" si="201"/>
        <v>#DIV/0!</v>
      </c>
      <c r="P108" s="40" t="e">
        <f t="shared" si="201"/>
        <v>#DIV/0!</v>
      </c>
      <c r="Q108" s="40" t="e">
        <f t="shared" si="201"/>
        <v>#DIV/0!</v>
      </c>
      <c r="R108" s="40" t="e">
        <f t="shared" si="201"/>
        <v>#DIV/0!</v>
      </c>
      <c r="S108" s="40" t="e">
        <f t="shared" si="201"/>
        <v>#DIV/0!</v>
      </c>
      <c r="T108" s="40" t="e">
        <f t="shared" si="201"/>
        <v>#DIV/0!</v>
      </c>
      <c r="U108" s="40" t="e">
        <f t="shared" si="201"/>
        <v>#DIV/0!</v>
      </c>
      <c r="V108" s="40" t="e">
        <f t="shared" si="201"/>
        <v>#DIV/0!</v>
      </c>
      <c r="W108" s="40" t="e">
        <f t="shared" si="201"/>
        <v>#DIV/0!</v>
      </c>
      <c r="X108" s="40" t="e">
        <f t="shared" si="201"/>
        <v>#DIV/0!</v>
      </c>
      <c r="Y108" s="40" t="e">
        <f t="shared" si="201"/>
        <v>#DIV/0!</v>
      </c>
      <c r="Z108" s="40" t="e">
        <f t="shared" si="201"/>
        <v>#DIV/0!</v>
      </c>
      <c r="AA108" s="40" t="e">
        <f t="shared" si="201"/>
        <v>#DIV/0!</v>
      </c>
      <c r="AB108" s="40" t="e">
        <f t="shared" si="201"/>
        <v>#DIV/0!</v>
      </c>
      <c r="AC108" s="40" t="e">
        <f t="shared" si="201"/>
        <v>#DIV/0!</v>
      </c>
      <c r="AD108" s="40" t="e">
        <f t="shared" si="201"/>
        <v>#DIV/0!</v>
      </c>
      <c r="AE108" s="40" t="e">
        <f t="shared" si="201"/>
        <v>#DIV/0!</v>
      </c>
      <c r="AF108" s="40" t="e">
        <f t="shared" si="201"/>
        <v>#DIV/0!</v>
      </c>
      <c r="AG108" s="40" t="e">
        <f t="shared" si="201"/>
        <v>#DIV/0!</v>
      </c>
      <c r="AH108" s="40" t="e">
        <f t="shared" si="201"/>
        <v>#DIV/0!</v>
      </c>
      <c r="AI108" s="40" t="e">
        <f t="shared" si="201"/>
        <v>#DIV/0!</v>
      </c>
      <c r="AJ108" s="40" t="e">
        <f t="shared" si="201"/>
        <v>#DIV/0!</v>
      </c>
      <c r="AK108" s="40" t="e">
        <f t="shared" si="201"/>
        <v>#DIV/0!</v>
      </c>
      <c r="AL108" s="40" t="e">
        <f t="shared" si="201"/>
        <v>#DIV/0!</v>
      </c>
      <c r="AM108" s="40" t="e">
        <f t="shared" si="201"/>
        <v>#DIV/0!</v>
      </c>
      <c r="AN108" s="40" t="e">
        <f t="shared" si="201"/>
        <v>#DIV/0!</v>
      </c>
      <c r="AO108" s="40" t="e">
        <f t="shared" si="201"/>
        <v>#DIV/0!</v>
      </c>
      <c r="AP108" s="40" t="e">
        <f t="shared" si="201"/>
        <v>#DIV/0!</v>
      </c>
      <c r="AQ108" s="40">
        <f t="shared" si="201"/>
        <v>1.6438356164383561</v>
      </c>
      <c r="AR108" s="40">
        <f t="shared" si="201"/>
        <v>1.4315068493150684</v>
      </c>
      <c r="AS108" s="40">
        <f t="shared" si="201"/>
        <v>-2.1315789473684212</v>
      </c>
      <c r="AT108" s="40">
        <f t="shared" si="201"/>
        <v>1.4133333333333333</v>
      </c>
      <c r="AU108" s="40">
        <f t="shared" si="201"/>
        <v>0.70700636942675155</v>
      </c>
      <c r="AV108" s="40">
        <f t="shared" si="201"/>
        <v>0.34394904458598724</v>
      </c>
      <c r="AW108" s="40">
        <f t="shared" si="201"/>
        <v>-0.75159235668789814</v>
      </c>
      <c r="AX108" s="40">
        <f t="shared" si="201"/>
        <v>0.37579617834394907</v>
      </c>
      <c r="AY108" s="40">
        <f t="shared" si="201"/>
        <v>-0.26582278481012656</v>
      </c>
      <c r="AZ108" s="40">
        <f t="shared" si="201"/>
        <v>0.36708860759493672</v>
      </c>
      <c r="BA108" s="40">
        <f t="shared" si="201"/>
        <v>0.59493670886075944</v>
      </c>
      <c r="BB108" s="40">
        <f t="shared" si="201"/>
        <v>1.0949367088607596</v>
      </c>
      <c r="BC108" s="40">
        <f t="shared" ref="BC108:BI108" si="202">BC106/BC107</f>
        <v>0.25786163522012578</v>
      </c>
      <c r="BD108" s="40">
        <f t="shared" si="202"/>
        <v>0.3081761006289308</v>
      </c>
      <c r="BE108" s="40">
        <f t="shared" si="202"/>
        <v>1.7861635220125787</v>
      </c>
      <c r="BF108" s="40">
        <f t="shared" si="202"/>
        <v>2.1069182389937109</v>
      </c>
      <c r="BG108" s="40">
        <f t="shared" si="202"/>
        <v>1.3081761006289307</v>
      </c>
      <c r="BH108" s="40">
        <f t="shared" si="202"/>
        <v>1.2993630573248407</v>
      </c>
      <c r="BI108" s="40">
        <f t="shared" si="202"/>
        <v>1.65359477124183</v>
      </c>
      <c r="BJ108" s="40">
        <f>BJ106/BJ107</f>
        <v>1.7161290322580645</v>
      </c>
      <c r="BK108" s="40">
        <f>BK106/BK107</f>
        <v>1.6405228758169934</v>
      </c>
      <c r="BS108" s="40" t="e">
        <f t="shared" ref="BS108" si="203">SUM(C108:F108)</f>
        <v>#DIV/0!</v>
      </c>
      <c r="BT108" s="40" t="e">
        <f t="shared" ref="BT108" si="204">SUM(G108:J108)</f>
        <v>#DIV/0!</v>
      </c>
      <c r="BU108" s="40" t="e">
        <f t="shared" ref="BU108" si="205">SUM(K108:N108)</f>
        <v>#DIV/0!</v>
      </c>
      <c r="BV108" s="40" t="e">
        <f t="shared" ref="BV108" si="206">SUM(O108:R108)</f>
        <v>#DIV/0!</v>
      </c>
      <c r="BW108" s="40" t="e">
        <f t="shared" ref="BW108" si="207">SUM(S108:V108)</f>
        <v>#DIV/0!</v>
      </c>
      <c r="BX108" s="40" t="e">
        <f t="shared" ref="BX108" si="208">SUM(W108:Z108)</f>
        <v>#DIV/0!</v>
      </c>
      <c r="BY108" s="40" t="e">
        <f t="shared" ref="BY108" si="209">SUM(AA108:AD108)</f>
        <v>#DIV/0!</v>
      </c>
      <c r="BZ108" s="40" t="e">
        <f t="shared" ref="BZ108" si="210">SUM(AE108:AH108)</f>
        <v>#DIV/0!</v>
      </c>
      <c r="CA108" s="40" t="e">
        <f t="shared" ref="CA108" si="211">SUM(AI108:AL108)</f>
        <v>#DIV/0!</v>
      </c>
      <c r="CB108" s="40" t="e">
        <f t="shared" ref="CB108" si="212">SUM(AM108:AP108)</f>
        <v>#DIV/0!</v>
      </c>
      <c r="CC108" s="40">
        <f t="shared" ref="CC108" si="213">SUM(AQ108:AT108)</f>
        <v>2.3570968517183362</v>
      </c>
      <c r="CD108" s="40">
        <f t="shared" ref="CD108" si="214">SUM(AU108:AX108)</f>
        <v>0.67515923566878977</v>
      </c>
      <c r="CE108" s="40">
        <f t="shared" ref="CE108" si="215">SUM(AY108:BB108)</f>
        <v>1.7911392405063291</v>
      </c>
      <c r="CF108" s="40">
        <f t="shared" ref="CF108" si="216">SUM(BC108:BF108)</f>
        <v>4.4591194968553456</v>
      </c>
      <c r="CG108" s="40">
        <f t="shared" ref="CG108" si="217">SUM(BG108:BJ108)</f>
        <v>5.9772629614536656</v>
      </c>
    </row>
    <row r="110" spans="2:147">
      <c r="B110" s="1" t="s">
        <v>143</v>
      </c>
      <c r="C110" s="84">
        <f t="shared" ref="C110:BB110" si="218">C104/C49</f>
        <v>0.31353379466576997</v>
      </c>
      <c r="D110" s="84">
        <f t="shared" si="218"/>
        <v>0.24776482866585495</v>
      </c>
      <c r="E110" s="84">
        <f t="shared" si="218"/>
        <v>0.38234557259266494</v>
      </c>
      <c r="F110" s="84">
        <f t="shared" si="218"/>
        <v>0.43307700613025901</v>
      </c>
      <c r="G110" s="84">
        <f t="shared" si="218"/>
        <v>0.23990908091065735</v>
      </c>
      <c r="H110" s="84">
        <f t="shared" si="218"/>
        <v>0.34328794363647375</v>
      </c>
      <c r="I110" s="84">
        <f t="shared" si="218"/>
        <v>0.1791978284139166</v>
      </c>
      <c r="J110" s="84">
        <f t="shared" si="218"/>
        <v>0.25504340937383801</v>
      </c>
      <c r="K110" s="84">
        <f t="shared" si="218"/>
        <v>0.26541132107397314</v>
      </c>
      <c r="L110" s="84">
        <f t="shared" si="218"/>
        <v>0.25601715140973258</v>
      </c>
      <c r="M110" s="84">
        <f t="shared" si="218"/>
        <v>0.23300448430493273</v>
      </c>
      <c r="N110" s="84">
        <f t="shared" si="218"/>
        <v>0.3274734977770663</v>
      </c>
      <c r="O110" s="84">
        <f t="shared" si="218"/>
        <v>8.8138485340355205E-2</v>
      </c>
      <c r="P110" s="84">
        <f t="shared" si="218"/>
        <v>0.3977719586744361</v>
      </c>
      <c r="Q110" s="84">
        <f t="shared" si="218"/>
        <v>0.30294613320017477</v>
      </c>
      <c r="R110" s="84">
        <f t="shared" si="218"/>
        <v>0.27430671436573317</v>
      </c>
      <c r="S110" s="84">
        <f t="shared" si="218"/>
        <v>0.12399431823456777</v>
      </c>
      <c r="T110" s="84">
        <f t="shared" si="218"/>
        <v>0.31785686475903724</v>
      </c>
      <c r="U110" s="84">
        <f t="shared" si="218"/>
        <v>0.3289179331638411</v>
      </c>
      <c r="V110" s="84">
        <f t="shared" si="218"/>
        <v>0.61978823426035767</v>
      </c>
      <c r="W110" s="84">
        <f t="shared" si="218"/>
        <v>0.17307692307692307</v>
      </c>
      <c r="X110" s="84">
        <f t="shared" si="218"/>
        <v>0.40333333333333332</v>
      </c>
      <c r="Y110" s="84">
        <f t="shared" si="218"/>
        <v>0.28995057660626028</v>
      </c>
      <c r="Z110" s="84">
        <f t="shared" si="218"/>
        <v>0.42326332794830374</v>
      </c>
      <c r="AA110" s="84">
        <f t="shared" si="218"/>
        <v>0.28093645484949831</v>
      </c>
      <c r="AB110" s="84">
        <f t="shared" si="218"/>
        <v>0.26888217522658608</v>
      </c>
      <c r="AC110" s="84">
        <f t="shared" si="218"/>
        <v>0.32913165266106442</v>
      </c>
      <c r="AD110" s="84">
        <f t="shared" si="218"/>
        <v>0.37789203084832906</v>
      </c>
      <c r="AE110" s="84">
        <f t="shared" si="218"/>
        <v>1.6558441558441559</v>
      </c>
      <c r="AF110" s="84">
        <f t="shared" si="218"/>
        <v>0.35542168674698793</v>
      </c>
      <c r="AG110" s="84">
        <f t="shared" si="218"/>
        <v>0.34232121922626024</v>
      </c>
      <c r="AH110" s="84">
        <f t="shared" si="218"/>
        <v>0.20053475935828877</v>
      </c>
      <c r="AI110" s="84">
        <f t="shared" si="218"/>
        <v>0.23404255319148937</v>
      </c>
      <c r="AJ110" s="84">
        <f t="shared" si="218"/>
        <v>0.17064439140811455</v>
      </c>
      <c r="AK110" s="84">
        <f t="shared" si="218"/>
        <v>0.29437706725468576</v>
      </c>
      <c r="AL110" s="84">
        <f t="shared" si="218"/>
        <v>0.46533613445378152</v>
      </c>
      <c r="AM110" s="84">
        <f t="shared" si="218"/>
        <v>0.32712456344586727</v>
      </c>
      <c r="AN110" s="84">
        <f t="shared" si="218"/>
        <v>0.37914691943127959</v>
      </c>
      <c r="AO110" s="84">
        <f t="shared" si="218"/>
        <v>0.19269521410579346</v>
      </c>
      <c r="AP110" s="84">
        <f t="shared" si="218"/>
        <v>0.42602308499475339</v>
      </c>
      <c r="AQ110" s="84">
        <f t="shared" si="218"/>
        <v>0.25800548947849955</v>
      </c>
      <c r="AR110" s="84">
        <f t="shared" si="218"/>
        <v>0.22468916518650089</v>
      </c>
      <c r="AS110" s="84">
        <f t="shared" si="218"/>
        <v>-0.24548736462093862</v>
      </c>
      <c r="AT110" s="84">
        <f t="shared" si="218"/>
        <v>0.23519599666388658</v>
      </c>
      <c r="AU110" s="84">
        <f t="shared" si="218"/>
        <v>0.14063777596075225</v>
      </c>
      <c r="AV110" s="84">
        <f t="shared" si="218"/>
        <v>0.10757314974182444</v>
      </c>
      <c r="AW110" s="84">
        <f t="shared" si="218"/>
        <v>-4.663677130044843E-2</v>
      </c>
      <c r="AX110" s="84">
        <f t="shared" si="218"/>
        <v>0.13560885608856088</v>
      </c>
      <c r="AY110" s="84">
        <f t="shared" si="218"/>
        <v>9.1996320147194107E-3</v>
      </c>
      <c r="AZ110" s="84">
        <f t="shared" si="218"/>
        <v>8.9285714285714288E-2</v>
      </c>
      <c r="BA110" s="84">
        <f t="shared" si="218"/>
        <v>0.12421805183199285</v>
      </c>
      <c r="BB110" s="84">
        <f t="shared" si="218"/>
        <v>0.19964349376114082</v>
      </c>
      <c r="BC110" s="84">
        <f t="shared" ref="BC110:BJ110" si="219">BC104/BC49</f>
        <v>7.156133828996282E-2</v>
      </c>
      <c r="BD110" s="84">
        <f t="shared" si="219"/>
        <v>7.1942446043165464E-2</v>
      </c>
      <c r="BE110" s="84">
        <f t="shared" si="219"/>
        <v>0.29259259259259257</v>
      </c>
      <c r="BF110" s="84">
        <f t="shared" si="219"/>
        <v>0.32971014492753625</v>
      </c>
      <c r="BG110" s="84">
        <f t="shared" si="219"/>
        <v>0.23054755043227665</v>
      </c>
      <c r="BH110" s="84">
        <f t="shared" si="219"/>
        <v>0.22096317280453256</v>
      </c>
      <c r="BI110" s="84">
        <f t="shared" si="219"/>
        <v>0.26199261992619927</v>
      </c>
      <c r="BJ110" s="84">
        <f t="shared" si="219"/>
        <v>0.27696289905090593</v>
      </c>
      <c r="BK110" s="84">
        <f>BK104/BK49</f>
        <v>0.26489459211732358</v>
      </c>
      <c r="BS110" s="84">
        <f t="shared" ref="BS110:CG110" si="220">BS104/BS49</f>
        <v>0.33929713368102432</v>
      </c>
      <c r="BT110" s="84">
        <f t="shared" si="220"/>
        <v>0.25413054759359038</v>
      </c>
      <c r="BU110" s="84">
        <f t="shared" si="220"/>
        <v>0.27190190109894746</v>
      </c>
      <c r="BV110" s="84">
        <f t="shared" si="220"/>
        <v>0.26930391681772126</v>
      </c>
      <c r="BW110" s="84">
        <f t="shared" si="220"/>
        <v>0.35405405405405405</v>
      </c>
      <c r="BX110" s="84">
        <f t="shared" si="220"/>
        <v>0.32485404503753129</v>
      </c>
      <c r="BY110" s="84">
        <f t="shared" si="220"/>
        <v>0.31795058139534882</v>
      </c>
      <c r="BZ110" s="84">
        <f t="shared" si="220"/>
        <v>0.34263426342634262</v>
      </c>
      <c r="CA110" s="84">
        <f t="shared" si="220"/>
        <v>0.29664126446514255</v>
      </c>
      <c r="CB110" s="84">
        <f t="shared" si="220"/>
        <v>0.33343624575486264</v>
      </c>
      <c r="CC110" s="84">
        <f t="shared" si="220"/>
        <v>0.12041537781705701</v>
      </c>
      <c r="CD110" s="84">
        <f t="shared" si="220"/>
        <v>8.5514834205933685E-2</v>
      </c>
      <c r="CE110" s="84">
        <f t="shared" si="220"/>
        <v>0.10612788632326821</v>
      </c>
      <c r="CF110" s="84">
        <f t="shared" si="220"/>
        <v>0.19144556267154619</v>
      </c>
      <c r="CG110" s="84">
        <f t="shared" si="220"/>
        <v>0.24844577481003915</v>
      </c>
    </row>
    <row r="111" spans="2:147">
      <c r="B111" s="1" t="s">
        <v>144</v>
      </c>
      <c r="C111" s="84">
        <f t="shared" ref="C111:BB111" si="221">C106/C49</f>
        <v>0.26999628338318321</v>
      </c>
      <c r="D111" s="84">
        <f t="shared" si="221"/>
        <v>0.19139676465472255</v>
      </c>
      <c r="E111" s="84">
        <f t="shared" si="221"/>
        <v>0.28814984352375173</v>
      </c>
      <c r="F111" s="84">
        <f t="shared" si="221"/>
        <v>0.32465179888911544</v>
      </c>
      <c r="G111" s="84">
        <f t="shared" si="221"/>
        <v>0.19194192909777469</v>
      </c>
      <c r="H111" s="84">
        <f t="shared" si="221"/>
        <v>0.2686426211748103</v>
      </c>
      <c r="I111" s="84">
        <f t="shared" si="221"/>
        <v>0.11745734134618749</v>
      </c>
      <c r="J111" s="84">
        <f t="shared" si="221"/>
        <v>0.19974778911289673</v>
      </c>
      <c r="K111" s="84">
        <f t="shared" si="221"/>
        <v>0.20062666561920242</v>
      </c>
      <c r="L111" s="84">
        <f t="shared" si="221"/>
        <v>0.22269094523453162</v>
      </c>
      <c r="M111" s="84">
        <f t="shared" si="221"/>
        <v>0.17994955156950668</v>
      </c>
      <c r="N111" s="84">
        <f t="shared" si="221"/>
        <v>0.25696441757072852</v>
      </c>
      <c r="O111" s="84">
        <f t="shared" si="221"/>
        <v>4.2955836884269974E-2</v>
      </c>
      <c r="P111" s="84">
        <f t="shared" si="221"/>
        <v>0.34565920709255354</v>
      </c>
      <c r="Q111" s="84">
        <f t="shared" si="221"/>
        <v>0.2429665231050912</v>
      </c>
      <c r="R111" s="84">
        <f t="shared" si="221"/>
        <v>0.20632578618561653</v>
      </c>
      <c r="S111" s="84">
        <f t="shared" si="221"/>
        <v>5.6126929897041197E-2</v>
      </c>
      <c r="T111" s="84">
        <f t="shared" si="221"/>
        <v>0.241192632995784</v>
      </c>
      <c r="U111" s="84">
        <f t="shared" si="221"/>
        <v>0.27538249335327503</v>
      </c>
      <c r="V111" s="84">
        <f t="shared" si="221"/>
        <v>0.55956545102452582</v>
      </c>
      <c r="W111" s="84">
        <f t="shared" si="221"/>
        <v>8.0419580419580416E-2</v>
      </c>
      <c r="X111" s="84">
        <f t="shared" si="221"/>
        <v>0.28999999999999998</v>
      </c>
      <c r="Y111" s="84">
        <f t="shared" si="221"/>
        <v>0.19604612850082373</v>
      </c>
      <c r="Z111" s="84">
        <f t="shared" si="221"/>
        <v>0.29079159935379645</v>
      </c>
      <c r="AA111" s="84">
        <f t="shared" si="221"/>
        <v>0.14214046822742474</v>
      </c>
      <c r="AB111" s="84">
        <f t="shared" si="221"/>
        <v>0.1646525679758308</v>
      </c>
      <c r="AC111" s="84">
        <f t="shared" si="221"/>
        <v>0.21428571428571427</v>
      </c>
      <c r="AD111" s="84">
        <f t="shared" si="221"/>
        <v>0.28020565552699228</v>
      </c>
      <c r="AE111" s="84">
        <f t="shared" si="221"/>
        <v>1.0714285714285714</v>
      </c>
      <c r="AF111" s="84">
        <f t="shared" si="221"/>
        <v>0.26265060240963856</v>
      </c>
      <c r="AG111" s="84">
        <f t="shared" si="221"/>
        <v>0.26729191090269638</v>
      </c>
      <c r="AH111" s="84">
        <f t="shared" si="221"/>
        <v>0.15708556149732619</v>
      </c>
      <c r="AI111" s="84">
        <f t="shared" si="221"/>
        <v>0.16784869976359337</v>
      </c>
      <c r="AJ111" s="84">
        <f t="shared" si="221"/>
        <v>0.11455847255369929</v>
      </c>
      <c r="AK111" s="84">
        <f t="shared" si="221"/>
        <v>0.24035281146637266</v>
      </c>
      <c r="AL111" s="84">
        <f t="shared" si="221"/>
        <v>0.40546218487394958</v>
      </c>
      <c r="AM111" s="84">
        <f t="shared" si="221"/>
        <v>0.28055878928987193</v>
      </c>
      <c r="AN111" s="84">
        <f t="shared" si="221"/>
        <v>0.31753554502369669</v>
      </c>
      <c r="AO111" s="84">
        <f t="shared" si="221"/>
        <v>0.13224181360201512</v>
      </c>
      <c r="AP111" s="84">
        <f t="shared" si="221"/>
        <v>0.36096537250786986</v>
      </c>
      <c r="AQ111" s="84">
        <f t="shared" si="221"/>
        <v>0.21957913998170173</v>
      </c>
      <c r="AR111" s="84">
        <f t="shared" si="221"/>
        <v>0.18561278863232683</v>
      </c>
      <c r="AS111" s="84">
        <f t="shared" si="221"/>
        <v>-0.29241877256317689</v>
      </c>
      <c r="AT111" s="84">
        <f t="shared" si="221"/>
        <v>0.17681401167639699</v>
      </c>
      <c r="AU111" s="84">
        <f t="shared" si="221"/>
        <v>9.0760425183973828E-2</v>
      </c>
      <c r="AV111" s="84">
        <f t="shared" si="221"/>
        <v>4.6471600688468159E-2</v>
      </c>
      <c r="AW111" s="84">
        <f t="shared" si="221"/>
        <v>-0.10582959641255606</v>
      </c>
      <c r="AX111" s="84">
        <f t="shared" si="221"/>
        <v>5.4428044280442803E-2</v>
      </c>
      <c r="AY111" s="84">
        <f t="shared" si="221"/>
        <v>-3.8638454461821528E-2</v>
      </c>
      <c r="AZ111" s="84">
        <f t="shared" si="221"/>
        <v>4.9319727891156462E-2</v>
      </c>
      <c r="BA111" s="84">
        <f t="shared" si="221"/>
        <v>8.40035746201966E-2</v>
      </c>
      <c r="BB111" s="84">
        <f t="shared" si="221"/>
        <v>0.15418894830659535</v>
      </c>
      <c r="BC111" s="84">
        <f t="shared" ref="BC111:BJ111" si="222">BC106/BC49</f>
        <v>3.8104089219330853E-2</v>
      </c>
      <c r="BD111" s="84">
        <f t="shared" si="222"/>
        <v>4.4064748201438846E-2</v>
      </c>
      <c r="BE111" s="84">
        <f t="shared" si="222"/>
        <v>0.26296296296296295</v>
      </c>
      <c r="BF111" s="84">
        <f t="shared" si="222"/>
        <v>0.30344202898550726</v>
      </c>
      <c r="BG111" s="84">
        <f t="shared" si="222"/>
        <v>0.19980787704130643</v>
      </c>
      <c r="BH111" s="84">
        <f t="shared" si="222"/>
        <v>0.19263456090651557</v>
      </c>
      <c r="BI111" s="84">
        <f t="shared" si="222"/>
        <v>0.23339483394833949</v>
      </c>
      <c r="BJ111" s="84">
        <f t="shared" si="222"/>
        <v>0.22950819672131148</v>
      </c>
      <c r="BK111" s="84">
        <f>BK106/BK49</f>
        <v>0.23006416131989002</v>
      </c>
      <c r="BS111" s="84">
        <f t="shared" ref="BS111:CG111" si="223">BS106/BS49</f>
        <v>0.26559043518215886</v>
      </c>
      <c r="BT111" s="84">
        <f t="shared" si="223"/>
        <v>0.19424370230802182</v>
      </c>
      <c r="BU111" s="84">
        <f t="shared" si="223"/>
        <v>0.21616292962598632</v>
      </c>
      <c r="BV111" s="84">
        <f t="shared" si="223"/>
        <v>0.21235839639660939</v>
      </c>
      <c r="BW111" s="84">
        <f t="shared" si="223"/>
        <v>0.28963963963963962</v>
      </c>
      <c r="BX111" s="84">
        <f t="shared" si="223"/>
        <v>0.21643035863219348</v>
      </c>
      <c r="BY111" s="84">
        <f t="shared" si="223"/>
        <v>0.20530523255813954</v>
      </c>
      <c r="BZ111" s="84">
        <f t="shared" si="223"/>
        <v>0.25382538253825382</v>
      </c>
      <c r="CA111" s="84">
        <f t="shared" si="223"/>
        <v>0.23765170759243578</v>
      </c>
      <c r="CB111" s="84">
        <f t="shared" si="223"/>
        <v>0.27508490274776165</v>
      </c>
      <c r="CC111" s="84">
        <f t="shared" si="223"/>
        <v>7.4458683163941664E-2</v>
      </c>
      <c r="CD111" s="84">
        <f t="shared" si="223"/>
        <v>2.3123909249563701E-2</v>
      </c>
      <c r="CE111" s="84">
        <f t="shared" si="223"/>
        <v>6.2833037300177613E-2</v>
      </c>
      <c r="CF111" s="84">
        <f t="shared" si="223"/>
        <v>0.1621683440073193</v>
      </c>
      <c r="CG111" s="84">
        <f t="shared" si="223"/>
        <v>0.21436794842274925</v>
      </c>
    </row>
    <row r="112" spans="2:147">
      <c r="B112" s="1" t="s">
        <v>145</v>
      </c>
      <c r="C112" s="84">
        <f t="shared" ref="C112:BB112" si="224">C105/C49</f>
        <v>-4.3537511282586767E-2</v>
      </c>
      <c r="D112" s="84">
        <f t="shared" si="224"/>
        <v>-5.6368064011132368E-2</v>
      </c>
      <c r="E112" s="84">
        <f t="shared" si="224"/>
        <v>-9.4195729068913242E-2</v>
      </c>
      <c r="F112" s="84">
        <f t="shared" si="224"/>
        <v>-0.10842520724114352</v>
      </c>
      <c r="G112" s="84">
        <f t="shared" si="224"/>
        <v>-4.796715181288265E-2</v>
      </c>
      <c r="H112" s="84">
        <f t="shared" si="224"/>
        <v>-7.4645322461663458E-2</v>
      </c>
      <c r="I112" s="84">
        <f t="shared" si="224"/>
        <v>-6.1740487067729131E-2</v>
      </c>
      <c r="J112" s="84">
        <f t="shared" si="224"/>
        <v>-5.5295620260941265E-2</v>
      </c>
      <c r="K112" s="84">
        <f t="shared" si="224"/>
        <v>-6.478465545477069E-2</v>
      </c>
      <c r="L112" s="84">
        <f t="shared" si="224"/>
        <v>-3.3326206175200962E-2</v>
      </c>
      <c r="M112" s="84">
        <f t="shared" si="224"/>
        <v>-5.3054932735426004E-2</v>
      </c>
      <c r="N112" s="84">
        <f t="shared" si="224"/>
        <v>-7.050908020633781E-2</v>
      </c>
      <c r="O112" s="84">
        <f t="shared" si="224"/>
        <v>-4.5182648456085231E-2</v>
      </c>
      <c r="P112" s="84">
        <f t="shared" si="224"/>
        <v>-5.2112751581882534E-2</v>
      </c>
      <c r="Q112" s="84">
        <f t="shared" si="224"/>
        <v>-5.9979610095083534E-2</v>
      </c>
      <c r="R112" s="84">
        <f t="shared" si="224"/>
        <v>-6.7980928180116668E-2</v>
      </c>
      <c r="S112" s="84">
        <f t="shared" si="224"/>
        <v>-6.7867388337526577E-2</v>
      </c>
      <c r="T112" s="84">
        <f t="shared" si="224"/>
        <v>-7.6664231763253224E-2</v>
      </c>
      <c r="U112" s="84">
        <f t="shared" si="224"/>
        <v>-5.353543981056607E-2</v>
      </c>
      <c r="V112" s="84">
        <f t="shared" si="224"/>
        <v>-6.0222783235831884E-2</v>
      </c>
      <c r="W112" s="84">
        <f t="shared" si="224"/>
        <v>-9.2657342657342656E-2</v>
      </c>
      <c r="X112" s="84">
        <f t="shared" si="224"/>
        <v>-0.11333333333333333</v>
      </c>
      <c r="Y112" s="84">
        <f t="shared" si="224"/>
        <v>-9.3904448105436578E-2</v>
      </c>
      <c r="Z112" s="84">
        <f t="shared" si="224"/>
        <v>-0.13247172859450726</v>
      </c>
      <c r="AA112" s="84">
        <f t="shared" si="224"/>
        <v>-0.13879598662207357</v>
      </c>
      <c r="AB112" s="84">
        <f t="shared" si="224"/>
        <v>-0.10422960725075529</v>
      </c>
      <c r="AC112" s="84">
        <f t="shared" si="224"/>
        <v>-0.11484593837535013</v>
      </c>
      <c r="AD112" s="84">
        <f t="shared" si="224"/>
        <v>-9.7686375321336755E-2</v>
      </c>
      <c r="AE112" s="84">
        <f t="shared" si="224"/>
        <v>-0.58441558441558439</v>
      </c>
      <c r="AF112" s="84">
        <f t="shared" si="224"/>
        <v>-9.2771084337349402E-2</v>
      </c>
      <c r="AG112" s="84">
        <f t="shared" si="224"/>
        <v>-7.5029308323563887E-2</v>
      </c>
      <c r="AH112" s="84">
        <f t="shared" si="224"/>
        <v>-4.3449197860962567E-2</v>
      </c>
      <c r="AI112" s="84">
        <f t="shared" si="224"/>
        <v>-6.6193853427895979E-2</v>
      </c>
      <c r="AJ112" s="84">
        <f t="shared" si="224"/>
        <v>-5.6085918854415273E-2</v>
      </c>
      <c r="AK112" s="84">
        <f t="shared" si="224"/>
        <v>-5.4024255788313123E-2</v>
      </c>
      <c r="AL112" s="84">
        <f t="shared" si="224"/>
        <v>-5.9873949579831935E-2</v>
      </c>
      <c r="AM112" s="84">
        <f t="shared" si="224"/>
        <v>-4.6565774155995346E-2</v>
      </c>
      <c r="AN112" s="84">
        <f t="shared" si="224"/>
        <v>-6.1611374407582936E-2</v>
      </c>
      <c r="AO112" s="84">
        <f t="shared" si="224"/>
        <v>-6.0453400503778336E-2</v>
      </c>
      <c r="AP112" s="84">
        <f t="shared" si="224"/>
        <v>-6.5057712486883523E-2</v>
      </c>
      <c r="AQ112" s="84">
        <f t="shared" si="224"/>
        <v>-3.8426349496797803E-2</v>
      </c>
      <c r="AR112" s="84">
        <f t="shared" si="224"/>
        <v>-3.9076376554174071E-2</v>
      </c>
      <c r="AS112" s="84">
        <f t="shared" si="224"/>
        <v>-4.6931407942238268E-2</v>
      </c>
      <c r="AT112" s="84">
        <f t="shared" si="224"/>
        <v>-5.8381984987489574E-2</v>
      </c>
      <c r="AU112" s="84">
        <f t="shared" si="224"/>
        <v>-4.9877350776778413E-2</v>
      </c>
      <c r="AV112" s="84">
        <f t="shared" si="224"/>
        <v>-6.1101549053356283E-2</v>
      </c>
      <c r="AW112" s="84">
        <f t="shared" si="224"/>
        <v>-5.9192825112107626E-2</v>
      </c>
      <c r="AX112" s="84">
        <f t="shared" si="224"/>
        <v>-8.1180811808118078E-2</v>
      </c>
      <c r="AY112" s="84">
        <f t="shared" si="224"/>
        <v>-4.7838086476540941E-2</v>
      </c>
      <c r="AZ112" s="84">
        <f t="shared" si="224"/>
        <v>-3.9965986394557826E-2</v>
      </c>
      <c r="BA112" s="84">
        <f t="shared" si="224"/>
        <v>-4.0214477211796246E-2</v>
      </c>
      <c r="BB112" s="84">
        <f t="shared" si="224"/>
        <v>-4.5454545454545456E-2</v>
      </c>
      <c r="BC112" s="84">
        <f t="shared" ref="BC112:BJ112" si="225">BC105/BC49</f>
        <v>-3.3457249070631967E-2</v>
      </c>
      <c r="BD112" s="84">
        <f t="shared" si="225"/>
        <v>-2.7877697841726619E-2</v>
      </c>
      <c r="BE112" s="84">
        <f t="shared" si="225"/>
        <v>-2.9629629629629631E-2</v>
      </c>
      <c r="BF112" s="84">
        <f t="shared" si="225"/>
        <v>-2.6268115942028984E-2</v>
      </c>
      <c r="BG112" s="84">
        <f t="shared" si="225"/>
        <v>-3.073967339097022E-2</v>
      </c>
      <c r="BH112" s="84">
        <f t="shared" si="225"/>
        <v>-2.8328611898016998E-2</v>
      </c>
      <c r="BI112" s="84">
        <f t="shared" si="225"/>
        <v>-2.859778597785978E-2</v>
      </c>
      <c r="BJ112" s="84">
        <f t="shared" si="225"/>
        <v>-4.7454702329594478E-2</v>
      </c>
      <c r="BK112" s="84">
        <f>BK105/BK49</f>
        <v>-3.4830430797433545E-2</v>
      </c>
      <c r="BS112" s="84">
        <f t="shared" ref="BS112:CG112" si="226">BS105/BS49</f>
        <v>-7.3706698498865506E-2</v>
      </c>
      <c r="BT112" s="84">
        <f t="shared" si="226"/>
        <v>-5.9886845285568507E-2</v>
      </c>
      <c r="BU112" s="84">
        <f t="shared" si="226"/>
        <v>-5.5738971472961162E-2</v>
      </c>
      <c r="BV112" s="84">
        <f t="shared" si="226"/>
        <v>-5.6945520421111909E-2</v>
      </c>
      <c r="BW112" s="84">
        <f t="shared" si="226"/>
        <v>-6.4414414414414409E-2</v>
      </c>
      <c r="BX112" s="84">
        <f t="shared" si="226"/>
        <v>-0.10842368640533778</v>
      </c>
      <c r="BY112" s="84">
        <f t="shared" si="226"/>
        <v>-0.11264534883720931</v>
      </c>
      <c r="BZ112" s="84">
        <f t="shared" si="226"/>
        <v>-8.8808880888088804E-2</v>
      </c>
      <c r="CA112" s="84">
        <f t="shared" si="226"/>
        <v>-5.8989556872706746E-2</v>
      </c>
      <c r="CB112" s="84">
        <f t="shared" si="226"/>
        <v>-5.8351343007100959E-2</v>
      </c>
      <c r="CC112" s="84">
        <f t="shared" si="226"/>
        <v>-4.5956694653115332E-2</v>
      </c>
      <c r="CD112" s="84">
        <f t="shared" si="226"/>
        <v>-6.2390924956369984E-2</v>
      </c>
      <c r="CE112" s="84">
        <f t="shared" si="226"/>
        <v>-4.3294849023090588E-2</v>
      </c>
      <c r="CF112" s="84">
        <f t="shared" si="226"/>
        <v>-2.92772186642269E-2</v>
      </c>
      <c r="CG112" s="84">
        <f t="shared" si="226"/>
        <v>-3.4077826387289893E-2</v>
      </c>
    </row>
  </sheetData>
  <mergeCells count="1">
    <mergeCell ref="CP88:CQ88"/>
  </mergeCells>
  <conditionalFormatting sqref="CP8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Sell",CP88)))</formula>
    </cfRule>
    <cfRule type="containsText" dxfId="3" priority="3" operator="containsText" text="Sell">
      <formula>NOT(ISERROR(SEARCH("Sell",CP88)))</formula>
    </cfRule>
    <cfRule type="containsText" dxfId="2" priority="4" operator="containsText" text="Hold">
      <formula>NOT(ISERROR(SEARCH("Hold",CP88)))</formula>
    </cfRule>
    <cfRule type="beginsWith" dxfId="1" priority="5" operator="beginsWith" text="Buy">
      <formula>LEFT(CP88,LEN("Buy"))="Buy"</formula>
    </cfRule>
    <cfRule type="beginsWith" dxfId="0" priority="6" operator="beginsWith" text="Strong">
      <formula>LEFT(CP88,LEN("Strong"))="Strong"</formula>
    </cfRule>
  </conditionalFormatting>
  <pageMargins left="0.7" right="0.7" top="0.75" bottom="0.75" header="0.3" footer="0.3"/>
  <ignoredErrors>
    <ignoredError sqref="CI14:CQ14 CC15:CG15 CL82:CL84 CN76:CN77 CP80:CQ82 CR87 AU38:BH41 CL88:CL91 BI37:BK41 AU10:BH14 BI10:BK15 BK16:BK17 BK18:BK19 AQ25:BK30 CD10:CG14 C62:BK62 CP84:CQ88 CP83" evalError="1"/>
    <ignoredError sqref="AT7 AX7" formula="1"/>
    <ignoredError sqref="BB94:BK101 BS49:CG63 BS104:CG108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692"/>
  <sheetViews>
    <sheetView topLeftCell="P120" zoomScale="55" zoomScaleNormal="55" workbookViewId="0">
      <selection activeCell="AA52" sqref="AA52"/>
    </sheetView>
  </sheetViews>
  <sheetFormatPr defaultColWidth="9.140625" defaultRowHeight="14.25"/>
  <cols>
    <col min="1" max="7" width="0" style="1" hidden="1" customWidth="1"/>
    <col min="8" max="8" width="3.140625" style="1" hidden="1" customWidth="1"/>
    <col min="9" max="15" width="0" style="1" hidden="1" customWidth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99</v>
      </c>
      <c r="AL2" s="2" t="s">
        <v>141</v>
      </c>
    </row>
    <row r="32" spans="17:18">
      <c r="Q32" s="1" t="s">
        <v>15</v>
      </c>
      <c r="R32" s="1" t="s">
        <v>16</v>
      </c>
    </row>
    <row r="33" spans="16:38">
      <c r="R33" s="1" t="s">
        <v>17</v>
      </c>
    </row>
    <row r="34" spans="16:38">
      <c r="R34" s="1" t="s">
        <v>18</v>
      </c>
    </row>
    <row r="35" spans="16:38" ht="15">
      <c r="AL35" s="2" t="s">
        <v>142</v>
      </c>
    </row>
    <row r="36" spans="16:38" ht="15">
      <c r="P36" s="2" t="s">
        <v>140</v>
      </c>
      <c r="AL36" s="2" t="s">
        <v>77</v>
      </c>
    </row>
    <row r="37" spans="16:38">
      <c r="AL37" s="1" t="s">
        <v>78</v>
      </c>
    </row>
    <row r="65" spans="16:38">
      <c r="Q65" s="1" t="s">
        <v>15</v>
      </c>
      <c r="R65" s="1" t="s">
        <v>16</v>
      </c>
    </row>
    <row r="66" spans="16:38">
      <c r="R66" s="1" t="s">
        <v>17</v>
      </c>
    </row>
    <row r="67" spans="16:38">
      <c r="R67" s="1" t="s">
        <v>18</v>
      </c>
    </row>
    <row r="69" spans="16:38" ht="15">
      <c r="P69" s="2" t="s">
        <v>14</v>
      </c>
      <c r="AL69" s="2" t="s">
        <v>79</v>
      </c>
    </row>
    <row r="70" spans="16:38">
      <c r="AL70" s="1" t="s">
        <v>120</v>
      </c>
    </row>
    <row r="101" spans="16:38">
      <c r="Q101" s="1" t="s">
        <v>15</v>
      </c>
      <c r="R101" s="1" t="s">
        <v>16</v>
      </c>
    </row>
    <row r="102" spans="16:38">
      <c r="R102" s="1" t="s">
        <v>17</v>
      </c>
    </row>
    <row r="103" spans="16:38">
      <c r="R103" s="1" t="s">
        <v>18</v>
      </c>
    </row>
    <row r="105" spans="16:38" ht="15">
      <c r="P105" s="2" t="s">
        <v>102</v>
      </c>
      <c r="AL105" s="2" t="s">
        <v>80</v>
      </c>
    </row>
    <row r="106" spans="16:38">
      <c r="AL106" s="1" t="s">
        <v>81</v>
      </c>
    </row>
    <row r="134" spans="16:38">
      <c r="Q134" s="1" t="s">
        <v>15</v>
      </c>
      <c r="R134" s="1" t="s">
        <v>16</v>
      </c>
    </row>
    <row r="135" spans="16:38">
      <c r="R135" s="1" t="s">
        <v>17</v>
      </c>
    </row>
    <row r="136" spans="16:38">
      <c r="R136" s="1" t="s">
        <v>18</v>
      </c>
    </row>
    <row r="138" spans="16:38" ht="15">
      <c r="P138" s="2" t="s">
        <v>101</v>
      </c>
      <c r="AL138" s="2" t="s">
        <v>82</v>
      </c>
    </row>
    <row r="139" spans="16:38">
      <c r="AL139" s="1" t="s">
        <v>83</v>
      </c>
    </row>
    <row r="154" ht="15" customHeight="1"/>
    <row r="167" spans="17:18">
      <c r="Q167" s="1" t="s">
        <v>15</v>
      </c>
      <c r="R167" s="1" t="s">
        <v>16</v>
      </c>
    </row>
    <row r="168" spans="17:18">
      <c r="R168" s="1" t="s">
        <v>17</v>
      </c>
    </row>
    <row r="169" spans="17:18">
      <c r="R169" s="1" t="s">
        <v>18</v>
      </c>
    </row>
    <row r="184" spans="1:15">
      <c r="A184" s="1" t="s">
        <v>121</v>
      </c>
    </row>
    <row r="185" spans="1:15">
      <c r="A185" s="1" t="s">
        <v>1684</v>
      </c>
      <c r="I185" s="1" t="s">
        <v>1684</v>
      </c>
    </row>
    <row r="186" spans="1:15">
      <c r="A186" s="24" t="s">
        <v>19</v>
      </c>
      <c r="B186" s="24" t="s">
        <v>20</v>
      </c>
      <c r="C186" s="24" t="s">
        <v>21</v>
      </c>
      <c r="D186" s="24" t="s">
        <v>22</v>
      </c>
      <c r="E186" s="24" t="s">
        <v>23</v>
      </c>
      <c r="F186" s="24" t="s">
        <v>24</v>
      </c>
      <c r="G186" s="24" t="s">
        <v>25</v>
      </c>
      <c r="I186" s="24" t="s">
        <v>19</v>
      </c>
      <c r="J186" s="24" t="s">
        <v>20</v>
      </c>
      <c r="K186" s="24" t="s">
        <v>21</v>
      </c>
      <c r="L186" s="24" t="s">
        <v>22</v>
      </c>
      <c r="M186" s="24" t="s">
        <v>23</v>
      </c>
      <c r="N186" s="24" t="s">
        <v>24</v>
      </c>
      <c r="O186" s="24" t="s">
        <v>25</v>
      </c>
    </row>
    <row r="187" spans="1:15">
      <c r="A187" s="77">
        <v>684.84</v>
      </c>
      <c r="B187" s="77">
        <v>690.5</v>
      </c>
      <c r="C187" s="77">
        <v>680.21500000000003</v>
      </c>
      <c r="D187" s="77">
        <v>686.98</v>
      </c>
      <c r="E187" s="77">
        <v>6980816.8136</v>
      </c>
      <c r="F187" s="77" t="s">
        <v>178</v>
      </c>
      <c r="G187" s="25">
        <f>A187/D187-1</f>
        <v>-3.1150834085417189E-3</v>
      </c>
      <c r="I187" s="78">
        <v>188.68</v>
      </c>
      <c r="J187" s="78">
        <v>189.46</v>
      </c>
      <c r="K187" s="78">
        <v>184.4</v>
      </c>
      <c r="L187" s="78">
        <v>186.755</v>
      </c>
      <c r="M187" s="78">
        <v>2941433.1474000001</v>
      </c>
      <c r="N187" s="78" t="s">
        <v>178</v>
      </c>
      <c r="O187" s="25">
        <f>I187/L187-1</f>
        <v>1.0307622285882667E-2</v>
      </c>
    </row>
    <row r="188" spans="1:15">
      <c r="A188" s="77">
        <v>685.46</v>
      </c>
      <c r="B188" s="77">
        <v>688.83</v>
      </c>
      <c r="C188" s="77">
        <v>682.3</v>
      </c>
      <c r="D188" s="77">
        <v>684.73</v>
      </c>
      <c r="E188" s="77">
        <v>8627875.0035999995</v>
      </c>
      <c r="F188" s="77" t="s">
        <v>179</v>
      </c>
      <c r="G188" s="25">
        <f t="shared" ref="G188:G251" si="0">A188/D188-1</f>
        <v>1.0661136506360247E-3</v>
      </c>
      <c r="I188" s="78">
        <v>183.89</v>
      </c>
      <c r="J188" s="78">
        <v>184.9</v>
      </c>
      <c r="K188" s="78">
        <v>175.6</v>
      </c>
      <c r="L188" s="78">
        <v>175.83</v>
      </c>
      <c r="M188" s="78">
        <v>2125399.7448999998</v>
      </c>
      <c r="N188" s="78" t="s">
        <v>179</v>
      </c>
      <c r="O188" s="25">
        <f t="shared" ref="O188:O251" si="1">I188/L188-1</f>
        <v>4.5839731558891872E-2</v>
      </c>
    </row>
    <row r="189" spans="1:15">
      <c r="A189" s="77">
        <v>686.81</v>
      </c>
      <c r="B189" s="77">
        <v>687.529</v>
      </c>
      <c r="C189" s="77">
        <v>680.99</v>
      </c>
      <c r="D189" s="77">
        <v>681.32</v>
      </c>
      <c r="E189" s="77">
        <v>9853712.8944000006</v>
      </c>
      <c r="F189" s="77" t="s">
        <v>180</v>
      </c>
      <c r="G189" s="25">
        <f t="shared" si="0"/>
        <v>8.0578876298946778E-3</v>
      </c>
      <c r="I189" s="78">
        <v>175.83</v>
      </c>
      <c r="J189" s="78">
        <v>181</v>
      </c>
      <c r="K189" s="78">
        <v>174.78</v>
      </c>
      <c r="L189" s="78">
        <v>180.97</v>
      </c>
      <c r="M189" s="78">
        <v>1753585.6927</v>
      </c>
      <c r="N189" s="78" t="s">
        <v>180</v>
      </c>
      <c r="O189" s="25">
        <f t="shared" si="1"/>
        <v>-2.8402497651544345E-2</v>
      </c>
    </row>
    <row r="190" spans="1:15">
      <c r="A190" s="77">
        <v>681.01</v>
      </c>
      <c r="B190" s="77">
        <v>681.56500000000005</v>
      </c>
      <c r="C190" s="77">
        <v>672.93</v>
      </c>
      <c r="D190" s="77">
        <v>677.01</v>
      </c>
      <c r="E190" s="77">
        <v>5649228.7867999999</v>
      </c>
      <c r="F190" s="77" t="s">
        <v>181</v>
      </c>
      <c r="G190" s="25">
        <f t="shared" si="0"/>
        <v>5.9083322255211179E-3</v>
      </c>
      <c r="I190" s="78">
        <v>181.1</v>
      </c>
      <c r="J190" s="78">
        <v>181.28</v>
      </c>
      <c r="K190" s="78">
        <v>175.13</v>
      </c>
      <c r="L190" s="78">
        <v>177.39</v>
      </c>
      <c r="M190" s="78">
        <v>1506842.1135</v>
      </c>
      <c r="N190" s="78" t="s">
        <v>181</v>
      </c>
      <c r="O190" s="25">
        <f t="shared" si="1"/>
        <v>2.0914369468403082E-2</v>
      </c>
    </row>
    <row r="191" spans="1:15">
      <c r="A191" s="77">
        <v>670.26</v>
      </c>
      <c r="B191" s="77">
        <v>676.95500000000004</v>
      </c>
      <c r="C191" s="77">
        <v>668.1</v>
      </c>
      <c r="D191" s="77">
        <v>669.96</v>
      </c>
      <c r="E191" s="77">
        <v>5935648.6288000001</v>
      </c>
      <c r="F191" s="77" t="s">
        <v>182</v>
      </c>
      <c r="G191" s="25">
        <f t="shared" si="0"/>
        <v>4.4778792763744413E-4</v>
      </c>
      <c r="I191" s="78">
        <v>176.55</v>
      </c>
      <c r="J191" s="78">
        <v>179.9255</v>
      </c>
      <c r="K191" s="78">
        <v>173.23500000000001</v>
      </c>
      <c r="L191" s="78">
        <v>176.065</v>
      </c>
      <c r="M191" s="78">
        <v>2183494.8528</v>
      </c>
      <c r="N191" s="78" t="s">
        <v>182</v>
      </c>
      <c r="O191" s="25">
        <f t="shared" si="1"/>
        <v>2.7546644705080947E-3</v>
      </c>
    </row>
    <row r="192" spans="1:15">
      <c r="A192" s="77">
        <v>673.74779998746499</v>
      </c>
      <c r="B192" s="77">
        <v>679.56087020091002</v>
      </c>
      <c r="C192" s="77">
        <v>670.62688922107009</v>
      </c>
      <c r="D192" s="77">
        <v>679.16203176430997</v>
      </c>
      <c r="E192" s="77">
        <v>23355606.123143647</v>
      </c>
      <c r="F192" s="77" t="s">
        <v>183</v>
      </c>
      <c r="G192" s="25">
        <f t="shared" si="0"/>
        <v>-7.9719294124556139E-3</v>
      </c>
      <c r="I192" s="78">
        <v>177.65</v>
      </c>
      <c r="J192" s="78">
        <v>182.84</v>
      </c>
      <c r="K192" s="78">
        <v>176.54</v>
      </c>
      <c r="L192" s="78">
        <v>178.24</v>
      </c>
      <c r="M192" s="78">
        <v>2910070.7074000002</v>
      </c>
      <c r="N192" s="78" t="s">
        <v>183</v>
      </c>
      <c r="O192" s="25">
        <f t="shared" si="1"/>
        <v>-3.3101436265708939E-3</v>
      </c>
    </row>
    <row r="193" spans="1:21">
      <c r="A193" s="77">
        <v>673.72785806563502</v>
      </c>
      <c r="B193" s="77">
        <v>680.08933112940508</v>
      </c>
      <c r="C193" s="77">
        <v>671.72369492171993</v>
      </c>
      <c r="D193" s="77">
        <v>675.71207928771992</v>
      </c>
      <c r="E193" s="77">
        <v>9593615.7837200798</v>
      </c>
      <c r="F193" s="77" t="s">
        <v>184</v>
      </c>
      <c r="G193" s="25">
        <f t="shared" si="0"/>
        <v>-2.9364891984415831E-3</v>
      </c>
      <c r="I193" s="78">
        <v>175.09</v>
      </c>
      <c r="J193" s="78">
        <v>177.76</v>
      </c>
      <c r="K193" s="78">
        <v>166.04</v>
      </c>
      <c r="L193" s="78">
        <v>166.12</v>
      </c>
      <c r="M193" s="78">
        <v>2643618.0685000001</v>
      </c>
      <c r="N193" s="78" t="s">
        <v>184</v>
      </c>
      <c r="O193" s="25">
        <f t="shared" si="1"/>
        <v>5.399711052251388E-2</v>
      </c>
    </row>
    <row r="194" spans="1:21">
      <c r="A194" s="77">
        <v>674.37597052511001</v>
      </c>
      <c r="B194" s="77">
        <v>679.7491219429852</v>
      </c>
      <c r="C194" s="77">
        <v>673.05980368432995</v>
      </c>
      <c r="D194" s="77">
        <v>674.39092696648254</v>
      </c>
      <c r="E194" s="77">
        <v>17263981.413069256</v>
      </c>
      <c r="F194" s="77" t="s">
        <v>185</v>
      </c>
      <c r="G194" s="25">
        <f t="shared" si="0"/>
        <v>-2.2177702537873323E-5</v>
      </c>
      <c r="I194" s="78">
        <v>164.93</v>
      </c>
      <c r="J194" s="78">
        <v>166.63</v>
      </c>
      <c r="K194" s="78">
        <v>159.97999999999999</v>
      </c>
      <c r="L194" s="78">
        <v>160.6</v>
      </c>
      <c r="M194" s="78">
        <v>2055862.9950999999</v>
      </c>
      <c r="N194" s="78" t="s">
        <v>185</v>
      </c>
      <c r="O194" s="25">
        <f t="shared" si="1"/>
        <v>2.6961394769614122E-2</v>
      </c>
    </row>
    <row r="195" spans="1:21">
      <c r="A195" s="77">
        <v>684.10762837815003</v>
      </c>
      <c r="B195" s="77">
        <v>689.49194727225006</v>
      </c>
      <c r="C195" s="77">
        <v>683.01082267749996</v>
      </c>
      <c r="D195" s="77">
        <v>687.16871337905491</v>
      </c>
      <c r="E195" s="77">
        <v>13365184.608990114</v>
      </c>
      <c r="F195" s="77" t="s">
        <v>186</v>
      </c>
      <c r="G195" s="25">
        <f t="shared" si="0"/>
        <v>-4.4546338349026326E-3</v>
      </c>
      <c r="I195" s="78">
        <v>161.38</v>
      </c>
      <c r="J195" s="78">
        <v>163.79</v>
      </c>
      <c r="K195" s="78">
        <v>158.91</v>
      </c>
      <c r="L195" s="78">
        <v>161.83000000000001</v>
      </c>
      <c r="M195" s="78">
        <v>1790688.0271000001</v>
      </c>
      <c r="N195" s="78" t="s">
        <v>186</v>
      </c>
      <c r="O195" s="25">
        <f t="shared" si="1"/>
        <v>-2.7806957918804498E-3</v>
      </c>
    </row>
    <row r="196" spans="1:21">
      <c r="A196" s="77">
        <v>686.111791522065</v>
      </c>
      <c r="B196" s="77">
        <v>687.69717430755009</v>
      </c>
      <c r="C196" s="77">
        <v>683.70878994155009</v>
      </c>
      <c r="D196" s="77">
        <v>687.29833587094993</v>
      </c>
      <c r="E196" s="77">
        <v>17768871.503895573</v>
      </c>
      <c r="F196" s="77" t="s">
        <v>187</v>
      </c>
      <c r="G196" s="25">
        <f t="shared" si="0"/>
        <v>-1.7263890903814749E-3</v>
      </c>
      <c r="I196" s="78">
        <v>161.93</v>
      </c>
      <c r="J196" s="78">
        <v>162.78</v>
      </c>
      <c r="K196" s="78">
        <v>159.51</v>
      </c>
      <c r="L196" s="78">
        <v>161.31</v>
      </c>
      <c r="M196" s="78">
        <v>3079550.1532000001</v>
      </c>
      <c r="N196" s="78" t="s">
        <v>187</v>
      </c>
      <c r="O196" s="25">
        <f t="shared" si="1"/>
        <v>3.8435310892070973E-3</v>
      </c>
    </row>
    <row r="197" spans="1:21">
      <c r="A197" s="77">
        <v>679.431247709015</v>
      </c>
      <c r="B197" s="77">
        <v>689.52186015499501</v>
      </c>
      <c r="C197" s="77">
        <v>677.66638762705998</v>
      </c>
      <c r="D197" s="77">
        <v>688.75409616453999</v>
      </c>
      <c r="E197" s="77">
        <v>15004527.195962839</v>
      </c>
      <c r="F197" s="77" t="s">
        <v>188</v>
      </c>
      <c r="G197" s="25">
        <f t="shared" si="0"/>
        <v>-1.3535815623371361E-2</v>
      </c>
      <c r="I197" s="78">
        <v>159.09</v>
      </c>
      <c r="J197" s="78">
        <v>165.4</v>
      </c>
      <c r="K197" s="78">
        <v>157.63</v>
      </c>
      <c r="L197" s="78">
        <v>163.24</v>
      </c>
      <c r="M197" s="78">
        <v>1591874.4620999999</v>
      </c>
      <c r="N197" s="78" t="s">
        <v>188</v>
      </c>
      <c r="O197" s="25">
        <f t="shared" si="1"/>
        <v>-2.5422690517030166E-2</v>
      </c>
    </row>
    <row r="198" spans="1:21">
      <c r="A198" s="77">
        <v>687.74702911212501</v>
      </c>
      <c r="B198" s="77">
        <v>692.55303227315505</v>
      </c>
      <c r="C198" s="77">
        <v>687.43792932376005</v>
      </c>
      <c r="D198" s="77">
        <v>691.8151811654451</v>
      </c>
      <c r="E198" s="77">
        <v>13322313.582251165</v>
      </c>
      <c r="F198" s="77" t="s">
        <v>189</v>
      </c>
      <c r="G198" s="25">
        <f t="shared" si="0"/>
        <v>-5.8804029805573643E-3</v>
      </c>
      <c r="I198" s="78">
        <v>164.28</v>
      </c>
      <c r="J198" s="78">
        <v>167.42</v>
      </c>
      <c r="K198" s="78">
        <v>162.74529999999999</v>
      </c>
      <c r="L198" s="78">
        <v>166.89</v>
      </c>
      <c r="M198" s="78">
        <v>1260625.9998999999</v>
      </c>
      <c r="N198" s="78" t="s">
        <v>189</v>
      </c>
      <c r="O198" s="25">
        <f t="shared" si="1"/>
        <v>-1.5639043681466736E-2</v>
      </c>
    </row>
    <row r="199" spans="1:21">
      <c r="A199" s="77">
        <v>691.8151811654451</v>
      </c>
      <c r="B199" s="77">
        <v>693.72960566112499</v>
      </c>
      <c r="C199" s="77">
        <v>689.25264421028999</v>
      </c>
      <c r="D199" s="77">
        <v>689.29252805394992</v>
      </c>
      <c r="E199" s="77">
        <v>14057972.880540572</v>
      </c>
      <c r="F199" s="77" t="s">
        <v>190</v>
      </c>
      <c r="G199" s="25">
        <f t="shared" si="0"/>
        <v>3.6597714451036545E-3</v>
      </c>
      <c r="I199" s="78">
        <v>166.89</v>
      </c>
      <c r="J199" s="78">
        <v>166.97</v>
      </c>
      <c r="K199" s="78">
        <v>160.78</v>
      </c>
      <c r="L199" s="78">
        <v>161.61000000000001</v>
      </c>
      <c r="M199" s="78">
        <v>2094821.1209</v>
      </c>
      <c r="N199" s="78" t="s">
        <v>190</v>
      </c>
      <c r="O199" s="25">
        <f t="shared" si="1"/>
        <v>3.2671245591237907E-2</v>
      </c>
    </row>
    <row r="200" spans="1:21">
      <c r="A200" s="77">
        <v>679.96967959842505</v>
      </c>
      <c r="B200" s="77">
        <v>682.45115264134108</v>
      </c>
      <c r="C200" s="77">
        <v>673.84750959661494</v>
      </c>
      <c r="D200" s="77">
        <v>679.09722051836252</v>
      </c>
      <c r="E200" s="77">
        <v>6314635.7692848304</v>
      </c>
      <c r="F200" s="77" t="s">
        <v>191</v>
      </c>
      <c r="G200" s="25">
        <f t="shared" si="0"/>
        <v>1.2847336930588149E-3</v>
      </c>
      <c r="I200" s="78">
        <v>160.97</v>
      </c>
      <c r="J200" s="78">
        <v>167.99780000000001</v>
      </c>
      <c r="K200" s="78">
        <v>159.34</v>
      </c>
      <c r="L200" s="78">
        <v>167.845</v>
      </c>
      <c r="M200" s="78">
        <v>1463812.3779</v>
      </c>
      <c r="N200" s="78" t="s">
        <v>191</v>
      </c>
      <c r="O200" s="25">
        <f t="shared" si="1"/>
        <v>-4.09604099019929E-2</v>
      </c>
      <c r="Q200" s="26"/>
      <c r="R200" s="26" t="s">
        <v>26</v>
      </c>
      <c r="S200" s="27">
        <f>MIN(O187:O1692)</f>
        <v>-0.11996466431095409</v>
      </c>
    </row>
    <row r="201" spans="1:21">
      <c r="A201" s="77">
        <v>676.26048213804506</v>
      </c>
      <c r="B201" s="77">
        <v>678.40423873477005</v>
      </c>
      <c r="C201" s="77">
        <v>664.065996939</v>
      </c>
      <c r="D201" s="77">
        <v>668.15409091415006</v>
      </c>
      <c r="E201" s="77">
        <v>19926769.008100156</v>
      </c>
      <c r="F201" s="77" t="s">
        <v>192</v>
      </c>
      <c r="G201" s="25">
        <f t="shared" si="0"/>
        <v>1.2132517534696241E-2</v>
      </c>
      <c r="I201" s="78">
        <v>166.21</v>
      </c>
      <c r="J201" s="78">
        <v>166.21</v>
      </c>
      <c r="K201" s="78">
        <v>160.65</v>
      </c>
      <c r="L201" s="78">
        <v>162.47</v>
      </c>
      <c r="M201" s="78">
        <v>1475192.0796999999</v>
      </c>
      <c r="N201" s="78" t="s">
        <v>192</v>
      </c>
      <c r="O201" s="25">
        <f t="shared" si="1"/>
        <v>2.3019634394042088E-2</v>
      </c>
      <c r="Q201" s="26"/>
      <c r="R201" s="26" t="s">
        <v>27</v>
      </c>
      <c r="S201" s="27">
        <f>MAX(O187:O1692)</f>
        <v>0.15555139837246301</v>
      </c>
    </row>
    <row r="202" spans="1:21">
      <c r="A202" s="77">
        <v>665.11294783507492</v>
      </c>
      <c r="B202" s="77">
        <v>676.9036091170625</v>
      </c>
      <c r="C202" s="77">
        <v>664.94344149951996</v>
      </c>
      <c r="D202" s="77">
        <v>672.35685093982261</v>
      </c>
      <c r="E202" s="77">
        <v>16356103.013668267</v>
      </c>
      <c r="F202" s="77" t="s">
        <v>193</v>
      </c>
      <c r="G202" s="25">
        <f t="shared" si="0"/>
        <v>-1.0773896472716982E-2</v>
      </c>
      <c r="I202" s="78">
        <v>162.47</v>
      </c>
      <c r="J202" s="78">
        <v>166.97</v>
      </c>
      <c r="K202" s="78">
        <v>162.09</v>
      </c>
      <c r="L202" s="78">
        <v>166.16</v>
      </c>
      <c r="M202" s="78">
        <v>2740733.9706999999</v>
      </c>
      <c r="N202" s="78" t="s">
        <v>193</v>
      </c>
      <c r="O202" s="25">
        <f t="shared" si="1"/>
        <v>-2.2207510832932154E-2</v>
      </c>
      <c r="Q202" s="26"/>
      <c r="R202" s="26" t="s">
        <v>28</v>
      </c>
      <c r="S202" s="27">
        <f>AVERAGE(O187:O1692)</f>
        <v>3.8240880374029973E-4</v>
      </c>
    </row>
    <row r="203" spans="1:21">
      <c r="A203" s="77">
        <v>675.73202120955</v>
      </c>
      <c r="B203" s="77">
        <v>684.76571179854</v>
      </c>
      <c r="C203" s="77">
        <v>662.39097521488918</v>
      </c>
      <c r="D203" s="77">
        <v>681.72456871946508</v>
      </c>
      <c r="E203" s="77">
        <v>13824281.688200761</v>
      </c>
      <c r="F203" s="77" t="s">
        <v>194</v>
      </c>
      <c r="G203" s="25">
        <f t="shared" si="0"/>
        <v>-8.7902765792515769E-3</v>
      </c>
      <c r="I203" s="78">
        <v>160.03</v>
      </c>
      <c r="J203" s="78">
        <v>161.12</v>
      </c>
      <c r="K203" s="78">
        <v>155.55000000000001</v>
      </c>
      <c r="L203" s="78">
        <v>158.755</v>
      </c>
      <c r="M203" s="78">
        <v>1426618.7655</v>
      </c>
      <c r="N203" s="78" t="s">
        <v>194</v>
      </c>
      <c r="O203" s="25">
        <f t="shared" si="1"/>
        <v>8.0312431104532234E-3</v>
      </c>
      <c r="Q203" s="26"/>
      <c r="R203" s="26" t="s">
        <v>29</v>
      </c>
      <c r="S203" s="27">
        <f>MEDIAN(O187:O1692)</f>
        <v>-5.953798771198282E-4</v>
      </c>
    </row>
    <row r="204" spans="1:21" ht="15">
      <c r="A204" s="77">
        <v>677.70627147071991</v>
      </c>
      <c r="B204" s="77">
        <v>683.29998054403495</v>
      </c>
      <c r="C204" s="77">
        <v>676.72911730105</v>
      </c>
      <c r="D204" s="77">
        <v>681.48526565750501</v>
      </c>
      <c r="E204" s="77">
        <v>8770213.3491915297</v>
      </c>
      <c r="F204" s="77" t="s">
        <v>195</v>
      </c>
      <c r="G204" s="25">
        <f t="shared" si="0"/>
        <v>-5.5452324169313894E-3</v>
      </c>
      <c r="I204" s="78">
        <v>158.04</v>
      </c>
      <c r="J204" s="78">
        <v>163.05000000000001</v>
      </c>
      <c r="K204" s="78">
        <v>156.58000000000001</v>
      </c>
      <c r="L204" s="78">
        <v>162.38999999999999</v>
      </c>
      <c r="M204" s="78">
        <v>1233565.9445</v>
      </c>
      <c r="N204" s="78" t="s">
        <v>195</v>
      </c>
      <c r="O204" s="25">
        <f t="shared" si="1"/>
        <v>-2.6787363753925653E-2</v>
      </c>
      <c r="Q204" s="26"/>
      <c r="R204" s="26" t="s">
        <v>30</v>
      </c>
      <c r="S204" s="27">
        <f>_xlfn.STDEV.P(O187:O1692)</f>
        <v>2.4131211383223113E-2</v>
      </c>
      <c r="U204" s="2"/>
    </row>
    <row r="205" spans="1:21" ht="15">
      <c r="A205" s="77">
        <v>676.03115003699997</v>
      </c>
      <c r="B205" s="77">
        <v>690.16997261447</v>
      </c>
      <c r="C205" s="77">
        <v>674.28623187687504</v>
      </c>
      <c r="D205" s="77">
        <v>689.70133745146506</v>
      </c>
      <c r="E205" s="77">
        <v>10720357.273910748</v>
      </c>
      <c r="F205" s="77" t="s">
        <v>196</v>
      </c>
      <c r="G205" s="25">
        <f t="shared" si="0"/>
        <v>-1.9820444984169794E-2</v>
      </c>
      <c r="I205" s="78">
        <v>162.32</v>
      </c>
      <c r="J205" s="78">
        <v>168.625</v>
      </c>
      <c r="K205" s="78">
        <v>160.6</v>
      </c>
      <c r="L205" s="78">
        <v>167.58</v>
      </c>
      <c r="M205" s="78">
        <v>2041666.5818</v>
      </c>
      <c r="N205" s="78" t="s">
        <v>196</v>
      </c>
      <c r="O205" s="25">
        <f t="shared" si="1"/>
        <v>-3.1387993794008917E-2</v>
      </c>
      <c r="Q205" s="26"/>
      <c r="R205" s="28" t="s">
        <v>31</v>
      </c>
      <c r="S205" s="27">
        <f>3*S204</f>
        <v>7.2393634149669345E-2</v>
      </c>
      <c r="T205" s="26"/>
      <c r="U205" s="2" t="s">
        <v>93</v>
      </c>
    </row>
    <row r="206" spans="1:21" ht="15">
      <c r="A206" s="77">
        <v>694.03870544948995</v>
      </c>
      <c r="B206" s="77">
        <v>695.17539499380007</v>
      </c>
      <c r="C206" s="77">
        <v>688.89368961734999</v>
      </c>
      <c r="D206" s="77">
        <v>689.48197631133496</v>
      </c>
      <c r="E206" s="77">
        <v>6594037.9644944174</v>
      </c>
      <c r="F206" s="77" t="s">
        <v>197</v>
      </c>
      <c r="G206" s="25">
        <f t="shared" si="0"/>
        <v>6.608916976384327E-3</v>
      </c>
      <c r="I206" s="78">
        <v>168.06</v>
      </c>
      <c r="J206" s="78">
        <v>177.22</v>
      </c>
      <c r="K206" s="78">
        <v>166.8</v>
      </c>
      <c r="L206" s="78">
        <v>171.8</v>
      </c>
      <c r="M206" s="78">
        <v>2592248.4048000001</v>
      </c>
      <c r="N206" s="78" t="s">
        <v>197</v>
      </c>
      <c r="O206" s="25">
        <f t="shared" si="1"/>
        <v>-2.1769499417927829E-2</v>
      </c>
      <c r="Q206" s="26"/>
      <c r="R206" s="28" t="s">
        <v>32</v>
      </c>
      <c r="S206" s="58">
        <f>_xlfn.COVARIANCE.P(O132:O380,G132:G380)/_xlfn.VAR.P(G132:G380)</f>
        <v>1.0053004247766544</v>
      </c>
      <c r="T206" s="26"/>
      <c r="U206" s="2" t="s">
        <v>33</v>
      </c>
    </row>
    <row r="207" spans="1:21">
      <c r="A207" s="77">
        <v>691.34654600244005</v>
      </c>
      <c r="B207" s="77">
        <v>695.6239885253658</v>
      </c>
      <c r="C207" s="77">
        <v>690.83802699577507</v>
      </c>
      <c r="D207" s="77">
        <v>695.05574346282003</v>
      </c>
      <c r="E207" s="77">
        <v>5899709.4767972017</v>
      </c>
      <c r="F207" s="77" t="s">
        <v>198</v>
      </c>
      <c r="G207" s="25">
        <f t="shared" si="0"/>
        <v>-5.33654673782058E-3</v>
      </c>
      <c r="I207" s="78">
        <v>170.93</v>
      </c>
      <c r="J207" s="78">
        <v>172.49</v>
      </c>
      <c r="K207" s="78">
        <v>160.1</v>
      </c>
      <c r="L207" s="78">
        <v>162.88999999999999</v>
      </c>
      <c r="M207" s="78">
        <v>3118158.0980000002</v>
      </c>
      <c r="N207" s="78" t="s">
        <v>198</v>
      </c>
      <c r="O207" s="25">
        <f t="shared" si="1"/>
        <v>4.9358462766284195E-2</v>
      </c>
    </row>
    <row r="208" spans="1:21">
      <c r="A208" s="77">
        <v>696.23231685078997</v>
      </c>
      <c r="B208" s="77">
        <v>697.11973237222503</v>
      </c>
      <c r="C208" s="77">
        <v>693.75951854386994</v>
      </c>
      <c r="D208" s="77">
        <v>694.03870544948995</v>
      </c>
      <c r="E208" s="77">
        <v>4712079.9863249687</v>
      </c>
      <c r="F208" s="77" t="s">
        <v>199</v>
      </c>
      <c r="G208" s="25">
        <f t="shared" si="0"/>
        <v>3.1606470706548873E-3</v>
      </c>
      <c r="I208" s="78">
        <v>162.55000000000001</v>
      </c>
      <c r="J208" s="78">
        <v>163.88</v>
      </c>
      <c r="K208" s="78">
        <v>159.47999999999999</v>
      </c>
      <c r="L208" s="78">
        <v>161.24</v>
      </c>
      <c r="M208" s="78">
        <v>2113738.6116999998</v>
      </c>
      <c r="N208" s="78" t="s">
        <v>199</v>
      </c>
      <c r="O208" s="25">
        <f t="shared" si="1"/>
        <v>8.1245348548746321E-3</v>
      </c>
      <c r="Q208" s="29" t="s">
        <v>34</v>
      </c>
      <c r="R208" s="30">
        <v>1014</v>
      </c>
    </row>
    <row r="209" spans="1:25" ht="15" thickBot="1">
      <c r="A209" s="77">
        <v>695.27510460294991</v>
      </c>
      <c r="B209" s="77">
        <v>697.02999372398995</v>
      </c>
      <c r="C209" s="77">
        <v>691.92486173551004</v>
      </c>
      <c r="D209" s="77">
        <v>692.52311939040999</v>
      </c>
      <c r="E209" s="77">
        <v>9977807.5136502534</v>
      </c>
      <c r="F209" s="77" t="s">
        <v>200</v>
      </c>
      <c r="G209" s="25">
        <f t="shared" si="0"/>
        <v>3.9738531977999703E-3</v>
      </c>
      <c r="I209" s="78">
        <v>164.4</v>
      </c>
      <c r="J209" s="78">
        <v>165.97</v>
      </c>
      <c r="K209" s="78">
        <v>160.84</v>
      </c>
      <c r="L209" s="78">
        <v>160.85</v>
      </c>
      <c r="M209" s="78">
        <v>2185319.6726000002</v>
      </c>
      <c r="N209" s="78" t="s">
        <v>200</v>
      </c>
      <c r="O209" s="25">
        <f t="shared" si="1"/>
        <v>2.2070251787379647E-2</v>
      </c>
      <c r="Q209" s="1" t="s">
        <v>35</v>
      </c>
      <c r="T209" s="1" t="s">
        <v>36</v>
      </c>
      <c r="X209" s="1" t="s">
        <v>37</v>
      </c>
    </row>
    <row r="210" spans="1:25" ht="15" customHeight="1">
      <c r="A210" s="77">
        <v>693.47036067733507</v>
      </c>
      <c r="B210" s="77">
        <v>694.97597577550005</v>
      </c>
      <c r="C210" s="77">
        <v>691.875006930935</v>
      </c>
      <c r="D210" s="77">
        <v>692.98178359250005</v>
      </c>
      <c r="E210" s="77">
        <v>5053895.6306800442</v>
      </c>
      <c r="F210" s="77" t="s">
        <v>201</v>
      </c>
      <c r="G210" s="25">
        <f t="shared" si="0"/>
        <v>7.0503597122306694E-4</v>
      </c>
      <c r="I210" s="78">
        <v>162.96</v>
      </c>
      <c r="J210" s="78">
        <v>165.37</v>
      </c>
      <c r="K210" s="78">
        <v>158.1</v>
      </c>
      <c r="L210" s="78">
        <v>159.96</v>
      </c>
      <c r="M210" s="78">
        <v>2552225.5263</v>
      </c>
      <c r="N210" s="78" t="s">
        <v>201</v>
      </c>
      <c r="O210" s="25">
        <f t="shared" si="1"/>
        <v>1.8754688672168118E-2</v>
      </c>
      <c r="Q210" s="82" t="s">
        <v>38</v>
      </c>
      <c r="R210" s="82" t="s">
        <v>39</v>
      </c>
      <c r="T210" s="31" t="s">
        <v>40</v>
      </c>
      <c r="U210" s="32" t="s">
        <v>41</v>
      </c>
      <c r="X210" s="31" t="s">
        <v>42</v>
      </c>
      <c r="Y210" s="32" t="s">
        <v>43</v>
      </c>
    </row>
    <row r="211" spans="1:25" ht="15" customHeight="1">
      <c r="A211" s="77">
        <v>691.89494885276497</v>
      </c>
      <c r="B211" s="77">
        <v>692.27384536753493</v>
      </c>
      <c r="C211" s="77">
        <v>686.84964262977508</v>
      </c>
      <c r="D211" s="77">
        <v>687.75700007303999</v>
      </c>
      <c r="E211" s="77">
        <v>8469446.3909650184</v>
      </c>
      <c r="F211" s="77" t="s">
        <v>202</v>
      </c>
      <c r="G211" s="25">
        <f t="shared" si="0"/>
        <v>6.016585479007075E-3</v>
      </c>
      <c r="I211" s="78">
        <v>158.69999999999999</v>
      </c>
      <c r="J211" s="78">
        <v>158.79</v>
      </c>
      <c r="K211" s="78">
        <v>150.1</v>
      </c>
      <c r="L211" s="78">
        <v>150.1</v>
      </c>
      <c r="M211" s="78">
        <v>2293342.0227999999</v>
      </c>
      <c r="N211" s="78" t="s">
        <v>202</v>
      </c>
      <c r="O211" s="25">
        <f t="shared" si="1"/>
        <v>5.7295136575616246E-2</v>
      </c>
      <c r="Q211" s="79">
        <v>-7.7500000000000027E-2</v>
      </c>
      <c r="R211" s="80">
        <v>3</v>
      </c>
      <c r="T211" s="57">
        <f t="shared" ref="T211:T242" si="2">T212-0.0025</f>
        <v>-8.0000000000000029E-2</v>
      </c>
      <c r="U211" s="1">
        <f>_xlfn.NORM.DIST(T211,$S$202,$S$204,FALSE)</f>
        <v>6.4399119718348746E-2</v>
      </c>
      <c r="W211" s="1" t="s">
        <v>84</v>
      </c>
      <c r="X211" s="57">
        <f>S202</f>
        <v>3.8240880374029973E-4</v>
      </c>
      <c r="Y211" s="1">
        <v>0</v>
      </c>
    </row>
    <row r="212" spans="1:25" ht="15">
      <c r="A212" s="77">
        <v>687.95641929134001</v>
      </c>
      <c r="B212" s="77">
        <v>688.77403808636996</v>
      </c>
      <c r="C212" s="77">
        <v>685.92234326467997</v>
      </c>
      <c r="D212" s="77">
        <v>688.35525772794006</v>
      </c>
      <c r="E212" s="77">
        <v>7356729.2231232254</v>
      </c>
      <c r="F212" s="77" t="s">
        <v>203</v>
      </c>
      <c r="G212" s="25">
        <f t="shared" si="0"/>
        <v>-5.7940784518228927E-4</v>
      </c>
      <c r="I212" s="78">
        <v>150.16999999999999</v>
      </c>
      <c r="J212" s="78">
        <v>151.75</v>
      </c>
      <c r="K212" s="78">
        <v>142.94499999999999</v>
      </c>
      <c r="L212" s="78">
        <v>144.74</v>
      </c>
      <c r="M212" s="78">
        <v>1856492.4334</v>
      </c>
      <c r="N212" s="78" t="s">
        <v>203</v>
      </c>
      <c r="O212" s="25">
        <f t="shared" si="1"/>
        <v>3.7515545115379245E-2</v>
      </c>
      <c r="Q212" s="79">
        <v>-7.5000000000000025E-2</v>
      </c>
      <c r="R212" s="80">
        <v>0</v>
      </c>
      <c r="T212" s="57">
        <f t="shared" si="2"/>
        <v>-7.7500000000000027E-2</v>
      </c>
      <c r="U212" s="1">
        <f>_xlfn.NORM.DIST(T212,$S$202,$S$204,FALSE)</f>
        <v>9.0453121515570722E-2</v>
      </c>
      <c r="X212" s="57">
        <f>S202</f>
        <v>3.8240880374029973E-4</v>
      </c>
      <c r="Y212" s="1">
        <v>30</v>
      </c>
    </row>
    <row r="213" spans="1:25" ht="15">
      <c r="A213" s="77">
        <v>688.00627409591505</v>
      </c>
      <c r="B213" s="77">
        <v>689.50241678121074</v>
      </c>
      <c r="C213" s="77">
        <v>686.08187863932005</v>
      </c>
      <c r="D213" s="77">
        <v>687.64731950297494</v>
      </c>
      <c r="E213" s="77">
        <v>6622042.8364802189</v>
      </c>
      <c r="F213" s="77" t="s">
        <v>204</v>
      </c>
      <c r="G213" s="25">
        <f t="shared" si="0"/>
        <v>5.2200391502954524E-4</v>
      </c>
      <c r="I213" s="78">
        <v>145.22499999999999</v>
      </c>
      <c r="J213" s="78">
        <v>146.41999999999999</v>
      </c>
      <c r="K213" s="78">
        <v>142.61490000000001</v>
      </c>
      <c r="L213" s="78">
        <v>144.61000000000001</v>
      </c>
      <c r="M213" s="78">
        <v>1596829.3539</v>
      </c>
      <c r="N213" s="78" t="s">
        <v>204</v>
      </c>
      <c r="O213" s="25">
        <f t="shared" si="1"/>
        <v>4.2528179240715058E-3</v>
      </c>
      <c r="Q213" s="79">
        <v>-7.2500000000000023E-2</v>
      </c>
      <c r="R213" s="80">
        <v>0</v>
      </c>
      <c r="T213" s="57">
        <f t="shared" si="2"/>
        <v>-7.5000000000000025E-2</v>
      </c>
      <c r="U213" s="1">
        <f>_xlfn.NORM.DIST(T213,$S$202,$S$204,FALSE)</f>
        <v>0.12569149654862141</v>
      </c>
      <c r="W213" s="39" t="s">
        <v>85</v>
      </c>
      <c r="X213" s="57">
        <f>($S$204*-3)+$S$202</f>
        <v>-7.2011225345929047E-2</v>
      </c>
      <c r="Y213" s="1">
        <v>0</v>
      </c>
    </row>
    <row r="214" spans="1:25" ht="15">
      <c r="A214" s="77">
        <v>683.55922552782499</v>
      </c>
      <c r="B214" s="77">
        <v>686.58042668507005</v>
      </c>
      <c r="C214" s="77">
        <v>682.49223300031088</v>
      </c>
      <c r="D214" s="77">
        <v>684.10762837815003</v>
      </c>
      <c r="E214" s="77">
        <v>4276144.8892912446</v>
      </c>
      <c r="F214" s="77" t="s">
        <v>205</v>
      </c>
      <c r="G214" s="25">
        <f t="shared" si="0"/>
        <v>-8.0163241509989547E-4</v>
      </c>
      <c r="I214" s="78">
        <v>144.41</v>
      </c>
      <c r="J214" s="78">
        <v>146.49</v>
      </c>
      <c r="K214" s="78">
        <v>143.16999999999999</v>
      </c>
      <c r="L214" s="78">
        <v>144.69</v>
      </c>
      <c r="M214" s="78">
        <v>899286.70719999995</v>
      </c>
      <c r="N214" s="78" t="s">
        <v>205</v>
      </c>
      <c r="O214" s="25">
        <f t="shared" si="1"/>
        <v>-1.9351717464924922E-3</v>
      </c>
      <c r="Q214" s="79">
        <v>-7.0000000000000021E-2</v>
      </c>
      <c r="R214" s="80">
        <v>3</v>
      </c>
      <c r="T214" s="57">
        <f t="shared" si="2"/>
        <v>-7.2500000000000023E-2</v>
      </c>
      <c r="U214" s="1">
        <f>_xlfn.NORM.DIST(T214,$S$202,$S$204,FALSE)</f>
        <v>0.17279331876103063</v>
      </c>
      <c r="W214" s="40"/>
      <c r="X214" s="57">
        <f>($S$204*-3)+$S$202</f>
        <v>-7.2011225345929047E-2</v>
      </c>
      <c r="Y214" s="1">
        <v>2</v>
      </c>
    </row>
    <row r="215" spans="1:25" ht="15">
      <c r="A215" s="77">
        <v>680.85709511985999</v>
      </c>
      <c r="B215" s="77">
        <v>682.83633086148757</v>
      </c>
      <c r="C215" s="77">
        <v>675.65225352223001</v>
      </c>
      <c r="D215" s="77">
        <v>677.10801381582007</v>
      </c>
      <c r="E215" s="77">
        <v>7310162.5559826996</v>
      </c>
      <c r="F215" s="77" t="s">
        <v>206</v>
      </c>
      <c r="G215" s="25">
        <f t="shared" si="0"/>
        <v>5.5369028685867683E-3</v>
      </c>
      <c r="I215" s="78">
        <v>144.83000000000001</v>
      </c>
      <c r="J215" s="78">
        <v>146.61000000000001</v>
      </c>
      <c r="K215" s="78">
        <v>139.535</v>
      </c>
      <c r="L215" s="78">
        <v>141.02000000000001</v>
      </c>
      <c r="M215" s="78">
        <v>1383175.3975</v>
      </c>
      <c r="N215" s="78" t="s">
        <v>206</v>
      </c>
      <c r="O215" s="25">
        <f t="shared" si="1"/>
        <v>2.7017444334137108E-2</v>
      </c>
      <c r="Q215" s="79">
        <v>-6.7500000000000018E-2</v>
      </c>
      <c r="R215" s="80">
        <v>0</v>
      </c>
      <c r="T215" s="57">
        <f t="shared" si="2"/>
        <v>-7.0000000000000021E-2</v>
      </c>
      <c r="U215" s="1">
        <f>_xlfn.NORM.DIST(T215,$S$202,$S$204,FALSE)</f>
        <v>0.23501019630681289</v>
      </c>
      <c r="W215" s="39" t="s">
        <v>86</v>
      </c>
      <c r="X215" s="57">
        <f>($S$204*-2)+$S$202</f>
        <v>-4.7880013962705928E-2</v>
      </c>
      <c r="Y215" s="1">
        <v>0</v>
      </c>
    </row>
    <row r="216" spans="1:25" ht="15">
      <c r="A216" s="77">
        <v>679.59078308365508</v>
      </c>
      <c r="B216" s="77">
        <v>680.01953440299997</v>
      </c>
      <c r="C216" s="77">
        <v>672.78071648831917</v>
      </c>
      <c r="D216" s="77">
        <v>674.35602860328004</v>
      </c>
      <c r="E216" s="77">
        <v>5453356.5187483234</v>
      </c>
      <c r="F216" s="77" t="s">
        <v>207</v>
      </c>
      <c r="G216" s="25">
        <f t="shared" si="0"/>
        <v>7.762597586941089E-3</v>
      </c>
      <c r="I216" s="78">
        <v>141.91999999999999</v>
      </c>
      <c r="J216" s="78">
        <v>142.32249999999999</v>
      </c>
      <c r="K216" s="78">
        <v>138.63999999999999</v>
      </c>
      <c r="L216" s="78">
        <v>141.76</v>
      </c>
      <c r="M216" s="78">
        <v>1446194.6015999999</v>
      </c>
      <c r="N216" s="78" t="s">
        <v>207</v>
      </c>
      <c r="O216" s="25">
        <f t="shared" si="1"/>
        <v>1.1286681715574343E-3</v>
      </c>
      <c r="Q216" s="79">
        <v>-6.5000000000000016E-2</v>
      </c>
      <c r="R216" s="80">
        <v>0</v>
      </c>
      <c r="T216" s="57">
        <f t="shared" si="2"/>
        <v>-6.7500000000000018E-2</v>
      </c>
      <c r="U216" s="1">
        <f>_xlfn.NORM.DIST(T216,$S$202,$S$204,FALSE)</f>
        <v>0.31621697149346251</v>
      </c>
      <c r="W216" s="40"/>
      <c r="X216" s="57">
        <f>($S$204*-2)+$S$202</f>
        <v>-4.7880013962705928E-2</v>
      </c>
      <c r="Y216" s="1">
        <v>5</v>
      </c>
    </row>
    <row r="217" spans="1:25" ht="15">
      <c r="A217" s="77">
        <v>672.63105236498507</v>
      </c>
      <c r="B217" s="77">
        <v>676.18071445072496</v>
      </c>
      <c r="C217" s="77">
        <v>670.59697633832491</v>
      </c>
      <c r="D217" s="77">
        <v>673.59823557374</v>
      </c>
      <c r="E217" s="77">
        <v>5611397.2201845711</v>
      </c>
      <c r="F217" s="77" t="s">
        <v>208</v>
      </c>
      <c r="G217" s="25">
        <f t="shared" si="0"/>
        <v>-1.4358458168037824E-3</v>
      </c>
      <c r="I217" s="78">
        <v>141.68</v>
      </c>
      <c r="J217" s="78">
        <v>142.79</v>
      </c>
      <c r="K217" s="78">
        <v>139.13</v>
      </c>
      <c r="L217" s="78">
        <v>142.28</v>
      </c>
      <c r="M217" s="78">
        <v>1522804.6784000001</v>
      </c>
      <c r="N217" s="78" t="s">
        <v>208</v>
      </c>
      <c r="O217" s="25">
        <f t="shared" si="1"/>
        <v>-4.2170368287882676E-3</v>
      </c>
      <c r="Q217" s="79">
        <v>-6.2500000000000014E-2</v>
      </c>
      <c r="R217" s="80">
        <v>2</v>
      </c>
      <c r="T217" s="57">
        <f t="shared" si="2"/>
        <v>-6.5000000000000016E-2</v>
      </c>
      <c r="U217" s="1">
        <f>_xlfn.NORM.DIST(T217,$S$202,$S$204,FALSE)</f>
        <v>0.42094209206587613</v>
      </c>
      <c r="W217" s="41" t="s">
        <v>87</v>
      </c>
      <c r="X217" s="57">
        <f>($S$204*-1)+$S$202</f>
        <v>-2.3748802579482812E-2</v>
      </c>
      <c r="Y217" s="1">
        <v>0</v>
      </c>
    </row>
    <row r="218" spans="1:25" ht="15">
      <c r="A218" s="77">
        <v>676.938507480265</v>
      </c>
      <c r="B218" s="77">
        <v>679.63066692731502</v>
      </c>
      <c r="C218" s="77">
        <v>672.29203969387504</v>
      </c>
      <c r="D218" s="77">
        <v>678.20481951646991</v>
      </c>
      <c r="E218" s="77">
        <v>7569986.8603887716</v>
      </c>
      <c r="F218" s="77" t="s">
        <v>209</v>
      </c>
      <c r="G218" s="25">
        <f t="shared" si="0"/>
        <v>-1.8671528124907244E-3</v>
      </c>
      <c r="I218" s="78">
        <v>141.51</v>
      </c>
      <c r="J218" s="78">
        <v>144.46039999999999</v>
      </c>
      <c r="K218" s="78">
        <v>140.6901</v>
      </c>
      <c r="L218" s="78">
        <v>142.22</v>
      </c>
      <c r="M218" s="78">
        <v>1436033.2102999999</v>
      </c>
      <c r="N218" s="78" t="s">
        <v>209</v>
      </c>
      <c r="O218" s="25">
        <f t="shared" si="1"/>
        <v>-4.992265504148552E-3</v>
      </c>
      <c r="Q218" s="79">
        <v>-6.0000000000000019E-2</v>
      </c>
      <c r="R218" s="80">
        <v>2</v>
      </c>
      <c r="T218" s="57">
        <f t="shared" si="2"/>
        <v>-6.2500000000000014E-2</v>
      </c>
      <c r="U218" s="1">
        <f>_xlfn.NORM.DIST(T218,$S$202,$S$204,FALSE)</f>
        <v>0.55436811795684238</v>
      </c>
      <c r="X218" s="57">
        <f>($S$204*-1)+$S$202</f>
        <v>-2.3748802579482812E-2</v>
      </c>
      <c r="Y218" s="1">
        <v>10</v>
      </c>
    </row>
    <row r="219" spans="1:25" ht="15">
      <c r="A219" s="77">
        <v>677.46696840876007</v>
      </c>
      <c r="B219" s="77">
        <v>681.53512046207993</v>
      </c>
      <c r="C219" s="77">
        <v>676.47086941335158</v>
      </c>
      <c r="D219" s="77">
        <v>680.05941824666002</v>
      </c>
      <c r="E219" s="77">
        <v>6421958.6023720764</v>
      </c>
      <c r="F219" s="77" t="s">
        <v>210</v>
      </c>
      <c r="G219" s="25">
        <f t="shared" si="0"/>
        <v>-3.8120931323675222E-3</v>
      </c>
      <c r="I219" s="78">
        <v>142.54</v>
      </c>
      <c r="J219" s="78">
        <v>143.86000000000001</v>
      </c>
      <c r="K219" s="78">
        <v>138.06</v>
      </c>
      <c r="L219" s="78">
        <v>141.46</v>
      </c>
      <c r="M219" s="78">
        <v>1752400.0429</v>
      </c>
      <c r="N219" s="78" t="s">
        <v>210</v>
      </c>
      <c r="O219" s="25">
        <f t="shared" si="1"/>
        <v>7.6346670436870934E-3</v>
      </c>
      <c r="Q219" s="79">
        <v>-5.7500000000000016E-2</v>
      </c>
      <c r="R219" s="80">
        <v>1</v>
      </c>
      <c r="T219" s="57">
        <f t="shared" si="2"/>
        <v>-6.0000000000000019E-2</v>
      </c>
      <c r="U219" s="1">
        <f>_xlfn.NORM.DIST(T219,$S$202,$S$204,FALSE)</f>
        <v>0.72229207012812757</v>
      </c>
      <c r="W219" s="1" t="s">
        <v>88</v>
      </c>
      <c r="X219" s="57">
        <f>($S$204*1)+$S$202</f>
        <v>2.4513620186963413E-2</v>
      </c>
      <c r="Y219" s="1">
        <v>0</v>
      </c>
    </row>
    <row r="220" spans="1:25" ht="15" customHeight="1">
      <c r="A220" s="77">
        <v>685.73289500729504</v>
      </c>
      <c r="B220" s="77">
        <v>687.09891665265002</v>
      </c>
      <c r="C220" s="77">
        <v>681.67471391488994</v>
      </c>
      <c r="D220" s="77">
        <v>681.75448160221003</v>
      </c>
      <c r="E220" s="77">
        <v>5353379.5342331855</v>
      </c>
      <c r="F220" s="77" t="s">
        <v>211</v>
      </c>
      <c r="G220" s="25">
        <f t="shared" si="0"/>
        <v>5.8355515254335799E-3</v>
      </c>
      <c r="I220" s="78">
        <v>143.24</v>
      </c>
      <c r="J220" s="78">
        <v>150.19999999999999</v>
      </c>
      <c r="K220" s="78">
        <v>142.97</v>
      </c>
      <c r="L220" s="78">
        <v>149.44999999999999</v>
      </c>
      <c r="M220" s="78">
        <v>2006093.6455000001</v>
      </c>
      <c r="N220" s="78" t="s">
        <v>211</v>
      </c>
      <c r="O220" s="25">
        <f t="shared" si="1"/>
        <v>-4.1552358648377252E-2</v>
      </c>
      <c r="Q220" s="79">
        <v>-5.5000000000000014E-2</v>
      </c>
      <c r="R220" s="80">
        <v>5</v>
      </c>
      <c r="T220" s="57">
        <f t="shared" si="2"/>
        <v>-5.7500000000000016E-2</v>
      </c>
      <c r="U220" s="1">
        <f>_xlfn.NORM.DIST(T220,$S$202,$S$204,FALSE)</f>
        <v>0.93103532345119289</v>
      </c>
      <c r="X220" s="57">
        <f>($S$204*1)+$S$202</f>
        <v>2.4513620186963413E-2</v>
      </c>
      <c r="Y220" s="1">
        <v>10</v>
      </c>
    </row>
    <row r="221" spans="1:25" ht="15">
      <c r="A221" s="77">
        <v>680.42834380051499</v>
      </c>
      <c r="B221" s="77">
        <v>681.92398793776499</v>
      </c>
      <c r="C221" s="77">
        <v>674.2363770723</v>
      </c>
      <c r="D221" s="77">
        <v>676.92853651935002</v>
      </c>
      <c r="E221" s="77">
        <v>4896730.0244401768</v>
      </c>
      <c r="F221" s="77" t="s">
        <v>212</v>
      </c>
      <c r="G221" s="25">
        <f t="shared" si="0"/>
        <v>5.1701281484755057E-3</v>
      </c>
      <c r="I221" s="78">
        <v>145</v>
      </c>
      <c r="J221" s="78">
        <v>148.87</v>
      </c>
      <c r="K221" s="78">
        <v>143.21</v>
      </c>
      <c r="L221" s="78">
        <v>146.13999999999999</v>
      </c>
      <c r="M221" s="78">
        <v>2062645.3906</v>
      </c>
      <c r="N221" s="78" t="s">
        <v>212</v>
      </c>
      <c r="O221" s="25">
        <f t="shared" si="1"/>
        <v>-7.8007390173805424E-3</v>
      </c>
      <c r="Q221" s="79">
        <v>-5.2500000000000012E-2</v>
      </c>
      <c r="R221" s="80">
        <v>1</v>
      </c>
      <c r="T221" s="57">
        <f t="shared" si="2"/>
        <v>-5.5000000000000014E-2</v>
      </c>
      <c r="U221" s="1">
        <f>_xlfn.NORM.DIST(T221,$S$202,$S$204,FALSE)</f>
        <v>1.1872937466091813</v>
      </c>
      <c r="W221" s="42" t="s">
        <v>89</v>
      </c>
      <c r="X221" s="57">
        <f>($S$204*2)+$S$202</f>
        <v>4.8644831570186522E-2</v>
      </c>
      <c r="Y221" s="1">
        <v>0</v>
      </c>
    </row>
    <row r="222" spans="1:25" ht="15">
      <c r="A222" s="77">
        <v>676.69920441830493</v>
      </c>
      <c r="B222" s="77">
        <v>677.28749111229001</v>
      </c>
      <c r="C222" s="77">
        <v>670.84625036119996</v>
      </c>
      <c r="D222" s="77">
        <v>675.50268910850502</v>
      </c>
      <c r="E222" s="77">
        <v>6037564.596651515</v>
      </c>
      <c r="F222" s="77" t="s">
        <v>213</v>
      </c>
      <c r="G222" s="25">
        <f t="shared" si="0"/>
        <v>1.771296145954615E-3</v>
      </c>
      <c r="I222" s="78">
        <v>145.69999999999999</v>
      </c>
      <c r="J222" s="78">
        <v>146.75</v>
      </c>
      <c r="K222" s="78">
        <v>142.36000000000001</v>
      </c>
      <c r="L222" s="78">
        <v>143.5</v>
      </c>
      <c r="M222" s="78">
        <v>2826414.534</v>
      </c>
      <c r="N222" s="78" t="s">
        <v>213</v>
      </c>
      <c r="O222" s="25">
        <f t="shared" si="1"/>
        <v>1.5331010452961591E-2</v>
      </c>
      <c r="Q222" s="79">
        <v>-5.000000000000001E-2</v>
      </c>
      <c r="R222" s="80">
        <v>7</v>
      </c>
      <c r="T222" s="57">
        <f t="shared" si="2"/>
        <v>-5.2500000000000012E-2</v>
      </c>
      <c r="U222" s="1">
        <f>_xlfn.NORM.DIST(T222,$S$202,$S$204,FALSE)</f>
        <v>1.4979210120250637</v>
      </c>
      <c r="X222" s="57">
        <f>($S$204*2)+$S$202</f>
        <v>4.8644831570186522E-2</v>
      </c>
      <c r="Y222" s="1">
        <v>5</v>
      </c>
    </row>
    <row r="223" spans="1:25" ht="15">
      <c r="A223" s="77">
        <v>677.54673609607994</v>
      </c>
      <c r="B223" s="77">
        <v>679.08226407698999</v>
      </c>
      <c r="C223" s="77">
        <v>675.11382163282008</v>
      </c>
      <c r="D223" s="77">
        <v>675.11382163282008</v>
      </c>
      <c r="E223" s="77">
        <v>5676979.9163333699</v>
      </c>
      <c r="F223" s="77" t="s">
        <v>214</v>
      </c>
      <c r="G223" s="25">
        <f t="shared" si="0"/>
        <v>3.6037100490338148E-3</v>
      </c>
      <c r="I223" s="78">
        <v>142.51</v>
      </c>
      <c r="J223" s="78">
        <v>145.21</v>
      </c>
      <c r="K223" s="78">
        <v>139</v>
      </c>
      <c r="L223" s="78">
        <v>140.66999999999999</v>
      </c>
      <c r="M223" s="78">
        <v>1938157.8585999999</v>
      </c>
      <c r="N223" s="78" t="s">
        <v>214</v>
      </c>
      <c r="O223" s="25">
        <f t="shared" si="1"/>
        <v>1.3080258761640762E-2</v>
      </c>
      <c r="Q223" s="79">
        <v>-4.7500000000000007E-2</v>
      </c>
      <c r="R223" s="80">
        <v>10</v>
      </c>
      <c r="T223" s="57">
        <f t="shared" si="2"/>
        <v>-5.000000000000001E-2</v>
      </c>
      <c r="U223" s="1">
        <f>_xlfn.NORM.DIST(T223,$S$202,$S$204,FALSE)</f>
        <v>1.8696415703893599</v>
      </c>
      <c r="W223" s="42" t="s">
        <v>90</v>
      </c>
      <c r="X223" s="57">
        <f>($S$204*3)+$S$202</f>
        <v>7.2776042953409642E-2</v>
      </c>
      <c r="Y223" s="1">
        <v>0</v>
      </c>
    </row>
    <row r="224" spans="1:25" ht="15">
      <c r="A224" s="77">
        <v>676.07103388065991</v>
      </c>
      <c r="B224" s="77">
        <v>676.55961096549493</v>
      </c>
      <c r="C224" s="77">
        <v>673.40878731635496</v>
      </c>
      <c r="D224" s="77">
        <v>673.73782902655</v>
      </c>
      <c r="E224" s="77">
        <v>4322344.0995706683</v>
      </c>
      <c r="F224" s="77" t="s">
        <v>215</v>
      </c>
      <c r="G224" s="25">
        <f t="shared" si="0"/>
        <v>3.4630753292879124E-3</v>
      </c>
      <c r="I224" s="78">
        <v>141.88</v>
      </c>
      <c r="J224" s="78">
        <v>142.19999999999999</v>
      </c>
      <c r="K224" s="78">
        <v>134.66999999999999</v>
      </c>
      <c r="L224" s="78">
        <v>138</v>
      </c>
      <c r="M224" s="78">
        <v>1468248.8444999999</v>
      </c>
      <c r="N224" s="78" t="s">
        <v>215</v>
      </c>
      <c r="O224" s="25">
        <f t="shared" si="1"/>
        <v>2.8115942028985375E-2</v>
      </c>
      <c r="Q224" s="79">
        <v>-4.5000000000000005E-2</v>
      </c>
      <c r="R224" s="80">
        <v>9</v>
      </c>
      <c r="T224" s="57">
        <f t="shared" si="2"/>
        <v>-4.7500000000000007E-2</v>
      </c>
      <c r="U224" s="1">
        <f>_xlfn.NORM.DIST(T224,$S$202,$S$204,FALSE)</f>
        <v>2.3086947169825609</v>
      </c>
      <c r="W224" s="42"/>
      <c r="X224" s="57">
        <f>($S$204*3)+$S$202</f>
        <v>7.2776042953409642E-2</v>
      </c>
      <c r="Y224" s="1">
        <v>2</v>
      </c>
    </row>
    <row r="225" spans="1:21" ht="15">
      <c r="A225" s="77">
        <v>670.58700537740992</v>
      </c>
      <c r="B225" s="77">
        <v>674.79485059314914</v>
      </c>
      <c r="C225" s="77">
        <v>668.97170970918</v>
      </c>
      <c r="D225" s="77">
        <v>673.85748055753004</v>
      </c>
      <c r="E225" s="77">
        <v>6066984.8096581372</v>
      </c>
      <c r="F225" s="77" t="s">
        <v>216</v>
      </c>
      <c r="G225" s="25">
        <f t="shared" si="0"/>
        <v>-4.8533633215946947E-3</v>
      </c>
      <c r="I225" s="78">
        <v>138.71</v>
      </c>
      <c r="J225" s="78">
        <v>142.39500000000001</v>
      </c>
      <c r="K225" s="78">
        <v>137.1</v>
      </c>
      <c r="L225" s="78">
        <v>141.37</v>
      </c>
      <c r="M225" s="78">
        <v>1234339.5194999999</v>
      </c>
      <c r="N225" s="78" t="s">
        <v>216</v>
      </c>
      <c r="O225" s="25">
        <f t="shared" si="1"/>
        <v>-1.8815873240432879E-2</v>
      </c>
      <c r="Q225" s="79">
        <v>-4.2500000000000003E-2</v>
      </c>
      <c r="R225" s="80">
        <v>11</v>
      </c>
      <c r="T225" s="57">
        <f t="shared" si="2"/>
        <v>-4.5000000000000005E-2</v>
      </c>
      <c r="U225" s="1">
        <f>_xlfn.NORM.DIST(T225,$S$202,$S$204,FALSE)</f>
        <v>2.8204173198583971</v>
      </c>
    </row>
    <row r="226" spans="1:21" ht="15">
      <c r="A226" s="77">
        <v>672.70084909138995</v>
      </c>
      <c r="B226" s="77">
        <v>673.37887443361001</v>
      </c>
      <c r="C226" s="77">
        <v>667.20684962722498</v>
      </c>
      <c r="D226" s="77">
        <v>667.50597845467507</v>
      </c>
      <c r="E226" s="77">
        <v>6416177.8384626228</v>
      </c>
      <c r="F226" s="77" t="s">
        <v>217</v>
      </c>
      <c r="G226" s="25">
        <f t="shared" si="0"/>
        <v>7.7825080289788406E-3</v>
      </c>
      <c r="I226" s="78">
        <v>142.58000000000001</v>
      </c>
      <c r="J226" s="78">
        <v>143.01</v>
      </c>
      <c r="K226" s="78">
        <v>137.96</v>
      </c>
      <c r="L226" s="78">
        <v>139.04</v>
      </c>
      <c r="M226" s="78">
        <v>1331689.1599999999</v>
      </c>
      <c r="N226" s="78" t="s">
        <v>217</v>
      </c>
      <c r="O226" s="25">
        <f t="shared" si="1"/>
        <v>2.5460299194476566E-2</v>
      </c>
      <c r="Q226" s="79">
        <v>-0.04</v>
      </c>
      <c r="R226" s="80">
        <v>10</v>
      </c>
      <c r="T226" s="57">
        <f t="shared" si="2"/>
        <v>-4.2500000000000003E-2</v>
      </c>
      <c r="U226" s="1">
        <f>_xlfn.NORM.DIST(T226,$S$202,$S$204,FALSE)</f>
        <v>3.4087797970118467</v>
      </c>
    </row>
    <row r="227" spans="1:21" ht="15">
      <c r="A227" s="77">
        <v>663.36802967494998</v>
      </c>
      <c r="B227" s="77">
        <v>664.61439978932492</v>
      </c>
      <c r="C227" s="77">
        <v>661.40375037469505</v>
      </c>
      <c r="D227" s="77">
        <v>661.65302439756999</v>
      </c>
      <c r="E227" s="77">
        <v>4962020.0405729897</v>
      </c>
      <c r="F227" s="77" t="s">
        <v>218</v>
      </c>
      <c r="G227" s="25">
        <f t="shared" si="0"/>
        <v>2.5920009644655462E-3</v>
      </c>
      <c r="I227" s="78">
        <v>139.07</v>
      </c>
      <c r="J227" s="78">
        <v>142.41</v>
      </c>
      <c r="K227" s="78">
        <v>136.36000000000001</v>
      </c>
      <c r="L227" s="78">
        <v>139.58000000000001</v>
      </c>
      <c r="M227" s="78">
        <v>1236281.3462</v>
      </c>
      <c r="N227" s="78" t="s">
        <v>218</v>
      </c>
      <c r="O227" s="25">
        <f t="shared" si="1"/>
        <v>-3.6538185986532135E-3</v>
      </c>
      <c r="Q227" s="79">
        <v>-3.7499999999999999E-2</v>
      </c>
      <c r="R227" s="80">
        <v>11</v>
      </c>
      <c r="T227" s="57">
        <f t="shared" si="2"/>
        <v>-0.04</v>
      </c>
      <c r="U227" s="1">
        <f>_xlfn.NORM.DIST(T227,$S$202,$S$204,FALSE)</f>
        <v>4.0758972942301606</v>
      </c>
    </row>
    <row r="228" spans="1:21" ht="15">
      <c r="A228" s="77">
        <v>658.20307192098005</v>
      </c>
      <c r="B228" s="77">
        <v>661.92224034227502</v>
      </c>
      <c r="C228" s="77">
        <v>655.48099959118497</v>
      </c>
      <c r="D228" s="77">
        <v>660.06764161208503</v>
      </c>
      <c r="E228" s="77">
        <v>5944718.78260291</v>
      </c>
      <c r="F228" s="77" t="s">
        <v>219</v>
      </c>
      <c r="G228" s="25">
        <f t="shared" si="0"/>
        <v>-2.8248160848350912E-3</v>
      </c>
      <c r="I228" s="78">
        <v>139.37</v>
      </c>
      <c r="J228" s="78">
        <v>140.84</v>
      </c>
      <c r="K228" s="78">
        <v>133.97</v>
      </c>
      <c r="L228" s="78">
        <v>135.44999999999999</v>
      </c>
      <c r="M228" s="78">
        <v>2012840.4682</v>
      </c>
      <c r="N228" s="78" t="s">
        <v>219</v>
      </c>
      <c r="O228" s="25">
        <f t="shared" si="1"/>
        <v>2.8940568475452233E-2</v>
      </c>
      <c r="Q228" s="79">
        <v>-3.4999999999999996E-2</v>
      </c>
      <c r="R228" s="80">
        <v>18</v>
      </c>
      <c r="T228" s="57">
        <f t="shared" si="2"/>
        <v>-3.7499999999999999E-2</v>
      </c>
      <c r="U228" s="1">
        <f>_xlfn.NORM.DIST(T228,$S$202,$S$204,FALSE)</f>
        <v>4.8215450304016443</v>
      </c>
    </row>
    <row r="229" spans="1:21" ht="15">
      <c r="A229" s="77">
        <v>660.59610254057998</v>
      </c>
      <c r="B229" s="77">
        <v>664.47979181697247</v>
      </c>
      <c r="C229" s="77">
        <v>660.45650908776997</v>
      </c>
      <c r="D229" s="77">
        <v>661.16444731273498</v>
      </c>
      <c r="E229" s="77">
        <v>4948602.4611500539</v>
      </c>
      <c r="F229" s="77" t="s">
        <v>220</v>
      </c>
      <c r="G229" s="25">
        <f t="shared" si="0"/>
        <v>-8.5961181740035197E-4</v>
      </c>
      <c r="I229" s="78">
        <v>135.78</v>
      </c>
      <c r="J229" s="78">
        <v>136.63</v>
      </c>
      <c r="K229" s="78">
        <v>128.06</v>
      </c>
      <c r="L229" s="78">
        <v>133.22</v>
      </c>
      <c r="M229" s="78">
        <v>2772702.5811999999</v>
      </c>
      <c r="N229" s="78" t="s">
        <v>220</v>
      </c>
      <c r="O229" s="25">
        <f t="shared" si="1"/>
        <v>1.9216333883801173E-2</v>
      </c>
      <c r="Q229" s="79">
        <v>-3.2499999999999994E-2</v>
      </c>
      <c r="R229" s="80">
        <v>17</v>
      </c>
      <c r="T229" s="57">
        <f t="shared" si="2"/>
        <v>-3.4999999999999996E-2</v>
      </c>
      <c r="U229" s="1">
        <f>_xlfn.NORM.DIST(T229,$S$202,$S$204,FALSE)</f>
        <v>5.6427126245026864</v>
      </c>
    </row>
    <row r="230" spans="1:21" ht="15">
      <c r="A230" s="77">
        <v>658.66173612307</v>
      </c>
      <c r="B230" s="77">
        <v>659.84828047195504</v>
      </c>
      <c r="C230" s="77">
        <v>651.24832668276747</v>
      </c>
      <c r="D230" s="77">
        <v>655.09213211550002</v>
      </c>
      <c r="E230" s="77">
        <v>5919880.3991099587</v>
      </c>
      <c r="F230" s="77" t="s">
        <v>221</v>
      </c>
      <c r="G230" s="25">
        <f t="shared" si="0"/>
        <v>5.4490106544899941E-3</v>
      </c>
      <c r="I230" s="78">
        <v>126.74</v>
      </c>
      <c r="J230" s="78">
        <v>128.1199</v>
      </c>
      <c r="K230" s="78">
        <v>121.43</v>
      </c>
      <c r="L230" s="78">
        <v>121.72</v>
      </c>
      <c r="M230" s="78">
        <v>2355848.7878999999</v>
      </c>
      <c r="N230" s="78" t="s">
        <v>221</v>
      </c>
      <c r="O230" s="25">
        <f t="shared" si="1"/>
        <v>4.1242195202103149E-2</v>
      </c>
      <c r="Q230" s="79">
        <v>-2.9999999999999995E-2</v>
      </c>
      <c r="R230" s="80">
        <v>16</v>
      </c>
      <c r="T230" s="57">
        <f t="shared" si="2"/>
        <v>-3.2499999999999994E-2</v>
      </c>
      <c r="U230" s="1">
        <f>_xlfn.NORM.DIST(T230,$S$202,$S$204,FALSE)</f>
        <v>6.5332360366603162</v>
      </c>
    </row>
    <row r="231" spans="1:21" ht="15">
      <c r="A231" s="77">
        <v>652.34014690295999</v>
      </c>
      <c r="B231" s="77">
        <v>652.82244228241859</v>
      </c>
      <c r="C231" s="77">
        <v>649.36880055028996</v>
      </c>
      <c r="D231" s="77">
        <v>651.72194732622995</v>
      </c>
      <c r="E231" s="77">
        <v>6221167.1225872021</v>
      </c>
      <c r="F231" s="77" t="s">
        <v>222</v>
      </c>
      <c r="G231" s="25">
        <f t="shared" si="0"/>
        <v>9.4856338545334928E-4</v>
      </c>
      <c r="I231" s="78">
        <v>120.37</v>
      </c>
      <c r="J231" s="78">
        <v>127.435</v>
      </c>
      <c r="K231" s="78">
        <v>119.14</v>
      </c>
      <c r="L231" s="78">
        <v>125.9</v>
      </c>
      <c r="M231" s="78">
        <v>1737282.6414999999</v>
      </c>
      <c r="N231" s="78" t="s">
        <v>222</v>
      </c>
      <c r="O231" s="25">
        <f t="shared" si="1"/>
        <v>-4.3923749007148571E-2</v>
      </c>
      <c r="Q231" s="79">
        <v>-2.7499999999999997E-2</v>
      </c>
      <c r="R231" s="80">
        <v>24</v>
      </c>
      <c r="T231" s="57">
        <f t="shared" si="2"/>
        <v>-2.9999999999999995E-2</v>
      </c>
      <c r="U231" s="1">
        <f>_xlfn.NORM.DIST(T231,$S$202,$S$204,FALSE)</f>
        <v>7.4835467401283422</v>
      </c>
    </row>
    <row r="232" spans="1:21" ht="15">
      <c r="A232" s="77">
        <v>652.36008882478995</v>
      </c>
      <c r="B232" s="77">
        <v>653.48680740818497</v>
      </c>
      <c r="C232" s="77">
        <v>650.11662261891502</v>
      </c>
      <c r="D232" s="77">
        <v>652.50965323851494</v>
      </c>
      <c r="E232" s="77">
        <v>5525715.9773953436</v>
      </c>
      <c r="F232" s="77" t="s">
        <v>223</v>
      </c>
      <c r="G232" s="25">
        <f t="shared" si="0"/>
        <v>-2.2921410125154029E-4</v>
      </c>
      <c r="I232" s="78">
        <v>126.92</v>
      </c>
      <c r="J232" s="78">
        <v>128.1</v>
      </c>
      <c r="K232" s="78">
        <v>125.05</v>
      </c>
      <c r="L232" s="78">
        <v>127.97</v>
      </c>
      <c r="M232" s="78">
        <v>1249926.5086999999</v>
      </c>
      <c r="N232" s="78" t="s">
        <v>223</v>
      </c>
      <c r="O232" s="25">
        <f t="shared" si="1"/>
        <v>-8.2050480581385976E-3</v>
      </c>
      <c r="Q232" s="79">
        <v>-2.4999999999999998E-2</v>
      </c>
      <c r="R232" s="80">
        <v>23</v>
      </c>
      <c r="T232" s="57">
        <f t="shared" si="2"/>
        <v>-2.7499999999999997E-2</v>
      </c>
      <c r="U232" s="1">
        <f>_xlfn.NORM.DIST(T232,$S$202,$S$204,FALSE)</f>
        <v>8.480575257934106</v>
      </c>
    </row>
    <row r="233" spans="1:21" ht="15">
      <c r="A233" s="77">
        <v>655.59068016125002</v>
      </c>
      <c r="B233" s="77">
        <v>655.98951859784995</v>
      </c>
      <c r="C233" s="77">
        <v>652.93840455786005</v>
      </c>
      <c r="D233" s="77">
        <v>653.76599431380498</v>
      </c>
      <c r="E233" s="77">
        <v>5297681.2909310255</v>
      </c>
      <c r="F233" s="77" t="s">
        <v>224</v>
      </c>
      <c r="G233" s="25">
        <f t="shared" si="0"/>
        <v>2.791038174691618E-3</v>
      </c>
      <c r="I233" s="78">
        <v>128.52000000000001</v>
      </c>
      <c r="J233" s="78">
        <v>129.28</v>
      </c>
      <c r="K233" s="78">
        <v>126.93</v>
      </c>
      <c r="L233" s="78">
        <v>126.93</v>
      </c>
      <c r="M233" s="78">
        <v>1267495.9023</v>
      </c>
      <c r="N233" s="78" t="s">
        <v>224</v>
      </c>
      <c r="O233" s="25">
        <f t="shared" si="1"/>
        <v>1.2526589458756732E-2</v>
      </c>
      <c r="Q233" s="79">
        <v>-2.2499999999999999E-2</v>
      </c>
      <c r="R233" s="80">
        <v>38</v>
      </c>
      <c r="T233" s="57">
        <f t="shared" si="2"/>
        <v>-2.4999999999999998E-2</v>
      </c>
      <c r="U233" s="1">
        <f>_xlfn.NORM.DIST(T233,$S$202,$S$204,FALSE)</f>
        <v>9.5078398961943993</v>
      </c>
    </row>
    <row r="234" spans="1:21" ht="15">
      <c r="A234" s="77">
        <v>654.51381638242992</v>
      </c>
      <c r="B234" s="77">
        <v>654.91265481903008</v>
      </c>
      <c r="C234" s="77">
        <v>649.92737378074833</v>
      </c>
      <c r="D234" s="77">
        <v>651.50258618609996</v>
      </c>
      <c r="E234" s="77">
        <v>4736752.4966373816</v>
      </c>
      <c r="F234" s="77" t="s">
        <v>225</v>
      </c>
      <c r="G234" s="25">
        <f t="shared" si="0"/>
        <v>4.6219773492499616E-3</v>
      </c>
      <c r="I234" s="78">
        <v>127.88</v>
      </c>
      <c r="J234" s="78">
        <v>128.16999999999999</v>
      </c>
      <c r="K234" s="78">
        <v>124.02</v>
      </c>
      <c r="L234" s="78">
        <v>124.65</v>
      </c>
      <c r="M234" s="78">
        <v>876476.20750000002</v>
      </c>
      <c r="N234" s="78" t="s">
        <v>225</v>
      </c>
      <c r="O234" s="25">
        <f t="shared" si="1"/>
        <v>2.591255515443236E-2</v>
      </c>
      <c r="Q234" s="79">
        <v>-0.02</v>
      </c>
      <c r="R234" s="80">
        <v>50</v>
      </c>
      <c r="T234" s="57">
        <f t="shared" si="2"/>
        <v>-2.2499999999999999E-2</v>
      </c>
      <c r="U234" s="1">
        <f>_xlfn.NORM.DIST(T234,$S$202,$S$204,FALSE)</f>
        <v>10.545741410597286</v>
      </c>
    </row>
    <row r="235" spans="1:21" ht="15">
      <c r="A235" s="77">
        <v>649.36880055028996</v>
      </c>
      <c r="B235" s="77">
        <v>652.99823032334996</v>
      </c>
      <c r="C235" s="77">
        <v>643.78506243789002</v>
      </c>
      <c r="D235" s="77">
        <v>650.33598375904501</v>
      </c>
      <c r="E235" s="77">
        <v>6034316.5947511885</v>
      </c>
      <c r="F235" s="77" t="s">
        <v>226</v>
      </c>
      <c r="G235" s="25">
        <f t="shared" si="0"/>
        <v>-1.4872054336660945E-3</v>
      </c>
      <c r="I235" s="78">
        <v>125.44</v>
      </c>
      <c r="J235" s="78">
        <v>128.66999999999999</v>
      </c>
      <c r="K235" s="78">
        <v>121.265</v>
      </c>
      <c r="L235" s="78">
        <v>128.46</v>
      </c>
      <c r="M235" s="78">
        <v>1505055.8126999999</v>
      </c>
      <c r="N235" s="78" t="s">
        <v>226</v>
      </c>
      <c r="O235" s="25">
        <f t="shared" si="1"/>
        <v>-2.3509263583995077E-2</v>
      </c>
      <c r="Q235" s="79">
        <v>-1.7500000000000002E-2</v>
      </c>
      <c r="R235" s="80">
        <v>43</v>
      </c>
      <c r="T235" s="57">
        <f t="shared" si="2"/>
        <v>-0.02</v>
      </c>
      <c r="U235" s="1">
        <f>_xlfn.NORM.DIST(T235,$S$202,$S$204,FALSE)</f>
        <v>11.572070912259138</v>
      </c>
    </row>
    <row r="236" spans="1:21" ht="15">
      <c r="A236" s="77">
        <v>652.00113423184996</v>
      </c>
      <c r="B236" s="77">
        <v>652.29029209838507</v>
      </c>
      <c r="C236" s="77">
        <v>649.199294214735</v>
      </c>
      <c r="D236" s="77">
        <v>650.08670973617006</v>
      </c>
      <c r="E236" s="77">
        <v>4504953.3060976798</v>
      </c>
      <c r="F236" s="77" t="s">
        <v>227</v>
      </c>
      <c r="G236" s="25">
        <f t="shared" si="0"/>
        <v>2.9448756096810413E-3</v>
      </c>
      <c r="I236" s="78">
        <v>130.5</v>
      </c>
      <c r="J236" s="78">
        <v>133.64500000000001</v>
      </c>
      <c r="K236" s="78">
        <v>129.16</v>
      </c>
      <c r="L236" s="78">
        <v>133.22</v>
      </c>
      <c r="M236" s="78">
        <v>1020589.6636</v>
      </c>
      <c r="N236" s="78" t="s">
        <v>227</v>
      </c>
      <c r="O236" s="25">
        <f t="shared" si="1"/>
        <v>-2.041735475153883E-2</v>
      </c>
      <c r="Q236" s="79">
        <v>-1.5000000000000001E-2</v>
      </c>
      <c r="R236" s="80">
        <v>45</v>
      </c>
      <c r="T236" s="57">
        <f t="shared" si="2"/>
        <v>-1.7500000000000002E-2</v>
      </c>
      <c r="U236" s="1">
        <f>_xlfn.NORM.DIST(T236,$S$202,$S$204,FALSE)</f>
        <v>12.562722455213301</v>
      </c>
    </row>
    <row r="237" spans="1:21" ht="15">
      <c r="A237" s="77">
        <v>645.37044522337499</v>
      </c>
      <c r="B237" s="77">
        <v>651.96125038819002</v>
      </c>
      <c r="C237" s="77">
        <v>644.06464818194661</v>
      </c>
      <c r="D237" s="77">
        <v>651.04392198401001</v>
      </c>
      <c r="E237" s="77">
        <v>8481656.2908972148</v>
      </c>
      <c r="F237" s="77" t="s">
        <v>228</v>
      </c>
      <c r="G237" s="25">
        <f t="shared" si="0"/>
        <v>-8.7144301160902993E-3</v>
      </c>
      <c r="I237" s="78">
        <v>131.97999999999999</v>
      </c>
      <c r="J237" s="78">
        <v>137.785</v>
      </c>
      <c r="K237" s="78">
        <v>131.01</v>
      </c>
      <c r="L237" s="78">
        <v>133.19999999999999</v>
      </c>
      <c r="M237" s="78">
        <v>1547258.3393999999</v>
      </c>
      <c r="N237" s="78" t="s">
        <v>228</v>
      </c>
      <c r="O237" s="25">
        <f t="shared" si="1"/>
        <v>-9.1591591591591026E-3</v>
      </c>
      <c r="Q237" s="79">
        <v>-1.2500000000000001E-2</v>
      </c>
      <c r="R237" s="80">
        <v>49</v>
      </c>
      <c r="T237" s="57">
        <f t="shared" si="2"/>
        <v>-1.5000000000000001E-2</v>
      </c>
      <c r="U237" s="1">
        <f>_xlfn.NORM.DIST(T237,$S$202,$S$204,FALSE)</f>
        <v>13.492584743146326</v>
      </c>
    </row>
    <row r="238" spans="1:21" ht="15">
      <c r="A238" s="77">
        <v>649.64798745590997</v>
      </c>
      <c r="B238" s="77">
        <v>650.70490931289999</v>
      </c>
      <c r="C238" s="77">
        <v>647.284869719055</v>
      </c>
      <c r="D238" s="77">
        <v>649.72775514322996</v>
      </c>
      <c r="E238" s="77">
        <v>6369044.2896495899</v>
      </c>
      <c r="F238" s="77" t="s">
        <v>229</v>
      </c>
      <c r="G238" s="25">
        <f t="shared" si="0"/>
        <v>-1.2277094011847733E-4</v>
      </c>
      <c r="I238" s="78">
        <v>132.86000000000001</v>
      </c>
      <c r="J238" s="78">
        <v>134.49</v>
      </c>
      <c r="K238" s="78">
        <v>132.3201</v>
      </c>
      <c r="L238" s="78">
        <v>134.12</v>
      </c>
      <c r="M238" s="78">
        <v>955133.45810000005</v>
      </c>
      <c r="N238" s="78" t="s">
        <v>229</v>
      </c>
      <c r="O238" s="25">
        <f t="shared" si="1"/>
        <v>-9.394572025052117E-3</v>
      </c>
      <c r="Q238" s="79">
        <v>-0.01</v>
      </c>
      <c r="R238" s="80">
        <v>68</v>
      </c>
      <c r="T238" s="57">
        <f t="shared" si="2"/>
        <v>-1.2500000000000001E-2</v>
      </c>
      <c r="U238" s="1">
        <f>_xlfn.NORM.DIST(T238,$S$202,$S$204,FALSE)</f>
        <v>14.336569823030715</v>
      </c>
    </row>
    <row r="239" spans="1:21" ht="15">
      <c r="A239" s="77">
        <v>650.88438660936993</v>
      </c>
      <c r="B239" s="77">
        <v>652.97828840151999</v>
      </c>
      <c r="C239" s="77">
        <v>646.97576993069003</v>
      </c>
      <c r="D239" s="77">
        <v>647.29484067996998</v>
      </c>
      <c r="E239" s="77">
        <v>7806647.4112741025</v>
      </c>
      <c r="F239" s="77" t="s">
        <v>230</v>
      </c>
      <c r="G239" s="25">
        <f t="shared" si="0"/>
        <v>5.5454573461903856E-3</v>
      </c>
      <c r="I239" s="78">
        <v>134.5</v>
      </c>
      <c r="J239" s="78">
        <v>135.58000000000001</v>
      </c>
      <c r="K239" s="78">
        <v>130.57</v>
      </c>
      <c r="L239" s="78">
        <v>133.47</v>
      </c>
      <c r="M239" s="78">
        <v>1529095.5197000001</v>
      </c>
      <c r="N239" s="78" t="s">
        <v>230</v>
      </c>
      <c r="O239" s="25">
        <f t="shared" si="1"/>
        <v>7.7170899827676553E-3</v>
      </c>
      <c r="Q239" s="79">
        <v>-7.4999999999999997E-3</v>
      </c>
      <c r="R239" s="80">
        <v>77</v>
      </c>
      <c r="T239" s="57">
        <f t="shared" si="2"/>
        <v>-0.01</v>
      </c>
      <c r="U239" s="1">
        <f>_xlfn.NORM.DIST(T239,$S$202,$S$204,FALSE)</f>
        <v>15.070722195506514</v>
      </c>
    </row>
    <row r="240" spans="1:21" ht="15">
      <c r="A240" s="77">
        <v>642.98738556469004</v>
      </c>
      <c r="B240" s="77">
        <v>644.19387183540505</v>
      </c>
      <c r="C240" s="77">
        <v>640.28525515672493</v>
      </c>
      <c r="D240" s="77">
        <v>642.63840193266503</v>
      </c>
      <c r="E240" s="77">
        <v>5875107.2734497823</v>
      </c>
      <c r="F240" s="77" t="s">
        <v>231</v>
      </c>
      <c r="G240" s="25">
        <f t="shared" si="0"/>
        <v>5.4304820716510882E-4</v>
      </c>
      <c r="I240" s="78">
        <v>132.72</v>
      </c>
      <c r="J240" s="78">
        <v>132.82</v>
      </c>
      <c r="K240" s="78">
        <v>128.31</v>
      </c>
      <c r="L240" s="78">
        <v>131.82</v>
      </c>
      <c r="M240" s="78">
        <v>1325064.4168</v>
      </c>
      <c r="N240" s="78" t="s">
        <v>231</v>
      </c>
      <c r="O240" s="25">
        <f t="shared" si="1"/>
        <v>6.8274920345927637E-3</v>
      </c>
      <c r="Q240" s="79">
        <v>-5.0000000000000001E-3</v>
      </c>
      <c r="R240" s="80">
        <v>70</v>
      </c>
      <c r="T240" s="57">
        <f t="shared" si="2"/>
        <v>-7.4999999999999997E-3</v>
      </c>
      <c r="U240" s="1">
        <f>_xlfn.NORM.DIST(T240,$S$202,$S$204,FALSE)</f>
        <v>15.673341092127165</v>
      </c>
    </row>
    <row r="241" spans="1:21" ht="15">
      <c r="A241" s="77">
        <v>641.58148007567502</v>
      </c>
      <c r="B241" s="77">
        <v>641.92049274678493</v>
      </c>
      <c r="C241" s="77">
        <v>636.37663847804504</v>
      </c>
      <c r="D241" s="77">
        <v>637.3338507258851</v>
      </c>
      <c r="E241" s="77">
        <v>5065156.4900853885</v>
      </c>
      <c r="F241" s="77" t="s">
        <v>232</v>
      </c>
      <c r="G241" s="25">
        <f t="shared" si="0"/>
        <v>6.6646849919427265E-3</v>
      </c>
      <c r="I241" s="78">
        <v>132.26</v>
      </c>
      <c r="J241" s="78">
        <v>133.37</v>
      </c>
      <c r="K241" s="78">
        <v>130.19999999999999</v>
      </c>
      <c r="L241" s="78">
        <v>130.34</v>
      </c>
      <c r="M241" s="78">
        <v>1410756.2180999999</v>
      </c>
      <c r="N241" s="78" t="s">
        <v>232</v>
      </c>
      <c r="O241" s="25">
        <f t="shared" si="1"/>
        <v>1.4730704311799903E-2</v>
      </c>
      <c r="Q241" s="79">
        <v>-2.5000000000000001E-3</v>
      </c>
      <c r="R241" s="80">
        <v>70</v>
      </c>
      <c r="T241" s="57">
        <f t="shared" si="2"/>
        <v>-5.0000000000000001E-3</v>
      </c>
      <c r="U241" s="1">
        <f>_xlfn.NORM.DIST(T241,$S$202,$S$204,FALSE)</f>
        <v>16.126043099245557</v>
      </c>
    </row>
    <row r="242" spans="1:21" ht="15">
      <c r="A242" s="77">
        <v>636.49629000902507</v>
      </c>
      <c r="B242" s="77">
        <v>636.66579634458003</v>
      </c>
      <c r="C242" s="77">
        <v>630.38409096813007</v>
      </c>
      <c r="D242" s="77">
        <v>630.3890764485875</v>
      </c>
      <c r="E242" s="77">
        <v>5013507.8729270091</v>
      </c>
      <c r="F242" s="77" t="s">
        <v>233</v>
      </c>
      <c r="G242" s="25">
        <f t="shared" si="0"/>
        <v>9.6880066432045719E-3</v>
      </c>
      <c r="I242" s="78">
        <v>130.32</v>
      </c>
      <c r="J242" s="78">
        <v>130.79</v>
      </c>
      <c r="K242" s="78">
        <v>126.49</v>
      </c>
      <c r="L242" s="78">
        <v>126.79</v>
      </c>
      <c r="M242" s="78">
        <v>1195163.9935999999</v>
      </c>
      <c r="N242" s="78" t="s">
        <v>233</v>
      </c>
      <c r="O242" s="25">
        <f t="shared" si="1"/>
        <v>2.7841312406341023E-2</v>
      </c>
      <c r="Q242" s="79">
        <v>0</v>
      </c>
      <c r="R242" s="80">
        <v>91</v>
      </c>
      <c r="T242" s="57">
        <f>T243-0.0025</f>
        <v>-2.5000000000000001E-3</v>
      </c>
      <c r="U242" s="1">
        <f>_xlfn.NORM.DIST(T242,$S$202,$S$204,FALSE)</f>
        <v>16.414692740069306</v>
      </c>
    </row>
    <row r="243" spans="1:21" ht="15">
      <c r="A243" s="77">
        <v>628.88844683088007</v>
      </c>
      <c r="B243" s="77">
        <v>629.06792412735001</v>
      </c>
      <c r="C243" s="77">
        <v>620.17382699117002</v>
      </c>
      <c r="D243" s="77">
        <v>620.94159098162504</v>
      </c>
      <c r="E243" s="77">
        <v>5115773.6243117144</v>
      </c>
      <c r="F243" s="77" t="s">
        <v>234</v>
      </c>
      <c r="G243" s="25">
        <f t="shared" si="0"/>
        <v>1.2798073063027049E-2</v>
      </c>
      <c r="I243" s="78">
        <v>126.96</v>
      </c>
      <c r="J243" s="78">
        <v>127.83</v>
      </c>
      <c r="K243" s="78">
        <v>120.6049</v>
      </c>
      <c r="L243" s="78">
        <v>121.39</v>
      </c>
      <c r="M243" s="78">
        <v>1350248.6945</v>
      </c>
      <c r="N243" s="78" t="s">
        <v>234</v>
      </c>
      <c r="O243" s="25">
        <f t="shared" si="1"/>
        <v>4.5885163522530581E-2</v>
      </c>
      <c r="Q243" s="79">
        <v>2.5000000000000001E-3</v>
      </c>
      <c r="R243" s="80">
        <v>64</v>
      </c>
      <c r="T243" s="57">
        <v>0</v>
      </c>
      <c r="U243" s="1">
        <f>_xlfn.NORM.DIST(T243,$S$202,$S$204,FALSE)</f>
        <v>16.530135356602759</v>
      </c>
    </row>
    <row r="244" spans="1:21" ht="15">
      <c r="A244" s="77">
        <v>622.78621875090005</v>
      </c>
      <c r="B244" s="77">
        <v>625.16927840958499</v>
      </c>
      <c r="C244" s="77">
        <v>621.90877419038009</v>
      </c>
      <c r="D244" s="77">
        <v>624.50620950873758</v>
      </c>
      <c r="E244" s="77">
        <v>4587617.0252744388</v>
      </c>
      <c r="F244" s="77" t="s">
        <v>235</v>
      </c>
      <c r="G244" s="25">
        <f t="shared" si="0"/>
        <v>-2.7541611783020725E-3</v>
      </c>
      <c r="I244" s="78">
        <v>120.93</v>
      </c>
      <c r="J244" s="78">
        <v>125.932</v>
      </c>
      <c r="K244" s="78">
        <v>118.3</v>
      </c>
      <c r="L244" s="78">
        <v>125.07</v>
      </c>
      <c r="M244" s="78">
        <v>1804892.0057999999</v>
      </c>
      <c r="N244" s="78" t="s">
        <v>235</v>
      </c>
      <c r="O244" s="25">
        <f t="shared" si="1"/>
        <v>-3.3101463180618795E-2</v>
      </c>
      <c r="Q244" s="79">
        <v>5.0000000000000001E-3</v>
      </c>
      <c r="R244" s="80">
        <v>72</v>
      </c>
      <c r="T244" s="25">
        <f>T243+0.0025</f>
        <v>2.5000000000000001E-3</v>
      </c>
      <c r="U244" s="1">
        <f>_xlfn.NORM.DIST(T244,$S$202,$S$204,FALSE)</f>
        <v>16.468679293005046</v>
      </c>
    </row>
    <row r="245" spans="1:21" ht="15">
      <c r="A245" s="77">
        <v>623.20499910932995</v>
      </c>
      <c r="B245" s="77">
        <v>624.35165961455493</v>
      </c>
      <c r="C245" s="77">
        <v>617.60131907509992</v>
      </c>
      <c r="D245" s="77">
        <v>618.53858940111002</v>
      </c>
      <c r="E245" s="77">
        <v>5486228.9817731176</v>
      </c>
      <c r="F245" s="77" t="s">
        <v>236</v>
      </c>
      <c r="G245" s="25">
        <f t="shared" si="0"/>
        <v>7.5442499274589458E-3</v>
      </c>
      <c r="I245" s="78">
        <v>123.67</v>
      </c>
      <c r="J245" s="78">
        <v>126.93259999999999</v>
      </c>
      <c r="K245" s="78">
        <v>122.69499999999999</v>
      </c>
      <c r="L245" s="78">
        <v>126.03</v>
      </c>
      <c r="M245" s="78">
        <v>2306203.2425000002</v>
      </c>
      <c r="N245" s="78" t="s">
        <v>236</v>
      </c>
      <c r="O245" s="25">
        <f t="shared" si="1"/>
        <v>-1.8725700230103892E-2</v>
      </c>
      <c r="Q245" s="79">
        <v>7.4999999999999997E-3</v>
      </c>
      <c r="R245" s="80">
        <v>65</v>
      </c>
      <c r="T245" s="25">
        <f t="shared" ref="T245:T275" si="3">T244+0.0025</f>
        <v>5.0000000000000001E-3</v>
      </c>
      <c r="U245" s="1">
        <f>_xlfn.NORM.DIST(T245,$S$202,$S$204,FALSE)</f>
        <v>16.232291950961411</v>
      </c>
    </row>
    <row r="246" spans="1:21" ht="15">
      <c r="A246" s="77">
        <v>619.53568549261001</v>
      </c>
      <c r="B246" s="77">
        <v>620.682345997835</v>
      </c>
      <c r="C246" s="77">
        <v>615.50741728294997</v>
      </c>
      <c r="D246" s="77">
        <v>619.98936421424241</v>
      </c>
      <c r="E246" s="77">
        <v>9794014.5090820454</v>
      </c>
      <c r="F246" s="77" t="s">
        <v>237</v>
      </c>
      <c r="G246" s="25">
        <f t="shared" si="0"/>
        <v>-7.3175242644263339E-4</v>
      </c>
      <c r="I246" s="78">
        <v>128</v>
      </c>
      <c r="J246" s="78">
        <v>132.79</v>
      </c>
      <c r="K246" s="78">
        <v>125.71</v>
      </c>
      <c r="L246" s="78">
        <v>130.99</v>
      </c>
      <c r="M246" s="78">
        <v>1674487.8034999999</v>
      </c>
      <c r="N246" s="78" t="s">
        <v>237</v>
      </c>
      <c r="O246" s="25">
        <f t="shared" si="1"/>
        <v>-2.2826169936636442E-2</v>
      </c>
      <c r="Q246" s="79">
        <v>0.01</v>
      </c>
      <c r="R246" s="80">
        <v>68</v>
      </c>
      <c r="T246" s="25">
        <f t="shared" si="3"/>
        <v>7.4999999999999997E-3</v>
      </c>
      <c r="U246" s="1">
        <f>_xlfn.NORM.DIST(T246,$S$202,$S$204,FALSE)</f>
        <v>15.828495191892758</v>
      </c>
    </row>
    <row r="247" spans="1:21" ht="15">
      <c r="A247" s="77">
        <v>604.28011529265996</v>
      </c>
      <c r="B247" s="77">
        <v>604.54933123736498</v>
      </c>
      <c r="C247" s="77">
        <v>596.76201076275004</v>
      </c>
      <c r="D247" s="77">
        <v>601.82725890757001</v>
      </c>
      <c r="E247" s="77">
        <v>6164208.2777134217</v>
      </c>
      <c r="F247" s="77" t="s">
        <v>238</v>
      </c>
      <c r="G247" s="25">
        <f t="shared" si="0"/>
        <v>4.0756817654659105E-3</v>
      </c>
      <c r="I247" s="78">
        <v>126.44</v>
      </c>
      <c r="J247" s="78">
        <v>129.06</v>
      </c>
      <c r="K247" s="78">
        <v>125.24</v>
      </c>
      <c r="L247" s="78">
        <v>127</v>
      </c>
      <c r="M247" s="78">
        <v>796483.49569999997</v>
      </c>
      <c r="N247" s="78" t="s">
        <v>238</v>
      </c>
      <c r="O247" s="25">
        <f t="shared" si="1"/>
        <v>-4.4094488188977099E-3</v>
      </c>
      <c r="Q247" s="79">
        <v>1.2500000000000001E-2</v>
      </c>
      <c r="R247" s="80">
        <v>63</v>
      </c>
      <c r="T247" s="25">
        <f t="shared" si="3"/>
        <v>0.01</v>
      </c>
      <c r="U247" s="1">
        <f>_xlfn.NORM.DIST(T247,$S$202,$S$204,FALSE)</f>
        <v>15.269967843752985</v>
      </c>
    </row>
    <row r="248" spans="1:21" ht="15">
      <c r="A248" s="77">
        <v>603.91118973880498</v>
      </c>
      <c r="B248" s="77">
        <v>604.67895372926</v>
      </c>
      <c r="C248" s="77">
        <v>600.86007569881497</v>
      </c>
      <c r="D248" s="77">
        <v>601.16917548717993</v>
      </c>
      <c r="E248" s="77">
        <v>6300935.5060740402</v>
      </c>
      <c r="F248" s="77" t="s">
        <v>239</v>
      </c>
      <c r="G248" s="25">
        <f t="shared" si="0"/>
        <v>4.5611358057453533E-3</v>
      </c>
      <c r="I248" s="78">
        <v>127.74</v>
      </c>
      <c r="J248" s="78">
        <v>128.72</v>
      </c>
      <c r="K248" s="78">
        <v>126.48</v>
      </c>
      <c r="L248" s="78">
        <v>127.3</v>
      </c>
      <c r="M248" s="78">
        <v>1033127.5828</v>
      </c>
      <c r="N248" s="78" t="s">
        <v>239</v>
      </c>
      <c r="O248" s="25">
        <f t="shared" si="1"/>
        <v>3.4564021995286964E-3</v>
      </c>
      <c r="Q248" s="79">
        <v>1.5000000000000001E-2</v>
      </c>
      <c r="R248" s="80">
        <v>59</v>
      </c>
      <c r="T248" s="25">
        <f t="shared" si="3"/>
        <v>1.2500000000000001E-2</v>
      </c>
      <c r="U248" s="1">
        <f>_xlfn.NORM.DIST(T248,$S$202,$S$204,FALSE)</f>
        <v>14.573884615944028</v>
      </c>
    </row>
    <row r="249" spans="1:21" ht="15">
      <c r="A249" s="77">
        <v>601.23897221358504</v>
      </c>
      <c r="B249" s="77">
        <v>603.03374517828502</v>
      </c>
      <c r="C249" s="77">
        <v>591.30988933442802</v>
      </c>
      <c r="D249" s="77">
        <v>592.50441045204502</v>
      </c>
      <c r="E249" s="77">
        <v>12776618.258261422</v>
      </c>
      <c r="F249" s="77" t="s">
        <v>240</v>
      </c>
      <c r="G249" s="25">
        <f t="shared" si="0"/>
        <v>1.474176665600857E-2</v>
      </c>
      <c r="I249" s="78">
        <v>127.38</v>
      </c>
      <c r="J249" s="78">
        <v>130</v>
      </c>
      <c r="K249" s="78">
        <v>124</v>
      </c>
      <c r="L249" s="78">
        <v>124.44</v>
      </c>
      <c r="M249" s="78">
        <v>960447.27099999995</v>
      </c>
      <c r="N249" s="78" t="s">
        <v>240</v>
      </c>
      <c r="O249" s="25">
        <f t="shared" si="1"/>
        <v>2.3625843780134881E-2</v>
      </c>
      <c r="Q249" s="79">
        <v>1.7500000000000002E-2</v>
      </c>
      <c r="R249" s="80">
        <v>55</v>
      </c>
      <c r="T249" s="25">
        <f t="shared" si="3"/>
        <v>1.5000000000000001E-2</v>
      </c>
      <c r="U249" s="1">
        <f>_xlfn.NORM.DIST(T249,$S$202,$S$204,FALSE)</f>
        <v>13.761039503979745</v>
      </c>
    </row>
    <row r="250" spans="1:21" ht="15">
      <c r="A250" s="77">
        <v>600.55097591045001</v>
      </c>
      <c r="B250" s="77">
        <v>603.59211898952503</v>
      </c>
      <c r="C250" s="77">
        <v>598.52687084470494</v>
      </c>
      <c r="D250" s="77">
        <v>599.31457675698994</v>
      </c>
      <c r="E250" s="77">
        <v>11314501.039140819</v>
      </c>
      <c r="F250" s="77" t="s">
        <v>241</v>
      </c>
      <c r="G250" s="25">
        <f t="shared" si="0"/>
        <v>2.0630219944766104E-3</v>
      </c>
      <c r="I250" s="78">
        <v>126.63</v>
      </c>
      <c r="J250" s="78">
        <v>128.5</v>
      </c>
      <c r="K250" s="78">
        <v>122.61</v>
      </c>
      <c r="L250" s="78">
        <v>123.62</v>
      </c>
      <c r="M250" s="78">
        <v>1224022.351</v>
      </c>
      <c r="N250" s="78" t="s">
        <v>241</v>
      </c>
      <c r="O250" s="25">
        <f t="shared" si="1"/>
        <v>2.4348810872027116E-2</v>
      </c>
      <c r="Q250" s="79">
        <v>0.02</v>
      </c>
      <c r="R250" s="80">
        <v>35</v>
      </c>
      <c r="T250" s="25">
        <f t="shared" si="3"/>
        <v>1.7500000000000002E-2</v>
      </c>
      <c r="U250" s="1">
        <f>_xlfn.NORM.DIST(T250,$S$202,$S$204,FALSE)</f>
        <v>12.854816063782344</v>
      </c>
    </row>
    <row r="251" spans="1:21" ht="15">
      <c r="A251" s="77">
        <v>595.81476947582496</v>
      </c>
      <c r="B251" s="77">
        <v>597.11099439477505</v>
      </c>
      <c r="C251" s="77">
        <v>584.79685766474995</v>
      </c>
      <c r="D251" s="77">
        <v>585.64438934252507</v>
      </c>
      <c r="E251" s="77">
        <v>12375375.254592501</v>
      </c>
      <c r="F251" s="77" t="s">
        <v>242</v>
      </c>
      <c r="G251" s="25">
        <f t="shared" si="0"/>
        <v>1.7366136034732138E-2</v>
      </c>
      <c r="I251" s="78">
        <v>123.26</v>
      </c>
      <c r="J251" s="78">
        <v>126.105</v>
      </c>
      <c r="K251" s="78">
        <v>121.95</v>
      </c>
      <c r="L251" s="78">
        <v>121.98</v>
      </c>
      <c r="M251" s="78">
        <v>1383139.6651000001</v>
      </c>
      <c r="N251" s="78" t="s">
        <v>242</v>
      </c>
      <c r="O251" s="25">
        <f t="shared" si="1"/>
        <v>1.0493523528447346E-2</v>
      </c>
      <c r="Q251" s="79">
        <v>2.2499999999999999E-2</v>
      </c>
      <c r="R251" s="80">
        <v>33</v>
      </c>
      <c r="T251" s="25">
        <f t="shared" si="3"/>
        <v>0.02</v>
      </c>
      <c r="U251" s="1">
        <f>_xlfn.NORM.DIST(T251,$S$202,$S$204,FALSE)</f>
        <v>11.880075550027154</v>
      </c>
    </row>
    <row r="252" spans="1:21" ht="15">
      <c r="A252" s="77">
        <v>579.24303243509496</v>
      </c>
      <c r="B252" s="77">
        <v>586.96055618330502</v>
      </c>
      <c r="C252" s="77">
        <v>576.78020508909003</v>
      </c>
      <c r="D252" s="77">
        <v>586.68136927768501</v>
      </c>
      <c r="E252" s="77">
        <v>11776668.833025908</v>
      </c>
      <c r="F252" s="77" t="s">
        <v>243</v>
      </c>
      <c r="G252" s="25">
        <f t="shared" ref="G252:G315" si="4">A252/D252-1</f>
        <v>-1.2678665510970744E-2</v>
      </c>
      <c r="I252" s="78">
        <v>120.81</v>
      </c>
      <c r="J252" s="78">
        <v>122.44499999999999</v>
      </c>
      <c r="K252" s="78">
        <v>118.82</v>
      </c>
      <c r="L252" s="78">
        <v>119.58</v>
      </c>
      <c r="M252" s="78">
        <v>1222848.7549999999</v>
      </c>
      <c r="N252" s="78" t="s">
        <v>243</v>
      </c>
      <c r="O252" s="25">
        <f t="shared" ref="O252:O315" si="5">I252/L252-1</f>
        <v>1.0286001003512402E-2</v>
      </c>
      <c r="Q252" s="79">
        <v>2.4999999999999998E-2</v>
      </c>
      <c r="R252" s="80">
        <v>29</v>
      </c>
      <c r="T252" s="25">
        <f t="shared" si="3"/>
        <v>2.2499999999999999E-2</v>
      </c>
      <c r="U252" s="1">
        <f>_xlfn.NORM.DIST(T252,$S$202,$S$204,FALSE)</f>
        <v>10.862036270207886</v>
      </c>
    </row>
    <row r="253" spans="1:21" ht="15">
      <c r="A253" s="77">
        <v>581.26713750084002</v>
      </c>
      <c r="B253" s="77">
        <v>589.1142837409451</v>
      </c>
      <c r="C253" s="77">
        <v>580.33983813574503</v>
      </c>
      <c r="D253" s="77">
        <v>588.96471932722</v>
      </c>
      <c r="E253" s="77">
        <v>11637656.547668856</v>
      </c>
      <c r="F253" s="77" t="s">
        <v>244</v>
      </c>
      <c r="G253" s="25">
        <f t="shared" si="4"/>
        <v>-1.306968239994577E-2</v>
      </c>
      <c r="I253" s="78">
        <v>117.67</v>
      </c>
      <c r="J253" s="78">
        <v>123.32</v>
      </c>
      <c r="K253" s="78">
        <v>116.735</v>
      </c>
      <c r="L253" s="78">
        <v>123</v>
      </c>
      <c r="M253" s="78">
        <v>1217951.2463</v>
      </c>
      <c r="N253" s="78" t="s">
        <v>244</v>
      </c>
      <c r="O253" s="25">
        <f t="shared" si="5"/>
        <v>-4.3333333333333335E-2</v>
      </c>
      <c r="Q253" s="79">
        <v>2.7499999999999997E-2</v>
      </c>
      <c r="R253" s="80">
        <v>20</v>
      </c>
      <c r="T253" s="25">
        <f t="shared" si="3"/>
        <v>2.4999999999999998E-2</v>
      </c>
      <c r="U253" s="1">
        <f>_xlfn.NORM.DIST(T253,$S$202,$S$204,FALSE)</f>
        <v>9.8252137025924693</v>
      </c>
    </row>
    <row r="254" spans="1:21" ht="15">
      <c r="A254" s="77">
        <v>591.32544404802491</v>
      </c>
      <c r="B254" s="77">
        <v>600.25615593327257</v>
      </c>
      <c r="C254" s="77">
        <v>591.0868941479182</v>
      </c>
      <c r="D254" s="77">
        <v>597.66192576961134</v>
      </c>
      <c r="E254" s="77">
        <v>7632666.5755088478</v>
      </c>
      <c r="F254" s="77" t="s">
        <v>245</v>
      </c>
      <c r="G254" s="25">
        <f t="shared" si="4"/>
        <v>-1.0602117097265218E-2</v>
      </c>
      <c r="I254" s="78">
        <v>124.4</v>
      </c>
      <c r="J254" s="78">
        <v>127.3</v>
      </c>
      <c r="K254" s="78">
        <v>124.245</v>
      </c>
      <c r="L254" s="78">
        <v>125.27</v>
      </c>
      <c r="M254" s="78">
        <v>962238.7047</v>
      </c>
      <c r="N254" s="78" t="s">
        <v>245</v>
      </c>
      <c r="O254" s="25">
        <f t="shared" si="5"/>
        <v>-6.9449988025863663E-3</v>
      </c>
      <c r="Q254" s="79">
        <v>2.9999999999999995E-2</v>
      </c>
      <c r="R254" s="80">
        <v>25</v>
      </c>
      <c r="T254" s="25">
        <f t="shared" si="3"/>
        <v>2.7499999999999997E-2</v>
      </c>
      <c r="U254" s="1">
        <f>_xlfn.NORM.DIST(T254,$S$202,$S$204,FALSE)</f>
        <v>8.7924816840428885</v>
      </c>
    </row>
    <row r="255" spans="1:21" ht="15">
      <c r="A255" s="77">
        <v>602.00055207780338</v>
      </c>
      <c r="B255" s="77">
        <v>605.75771300448525</v>
      </c>
      <c r="C255" s="77">
        <v>599.71444886844677</v>
      </c>
      <c r="D255" s="77">
        <v>603.73003885357753</v>
      </c>
      <c r="E255" s="77">
        <v>23373517.757283315</v>
      </c>
      <c r="F255" s="77" t="s">
        <v>246</v>
      </c>
      <c r="G255" s="25">
        <f t="shared" si="4"/>
        <v>-2.8646690813302067E-3</v>
      </c>
      <c r="I255" s="78">
        <v>126.2</v>
      </c>
      <c r="J255" s="78">
        <v>128.74</v>
      </c>
      <c r="K255" s="78">
        <v>122.04</v>
      </c>
      <c r="L255" s="78">
        <v>126.21</v>
      </c>
      <c r="M255" s="78">
        <v>1405970.7782999999</v>
      </c>
      <c r="N255" s="78" t="s">
        <v>246</v>
      </c>
      <c r="O255" s="25">
        <f t="shared" si="5"/>
        <v>-7.9233024324443235E-5</v>
      </c>
      <c r="Q255" s="79">
        <v>3.2499999999999994E-2</v>
      </c>
      <c r="R255" s="80">
        <v>18</v>
      </c>
      <c r="T255" s="25">
        <f t="shared" si="3"/>
        <v>2.9999999999999995E-2</v>
      </c>
      <c r="U255" s="1">
        <f>_xlfn.NORM.DIST(T255,$S$202,$S$204,FALSE)</f>
        <v>7.7843015217205114</v>
      </c>
    </row>
    <row r="256" spans="1:21" ht="15">
      <c r="A256" s="77">
        <v>598.74037010967743</v>
      </c>
      <c r="B256" s="77">
        <v>602.24904155708134</v>
      </c>
      <c r="C256" s="77">
        <v>595.69885888331601</v>
      </c>
      <c r="D256" s="77">
        <v>597.00094375473213</v>
      </c>
      <c r="E256" s="77">
        <v>18309374.751382884</v>
      </c>
      <c r="F256" s="77" t="s">
        <v>247</v>
      </c>
      <c r="G256" s="25">
        <f t="shared" si="4"/>
        <v>2.913607378918881E-3</v>
      </c>
      <c r="I256" s="78">
        <v>125.98</v>
      </c>
      <c r="J256" s="78">
        <v>126.66500000000001</v>
      </c>
      <c r="K256" s="78">
        <v>122.27</v>
      </c>
      <c r="L256" s="78">
        <v>123.11</v>
      </c>
      <c r="M256" s="78">
        <v>1028904.7064</v>
      </c>
      <c r="N256" s="78" t="s">
        <v>247</v>
      </c>
      <c r="O256" s="25">
        <f t="shared" si="5"/>
        <v>2.3312484769718145E-2</v>
      </c>
      <c r="Q256" s="79">
        <v>3.4999999999999996E-2</v>
      </c>
      <c r="R256" s="80">
        <v>22</v>
      </c>
      <c r="T256" s="25">
        <f t="shared" si="3"/>
        <v>3.2499999999999994E-2</v>
      </c>
      <c r="U256" s="1">
        <f>_xlfn.NORM.DIST(T256,$S$202,$S$204,FALSE)</f>
        <v>6.8181497841255387</v>
      </c>
    </row>
    <row r="257" spans="1:21" ht="15">
      <c r="A257" s="77">
        <v>600.77798383975619</v>
      </c>
      <c r="B257" s="77">
        <v>607.33313630310704</v>
      </c>
      <c r="C257" s="77">
        <v>599.4162614933133</v>
      </c>
      <c r="D257" s="77">
        <v>603.19330157833735</v>
      </c>
      <c r="E257" s="77">
        <v>24112839.904276684</v>
      </c>
      <c r="F257" s="77" t="s">
        <v>248</v>
      </c>
      <c r="G257" s="25">
        <f t="shared" si="4"/>
        <v>-4.0042184358830557E-3</v>
      </c>
      <c r="I257" s="78">
        <v>123.79</v>
      </c>
      <c r="J257" s="78">
        <v>126.99</v>
      </c>
      <c r="K257" s="78">
        <v>122.22</v>
      </c>
      <c r="L257" s="78">
        <v>126.22</v>
      </c>
      <c r="M257" s="78">
        <v>1308789.3544000001</v>
      </c>
      <c r="N257" s="78" t="s">
        <v>248</v>
      </c>
      <c r="O257" s="25">
        <f t="shared" si="5"/>
        <v>-1.925209950879414E-2</v>
      </c>
      <c r="Q257" s="79">
        <v>3.7499999999999999E-2</v>
      </c>
      <c r="R257" s="80">
        <v>10</v>
      </c>
      <c r="T257" s="25">
        <f t="shared" si="3"/>
        <v>3.4999999999999996E-2</v>
      </c>
      <c r="U257" s="1">
        <f>_xlfn.NORM.DIST(T257,$S$202,$S$204,FALSE)</f>
        <v>5.9081584788350501</v>
      </c>
    </row>
    <row r="258" spans="1:21" ht="15">
      <c r="A258" s="77">
        <v>594.32719695770209</v>
      </c>
      <c r="B258" s="77">
        <v>601.94091460277673</v>
      </c>
      <c r="C258" s="77">
        <v>590.97755877703594</v>
      </c>
      <c r="D258" s="77">
        <v>601.7719417568677</v>
      </c>
      <c r="E258" s="77">
        <v>17638954.135451324</v>
      </c>
      <c r="F258" s="77" t="s">
        <v>249</v>
      </c>
      <c r="G258" s="25">
        <f t="shared" si="4"/>
        <v>-1.2371372412995463E-2</v>
      </c>
      <c r="I258" s="78">
        <v>124.33</v>
      </c>
      <c r="J258" s="78">
        <v>128.19</v>
      </c>
      <c r="K258" s="78">
        <v>123</v>
      </c>
      <c r="L258" s="78">
        <v>127.52</v>
      </c>
      <c r="M258" s="78">
        <v>2619649.1825999999</v>
      </c>
      <c r="N258" s="78" t="s">
        <v>249</v>
      </c>
      <c r="O258" s="25">
        <f t="shared" si="5"/>
        <v>-2.5015683814303635E-2</v>
      </c>
      <c r="Q258" s="79">
        <v>0.04</v>
      </c>
      <c r="R258" s="80">
        <v>16</v>
      </c>
      <c r="T258" s="25">
        <f t="shared" si="3"/>
        <v>3.7499999999999999E-2</v>
      </c>
      <c r="U258" s="1">
        <f>_xlfn.NORM.DIST(T258,$S$202,$S$204,FALSE)</f>
        <v>5.0649649584078187</v>
      </c>
    </row>
    <row r="259" spans="1:21" ht="15">
      <c r="A259" s="77">
        <v>603.08396620745509</v>
      </c>
      <c r="B259" s="77">
        <v>606.00620248376322</v>
      </c>
      <c r="C259" s="77">
        <v>598.89940337641531</v>
      </c>
      <c r="D259" s="77">
        <v>600.48973604379387</v>
      </c>
      <c r="E259" s="77">
        <v>10249751.360103374</v>
      </c>
      <c r="F259" s="77" t="s">
        <v>250</v>
      </c>
      <c r="G259" s="25">
        <f t="shared" si="4"/>
        <v>4.3201906842784688E-3</v>
      </c>
      <c r="I259" s="78">
        <v>126.59</v>
      </c>
      <c r="J259" s="78">
        <v>127.41</v>
      </c>
      <c r="K259" s="78">
        <v>121.54</v>
      </c>
      <c r="L259" s="78">
        <v>121.54</v>
      </c>
      <c r="M259" s="78">
        <v>1510036.0373</v>
      </c>
      <c r="N259" s="78" t="s">
        <v>250</v>
      </c>
      <c r="O259" s="25">
        <f t="shared" si="5"/>
        <v>4.1550106960671407E-2</v>
      </c>
      <c r="Q259" s="79">
        <v>4.2500000000000003E-2</v>
      </c>
      <c r="R259" s="80">
        <v>16</v>
      </c>
      <c r="T259" s="25">
        <f t="shared" si="3"/>
        <v>0.04</v>
      </c>
      <c r="U259" s="1">
        <f>_xlfn.NORM.DIST(T259,$S$202,$S$204,FALSE)</f>
        <v>4.2957546057998188</v>
      </c>
    </row>
    <row r="260" spans="1:21" ht="15">
      <c r="A260" s="77">
        <v>604.70411761234698</v>
      </c>
      <c r="B260" s="77">
        <v>612.168741569855</v>
      </c>
      <c r="C260" s="77">
        <v>604.45562813306901</v>
      </c>
      <c r="D260" s="77">
        <v>610.97599206932114</v>
      </c>
      <c r="E260" s="77">
        <v>12362167.267208908</v>
      </c>
      <c r="F260" s="77" t="s">
        <v>251</v>
      </c>
      <c r="G260" s="25">
        <f t="shared" si="4"/>
        <v>-1.0265336999137897E-2</v>
      </c>
      <c r="I260" s="78">
        <v>122.95</v>
      </c>
      <c r="J260" s="78">
        <v>123.85</v>
      </c>
      <c r="K260" s="78">
        <v>119.61</v>
      </c>
      <c r="L260" s="78">
        <v>120.35</v>
      </c>
      <c r="M260" s="78">
        <v>1202705.4964999999</v>
      </c>
      <c r="N260" s="78" t="s">
        <v>251</v>
      </c>
      <c r="O260" s="25">
        <f t="shared" si="5"/>
        <v>2.1603656003323701E-2</v>
      </c>
      <c r="Q260" s="79">
        <v>4.5000000000000005E-2</v>
      </c>
      <c r="R260" s="80">
        <v>9</v>
      </c>
      <c r="T260" s="25">
        <f t="shared" si="3"/>
        <v>4.2500000000000003E-2</v>
      </c>
      <c r="U260" s="1">
        <f>_xlfn.NORM.DIST(T260,$S$202,$S$204,FALSE)</f>
        <v>3.6044681654231758</v>
      </c>
    </row>
    <row r="261" spans="1:21" ht="15">
      <c r="A261" s="77">
        <v>613.16269948696652</v>
      </c>
      <c r="B261" s="77">
        <v>616.5222772468037</v>
      </c>
      <c r="C261" s="77">
        <v>612.54644557835741</v>
      </c>
      <c r="D261" s="77">
        <v>614.63375720429167</v>
      </c>
      <c r="E261" s="77">
        <v>8800087.6880364232</v>
      </c>
      <c r="F261" s="77" t="s">
        <v>252</v>
      </c>
      <c r="G261" s="25">
        <f t="shared" si="4"/>
        <v>-2.3933890712680705E-3</v>
      </c>
      <c r="I261" s="78">
        <v>120.84</v>
      </c>
      <c r="J261" s="78">
        <v>123.08499999999999</v>
      </c>
      <c r="K261" s="78">
        <v>120.06</v>
      </c>
      <c r="L261" s="78">
        <v>120.53</v>
      </c>
      <c r="M261" s="78">
        <v>1429821.5715000001</v>
      </c>
      <c r="N261" s="78" t="s">
        <v>252</v>
      </c>
      <c r="O261" s="25">
        <f t="shared" si="5"/>
        <v>2.571973782460768E-3</v>
      </c>
      <c r="Q261" s="79">
        <v>4.7500000000000007E-2</v>
      </c>
      <c r="R261" s="80">
        <v>9</v>
      </c>
      <c r="T261" s="25">
        <f t="shared" si="3"/>
        <v>4.5000000000000005E-2</v>
      </c>
      <c r="U261" s="1">
        <f>_xlfn.NORM.DIST(T261,$S$202,$S$204,FALSE)</f>
        <v>2.9921381016422681</v>
      </c>
    </row>
    <row r="262" spans="1:21" ht="15">
      <c r="A262" s="77">
        <v>611.47297102787695</v>
      </c>
      <c r="B262" s="77">
        <v>614.34550940832935</v>
      </c>
      <c r="C262" s="77">
        <v>609.83294046464266</v>
      </c>
      <c r="D262" s="77">
        <v>611.00581080683446</v>
      </c>
      <c r="E262" s="77">
        <v>8274060.0646342319</v>
      </c>
      <c r="F262" s="77" t="s">
        <v>253</v>
      </c>
      <c r="G262" s="25">
        <f t="shared" si="4"/>
        <v>7.645757418011101E-4</v>
      </c>
      <c r="I262" s="78">
        <v>119.28</v>
      </c>
      <c r="J262" s="78">
        <v>122.925</v>
      </c>
      <c r="K262" s="78">
        <v>117.49</v>
      </c>
      <c r="L262" s="78">
        <v>120</v>
      </c>
      <c r="M262" s="78">
        <v>1943610.1544000001</v>
      </c>
      <c r="N262" s="78" t="s">
        <v>253</v>
      </c>
      <c r="O262" s="25">
        <f t="shared" si="5"/>
        <v>-6.0000000000000053E-3</v>
      </c>
      <c r="Q262" s="79">
        <v>5.000000000000001E-2</v>
      </c>
      <c r="R262" s="80">
        <v>6</v>
      </c>
      <c r="T262" s="25">
        <f t="shared" si="3"/>
        <v>4.7500000000000007E-2</v>
      </c>
      <c r="U262" s="1">
        <f>_xlfn.NORM.DIST(T262,$S$202,$S$204,FALSE)</f>
        <v>2.4573147366579753</v>
      </c>
    </row>
    <row r="263" spans="1:21" ht="15">
      <c r="A263" s="77">
        <v>605.40982773349617</v>
      </c>
      <c r="B263" s="77">
        <v>614.59797471927561</v>
      </c>
      <c r="C263" s="77">
        <v>604.57490308312242</v>
      </c>
      <c r="D263" s="77">
        <v>611.82085629886592</v>
      </c>
      <c r="E263" s="77">
        <v>23660320.16711612</v>
      </c>
      <c r="F263" s="77" t="s">
        <v>254</v>
      </c>
      <c r="G263" s="25">
        <f t="shared" si="4"/>
        <v>-1.0478604152451498E-2</v>
      </c>
      <c r="I263" s="78">
        <v>118.94</v>
      </c>
      <c r="J263" s="78">
        <v>120.405</v>
      </c>
      <c r="K263" s="78">
        <v>116.1</v>
      </c>
      <c r="L263" s="78">
        <v>116.1</v>
      </c>
      <c r="M263" s="78">
        <v>1768559.7945999999</v>
      </c>
      <c r="N263" s="78" t="s">
        <v>254</v>
      </c>
      <c r="O263" s="25">
        <f t="shared" si="5"/>
        <v>2.4461670973298988E-2</v>
      </c>
      <c r="Q263" s="79">
        <v>5.2500000000000012E-2</v>
      </c>
      <c r="R263" s="80">
        <v>6</v>
      </c>
      <c r="T263" s="25">
        <f t="shared" si="3"/>
        <v>5.000000000000001E-2</v>
      </c>
      <c r="U263" s="1">
        <f>_xlfn.NORM.DIST(T263,$S$202,$S$204,FALSE)</f>
        <v>1.9965428996844783</v>
      </c>
    </row>
    <row r="264" spans="1:21" ht="15">
      <c r="A264" s="77">
        <v>608.79922423084668</v>
      </c>
      <c r="B264" s="77">
        <v>613.97774497899809</v>
      </c>
      <c r="C264" s="77">
        <v>608.71970759747774</v>
      </c>
      <c r="D264" s="77">
        <v>613.49070559961342</v>
      </c>
      <c r="E264" s="77">
        <v>12076075.97440413</v>
      </c>
      <c r="F264" s="77" t="s">
        <v>255</v>
      </c>
      <c r="G264" s="25">
        <f t="shared" si="4"/>
        <v>-7.6471922491171407E-3</v>
      </c>
      <c r="I264" s="78">
        <v>115.56</v>
      </c>
      <c r="J264" s="78">
        <v>122.04</v>
      </c>
      <c r="K264" s="78">
        <v>115.31</v>
      </c>
      <c r="L264" s="78">
        <v>120.27</v>
      </c>
      <c r="M264" s="78">
        <v>1713633.0715999999</v>
      </c>
      <c r="N264" s="78" t="s">
        <v>255</v>
      </c>
      <c r="O264" s="25">
        <f t="shared" si="5"/>
        <v>-3.9161885757046599E-2</v>
      </c>
      <c r="Q264" s="79">
        <v>5.5000000000000014E-2</v>
      </c>
      <c r="R264" s="80">
        <v>6</v>
      </c>
      <c r="T264" s="25">
        <f t="shared" si="3"/>
        <v>5.2500000000000012E-2</v>
      </c>
      <c r="U264" s="1">
        <f>_xlfn.NORM.DIST(T264,$S$202,$S$204,FALSE)</f>
        <v>1.6048528503763357</v>
      </c>
    </row>
    <row r="265" spans="1:21" ht="15">
      <c r="A265" s="77">
        <v>618.27164318092014</v>
      </c>
      <c r="B265" s="77">
        <v>621.65110009909949</v>
      </c>
      <c r="C265" s="77">
        <v>615.55813806720539</v>
      </c>
      <c r="D265" s="77">
        <v>619.43457394394068</v>
      </c>
      <c r="E265" s="77">
        <v>6365253.0199522767</v>
      </c>
      <c r="F265" s="77" t="s">
        <v>256</v>
      </c>
      <c r="G265" s="25">
        <f t="shared" si="4"/>
        <v>-1.8774069319640319E-3</v>
      </c>
      <c r="I265" s="78">
        <v>121.5</v>
      </c>
      <c r="J265" s="78">
        <v>123.71</v>
      </c>
      <c r="K265" s="78">
        <v>119.98</v>
      </c>
      <c r="L265" s="78">
        <v>122</v>
      </c>
      <c r="M265" s="78">
        <v>1950979.7489</v>
      </c>
      <c r="N265" s="78" t="s">
        <v>256</v>
      </c>
      <c r="O265" s="25">
        <f t="shared" si="5"/>
        <v>-4.098360655737654E-3</v>
      </c>
      <c r="Q265" s="79">
        <v>5.7500000000000016E-2</v>
      </c>
      <c r="R265" s="80">
        <v>3</v>
      </c>
      <c r="T265" s="25">
        <f t="shared" si="3"/>
        <v>5.5000000000000014E-2</v>
      </c>
      <c r="U265" s="1">
        <f>_xlfn.NORM.DIST(T265,$S$202,$S$204,FALSE)</f>
        <v>1.2762345570739799</v>
      </c>
    </row>
    <row r="266" spans="1:21" ht="15">
      <c r="A266" s="77">
        <v>618.95747414372715</v>
      </c>
      <c r="B266" s="77">
        <v>624.70294848779895</v>
      </c>
      <c r="C266" s="77">
        <v>616.88010209696392</v>
      </c>
      <c r="D266" s="77">
        <v>619.55384889399409</v>
      </c>
      <c r="E266" s="77">
        <v>15629246.759101963</v>
      </c>
      <c r="F266" s="77" t="s">
        <v>257</v>
      </c>
      <c r="G266" s="25">
        <f t="shared" si="4"/>
        <v>-9.625874350253083E-4</v>
      </c>
      <c r="I266" s="78">
        <v>122.35</v>
      </c>
      <c r="J266" s="78">
        <v>125.05</v>
      </c>
      <c r="K266" s="78">
        <v>120.36</v>
      </c>
      <c r="L266" s="78">
        <v>124.32</v>
      </c>
      <c r="M266" s="78">
        <v>1434165.3287</v>
      </c>
      <c r="N266" s="78" t="s">
        <v>257</v>
      </c>
      <c r="O266" s="25">
        <f t="shared" si="5"/>
        <v>-1.5846203346203347E-2</v>
      </c>
      <c r="Q266" s="79">
        <v>6.0000000000000019E-2</v>
      </c>
      <c r="R266" s="80">
        <v>2</v>
      </c>
      <c r="T266" s="25">
        <f t="shared" si="3"/>
        <v>5.7500000000000016E-2</v>
      </c>
      <c r="U266" s="1">
        <f>_xlfn.NORM.DIST(T266,$S$202,$S$204,FALSE)</f>
        <v>1.0040711589310416</v>
      </c>
    </row>
    <row r="267" spans="1:21" ht="15">
      <c r="A267" s="77">
        <v>620.03094869420761</v>
      </c>
      <c r="B267" s="77">
        <v>621.54176472821723</v>
      </c>
      <c r="C267" s="77">
        <v>605.51916310437855</v>
      </c>
      <c r="D267" s="77">
        <v>609.1570490810069</v>
      </c>
      <c r="E267" s="77">
        <v>13259006.27684268</v>
      </c>
      <c r="F267" s="77" t="s">
        <v>258</v>
      </c>
      <c r="G267" s="25">
        <f t="shared" si="4"/>
        <v>1.7850732630616983E-2</v>
      </c>
      <c r="I267" s="78">
        <v>124.28</v>
      </c>
      <c r="J267" s="78">
        <v>124.795</v>
      </c>
      <c r="K267" s="78">
        <v>121.19</v>
      </c>
      <c r="L267" s="78">
        <v>124.245</v>
      </c>
      <c r="M267" s="78">
        <v>1522698.9953999999</v>
      </c>
      <c r="N267" s="78" t="s">
        <v>258</v>
      </c>
      <c r="O267" s="25">
        <f t="shared" si="5"/>
        <v>2.8170147692052616E-4</v>
      </c>
      <c r="Q267" s="79">
        <v>6.2500000000000014E-2</v>
      </c>
      <c r="R267" s="80">
        <v>0</v>
      </c>
      <c r="T267" s="25">
        <f t="shared" si="3"/>
        <v>6.0000000000000019E-2</v>
      </c>
      <c r="U267" s="1">
        <f>_xlfn.NORM.DIST(T267,$S$202,$S$204,FALSE)</f>
        <v>0.78151477946916137</v>
      </c>
    </row>
    <row r="268" spans="1:21" ht="15">
      <c r="A268" s="77">
        <v>614.69339467931832</v>
      </c>
      <c r="B268" s="77">
        <v>618.06291201832676</v>
      </c>
      <c r="C268" s="77">
        <v>612.27807694073726</v>
      </c>
      <c r="D268" s="77">
        <v>615.59292659430446</v>
      </c>
      <c r="E268" s="77">
        <v>9721290.7967764959</v>
      </c>
      <c r="F268" s="77" t="s">
        <v>259</v>
      </c>
      <c r="G268" s="25">
        <f t="shared" si="4"/>
        <v>-1.461244722161914E-3</v>
      </c>
      <c r="I268" s="78">
        <v>124.62</v>
      </c>
      <c r="J268" s="78">
        <v>127.745</v>
      </c>
      <c r="K268" s="78">
        <v>124.06</v>
      </c>
      <c r="L268" s="78">
        <v>126.74</v>
      </c>
      <c r="M268" s="78">
        <v>1477165.031</v>
      </c>
      <c r="N268" s="78" t="s">
        <v>259</v>
      </c>
      <c r="O268" s="25">
        <f t="shared" si="5"/>
        <v>-1.6727157961180295E-2</v>
      </c>
      <c r="Q268" s="79">
        <v>6.5000000000000016E-2</v>
      </c>
      <c r="R268" s="80">
        <v>3</v>
      </c>
      <c r="T268" s="25">
        <f t="shared" si="3"/>
        <v>6.2500000000000014E-2</v>
      </c>
      <c r="U268" s="1">
        <f>_xlfn.NORM.DIST(T268,$S$202,$S$204,FALSE)</f>
        <v>0.60179504691751839</v>
      </c>
    </row>
    <row r="269" spans="1:21" ht="15">
      <c r="A269" s="77">
        <v>623.02276202471342</v>
      </c>
      <c r="B269" s="77">
        <v>626.69046673885521</v>
      </c>
      <c r="C269" s="77">
        <v>617.64544969313977</v>
      </c>
      <c r="D269" s="77">
        <v>623.49986182492705</v>
      </c>
      <c r="E269" s="77">
        <v>12232951.097802835</v>
      </c>
      <c r="F269" s="77" t="s">
        <v>260</v>
      </c>
      <c r="G269" s="25">
        <f t="shared" si="4"/>
        <v>-7.6519632068117183E-4</v>
      </c>
      <c r="I269" s="78">
        <v>128.24</v>
      </c>
      <c r="J269" s="78">
        <v>132.07</v>
      </c>
      <c r="K269" s="78">
        <v>127.32</v>
      </c>
      <c r="L269" s="78">
        <v>127.66</v>
      </c>
      <c r="M269" s="78">
        <v>1317268.7198000001</v>
      </c>
      <c r="N269" s="78" t="s">
        <v>260</v>
      </c>
      <c r="O269" s="25">
        <f t="shared" si="5"/>
        <v>4.5433181889393826E-3</v>
      </c>
      <c r="Q269" s="79">
        <v>6.7500000000000018E-2</v>
      </c>
      <c r="R269" s="80">
        <v>1</v>
      </c>
      <c r="T269" s="25">
        <f t="shared" si="3"/>
        <v>6.5000000000000016E-2</v>
      </c>
      <c r="U269" s="1">
        <f>_xlfn.NORM.DIST(T269,$S$202,$S$204,FALSE)</f>
        <v>0.45845713159679102</v>
      </c>
    </row>
    <row r="270" spans="1:21" ht="15">
      <c r="A270" s="77">
        <v>626.37240020537945</v>
      </c>
      <c r="B270" s="77">
        <v>628.14164529783818</v>
      </c>
      <c r="C270" s="77">
        <v>621.29327524893938</v>
      </c>
      <c r="D270" s="77">
        <v>623.13209739559568</v>
      </c>
      <c r="E270" s="77">
        <v>13466889.564598415</v>
      </c>
      <c r="F270" s="77" t="s">
        <v>261</v>
      </c>
      <c r="G270" s="25">
        <f t="shared" si="4"/>
        <v>5.2000255215975955E-3</v>
      </c>
      <c r="I270" s="78">
        <v>128.97</v>
      </c>
      <c r="J270" s="78">
        <v>132.285</v>
      </c>
      <c r="K270" s="78">
        <v>128.6</v>
      </c>
      <c r="L270" s="78">
        <v>130.89500000000001</v>
      </c>
      <c r="M270" s="78">
        <v>1306732.0863000001</v>
      </c>
      <c r="N270" s="78" t="s">
        <v>261</v>
      </c>
      <c r="O270" s="25">
        <f t="shared" si="5"/>
        <v>-1.4706444096413196E-2</v>
      </c>
      <c r="Q270" s="79">
        <v>7.0000000000000021E-2</v>
      </c>
      <c r="R270" s="80">
        <v>1</v>
      </c>
      <c r="T270" s="25">
        <f t="shared" si="3"/>
        <v>6.7500000000000018E-2</v>
      </c>
      <c r="U270" s="1">
        <f>_xlfn.NORM.DIST(T270,$S$202,$S$204,FALSE)</f>
        <v>0.34553143770967543</v>
      </c>
    </row>
    <row r="271" spans="1:21" ht="15">
      <c r="A271" s="77">
        <v>621.93934789506193</v>
      </c>
      <c r="B271" s="77">
        <v>623.99684078348275</v>
      </c>
      <c r="C271" s="77">
        <v>612.15880199068386</v>
      </c>
      <c r="D271" s="77">
        <v>617.05901452204387</v>
      </c>
      <c r="E271" s="77">
        <v>17858757.235400345</v>
      </c>
      <c r="F271" s="77" t="s">
        <v>262</v>
      </c>
      <c r="G271" s="25">
        <f t="shared" si="4"/>
        <v>7.9090220840518644E-3</v>
      </c>
      <c r="I271" s="78">
        <v>129.56</v>
      </c>
      <c r="J271" s="78">
        <v>131.32</v>
      </c>
      <c r="K271" s="78">
        <v>127.11</v>
      </c>
      <c r="L271" s="78">
        <v>129.69</v>
      </c>
      <c r="M271" s="78">
        <v>1435596.3821</v>
      </c>
      <c r="N271" s="78" t="s">
        <v>262</v>
      </c>
      <c r="O271" s="25">
        <f t="shared" si="5"/>
        <v>-1.0023903153674185E-3</v>
      </c>
      <c r="Q271" s="79">
        <v>7.2500000000000023E-2</v>
      </c>
      <c r="R271" s="80">
        <v>3</v>
      </c>
      <c r="T271" s="25">
        <f t="shared" si="3"/>
        <v>7.0000000000000021E-2</v>
      </c>
      <c r="U271" s="1">
        <f>_xlfn.NORM.DIST(T271,$S$202,$S$204,FALSE)</f>
        <v>0.2576410806023845</v>
      </c>
    </row>
    <row r="272" spans="1:21" ht="15">
      <c r="A272" s="77">
        <v>627.46575391420231</v>
      </c>
      <c r="B272" s="77">
        <v>629.51330722345222</v>
      </c>
      <c r="C272" s="77">
        <v>619.83215711078537</v>
      </c>
      <c r="D272" s="77">
        <v>620.41362249229553</v>
      </c>
      <c r="E272" s="77">
        <v>9196640.0864975248</v>
      </c>
      <c r="F272" s="77" t="s">
        <v>263</v>
      </c>
      <c r="G272" s="25">
        <f t="shared" si="4"/>
        <v>1.1366822336326798E-2</v>
      </c>
      <c r="I272" s="78">
        <v>132.88999999999999</v>
      </c>
      <c r="J272" s="78">
        <v>133.34</v>
      </c>
      <c r="K272" s="78">
        <v>129.88</v>
      </c>
      <c r="L272" s="78">
        <v>131.75</v>
      </c>
      <c r="M272" s="78">
        <v>2200340.7137000002</v>
      </c>
      <c r="N272" s="78" t="s">
        <v>263</v>
      </c>
      <c r="O272" s="25">
        <f t="shared" si="5"/>
        <v>8.6527514231498071E-3</v>
      </c>
      <c r="Q272" s="79">
        <v>7.5000000000000025E-2</v>
      </c>
      <c r="R272" s="80">
        <v>1</v>
      </c>
      <c r="T272" s="25">
        <f t="shared" si="3"/>
        <v>7.2500000000000023E-2</v>
      </c>
      <c r="U272" s="1">
        <f>_xlfn.NORM.DIST(T272,$S$202,$S$204,FALSE)</f>
        <v>0.19005590486206775</v>
      </c>
    </row>
    <row r="273" spans="1:21" ht="15">
      <c r="A273" s="77">
        <v>627.22720401409549</v>
      </c>
      <c r="B273" s="77">
        <v>627.87327666021804</v>
      </c>
      <c r="C273" s="77">
        <v>623.15197655393808</v>
      </c>
      <c r="D273" s="77">
        <v>624.44412184618307</v>
      </c>
      <c r="E273" s="77">
        <v>10491519.318548061</v>
      </c>
      <c r="F273" s="77" t="s">
        <v>264</v>
      </c>
      <c r="G273" s="25">
        <f t="shared" si="4"/>
        <v>4.4568954539665473E-3</v>
      </c>
      <c r="I273" s="78">
        <v>134.46</v>
      </c>
      <c r="J273" s="78">
        <v>134.76</v>
      </c>
      <c r="K273" s="78">
        <v>127</v>
      </c>
      <c r="L273" s="78">
        <v>127.965</v>
      </c>
      <c r="M273" s="78">
        <v>3998834.1458000001</v>
      </c>
      <c r="N273" s="78" t="s">
        <v>264</v>
      </c>
      <c r="O273" s="25">
        <f t="shared" si="5"/>
        <v>5.0756066111827591E-2</v>
      </c>
      <c r="Q273" s="79">
        <v>7.7500000000000027E-2</v>
      </c>
      <c r="R273" s="80">
        <v>2</v>
      </c>
      <c r="T273" s="25">
        <f t="shared" si="3"/>
        <v>7.5000000000000025E-2</v>
      </c>
      <c r="U273" s="1">
        <f>_xlfn.NORM.DIST(T273,$S$202,$S$204,FALSE)</f>
        <v>0.13870315281905779</v>
      </c>
    </row>
    <row r="274" spans="1:21" ht="15.75" thickBot="1">
      <c r="A274" s="77">
        <v>630.11962155289029</v>
      </c>
      <c r="B274" s="77">
        <v>633.91654079625641</v>
      </c>
      <c r="C274" s="77">
        <v>625.62693176754578</v>
      </c>
      <c r="D274" s="77">
        <v>633.79726584620312</v>
      </c>
      <c r="E274" s="77">
        <v>9465251.0645919107</v>
      </c>
      <c r="F274" s="77" t="s">
        <v>265</v>
      </c>
      <c r="G274" s="25">
        <f t="shared" si="4"/>
        <v>-5.8025562612717962E-3</v>
      </c>
      <c r="I274" s="78">
        <v>127.4</v>
      </c>
      <c r="J274" s="78">
        <v>127.64</v>
      </c>
      <c r="K274" s="78">
        <v>118.53</v>
      </c>
      <c r="L274" s="78">
        <v>122.76</v>
      </c>
      <c r="M274" s="78">
        <v>3774769.4693</v>
      </c>
      <c r="N274" s="78" t="s">
        <v>265</v>
      </c>
      <c r="O274" s="25">
        <f t="shared" si="5"/>
        <v>3.7797328119908657E-2</v>
      </c>
      <c r="Q274" s="81" t="s">
        <v>1685</v>
      </c>
      <c r="R274" s="81">
        <v>10</v>
      </c>
      <c r="T274" s="25">
        <f t="shared" si="3"/>
        <v>7.7500000000000027E-2</v>
      </c>
      <c r="U274" s="1">
        <f>_xlfn.NORM.DIST(T274,$S$202,$S$204,FALSE)</f>
        <v>0.10014517024461417</v>
      </c>
    </row>
    <row r="275" spans="1:21">
      <c r="A275" s="77">
        <v>633.67799089614971</v>
      </c>
      <c r="B275" s="77">
        <v>634.1451511171922</v>
      </c>
      <c r="C275" s="77">
        <v>630.90484830740843</v>
      </c>
      <c r="D275" s="77">
        <v>630.93466704492175</v>
      </c>
      <c r="E275" s="77">
        <v>12065849.900015049</v>
      </c>
      <c r="F275" s="77" t="s">
        <v>266</v>
      </c>
      <c r="G275" s="25">
        <f t="shared" si="4"/>
        <v>4.3480315704900185E-3</v>
      </c>
      <c r="I275" s="78">
        <v>121.87</v>
      </c>
      <c r="J275" s="78">
        <v>124.02500000000001</v>
      </c>
      <c r="K275" s="78">
        <v>120.88</v>
      </c>
      <c r="L275" s="78">
        <v>123.825</v>
      </c>
      <c r="M275" s="78">
        <v>1679791.4117000001</v>
      </c>
      <c r="N275" s="78" t="s">
        <v>266</v>
      </c>
      <c r="O275" s="25">
        <f t="shared" si="5"/>
        <v>-1.578841106400164E-2</v>
      </c>
      <c r="T275" s="25">
        <f t="shared" si="3"/>
        <v>8.0000000000000029E-2</v>
      </c>
      <c r="U275" s="1">
        <f>_xlfn.NORM.DIST(T275,$S$202,$S$204,FALSE)</f>
        <v>7.153398113109187E-2</v>
      </c>
    </row>
    <row r="276" spans="1:21">
      <c r="A276" s="77">
        <v>628.39013477711615</v>
      </c>
      <c r="B276" s="77">
        <v>629.26481774417425</v>
      </c>
      <c r="C276" s="77">
        <v>621.62128136158617</v>
      </c>
      <c r="D276" s="77">
        <v>623.36070771653135</v>
      </c>
      <c r="E276" s="77">
        <v>6934297.6936378954</v>
      </c>
      <c r="F276" s="77" t="s">
        <v>267</v>
      </c>
      <c r="G276" s="25">
        <f t="shared" si="4"/>
        <v>8.0682452363871615E-3</v>
      </c>
      <c r="I276" s="78">
        <v>122.9</v>
      </c>
      <c r="J276" s="78">
        <v>124.96</v>
      </c>
      <c r="K276" s="78">
        <v>120.6</v>
      </c>
      <c r="L276" s="78">
        <v>120.87</v>
      </c>
      <c r="M276" s="78">
        <v>2321923.0945000001</v>
      </c>
      <c r="N276" s="78" t="s">
        <v>267</v>
      </c>
      <c r="O276" s="25">
        <f t="shared" si="5"/>
        <v>1.6794903615454659E-2</v>
      </c>
    </row>
    <row r="277" spans="1:21">
      <c r="A277" s="77">
        <v>623.83780751674499</v>
      </c>
      <c r="B277" s="77">
        <v>630.77563377818387</v>
      </c>
      <c r="C277" s="77">
        <v>621.96916663257525</v>
      </c>
      <c r="D277" s="77">
        <v>628.78771794396073</v>
      </c>
      <c r="E277" s="77">
        <v>10883525.717704553</v>
      </c>
      <c r="F277" s="77" t="s">
        <v>268</v>
      </c>
      <c r="G277" s="25">
        <f t="shared" si="4"/>
        <v>-7.8721487172191962E-3</v>
      </c>
      <c r="I277" s="78">
        <v>120.54</v>
      </c>
      <c r="J277" s="78">
        <v>120.6</v>
      </c>
      <c r="K277" s="78">
        <v>115.88</v>
      </c>
      <c r="L277" s="78">
        <v>116.55</v>
      </c>
      <c r="M277" s="78">
        <v>1970009.905</v>
      </c>
      <c r="N277" s="78" t="s">
        <v>268</v>
      </c>
      <c r="O277" s="25">
        <f t="shared" si="5"/>
        <v>3.4234234234234329E-2</v>
      </c>
    </row>
    <row r="278" spans="1:21">
      <c r="A278" s="77">
        <v>630.18919860708797</v>
      </c>
      <c r="B278" s="77">
        <v>630.74581504067055</v>
      </c>
      <c r="C278" s="77">
        <v>623.24143276647806</v>
      </c>
      <c r="D278" s="77">
        <v>623.68871382917825</v>
      </c>
      <c r="E278" s="77">
        <v>7493334.3472365998</v>
      </c>
      <c r="F278" s="77" t="s">
        <v>269</v>
      </c>
      <c r="G278" s="25">
        <f t="shared" si="4"/>
        <v>1.0422642952763406E-2</v>
      </c>
      <c r="I278" s="78">
        <v>117.67</v>
      </c>
      <c r="J278" s="78">
        <v>119.685</v>
      </c>
      <c r="K278" s="78">
        <v>115.8</v>
      </c>
      <c r="L278" s="78">
        <v>116.18</v>
      </c>
      <c r="M278" s="78">
        <v>2114085</v>
      </c>
      <c r="N278" s="78" t="s">
        <v>269</v>
      </c>
      <c r="O278" s="25">
        <f t="shared" si="5"/>
        <v>1.2824926837665673E-2</v>
      </c>
    </row>
    <row r="279" spans="1:21">
      <c r="A279" s="77">
        <v>625.72632755925702</v>
      </c>
      <c r="B279" s="77">
        <v>627.26696233077996</v>
      </c>
      <c r="C279" s="77">
        <v>623.02276202471342</v>
      </c>
      <c r="D279" s="77">
        <v>625.14983196733237</v>
      </c>
      <c r="E279" s="77">
        <v>5201993.878197087</v>
      </c>
      <c r="F279" s="77" t="s">
        <v>270</v>
      </c>
      <c r="G279" s="25">
        <f t="shared" si="4"/>
        <v>9.2217187375776E-4</v>
      </c>
      <c r="I279" s="78">
        <v>120</v>
      </c>
      <c r="J279" s="78">
        <v>120.41</v>
      </c>
      <c r="K279" s="78">
        <v>118.68</v>
      </c>
      <c r="L279" s="78">
        <v>119.28</v>
      </c>
      <c r="M279" s="78">
        <v>1887781</v>
      </c>
      <c r="N279" s="78" t="s">
        <v>270</v>
      </c>
      <c r="O279" s="25">
        <f t="shared" si="5"/>
        <v>6.0362173038228661E-3</v>
      </c>
    </row>
    <row r="280" spans="1:21">
      <c r="A280" s="77">
        <v>627.33653938497775</v>
      </c>
      <c r="B280" s="77">
        <v>629.97052786532345</v>
      </c>
      <c r="C280" s="77">
        <v>624.20557194607625</v>
      </c>
      <c r="D280" s="77">
        <v>625.30886523407014</v>
      </c>
      <c r="E280" s="77">
        <v>9566979.4830282088</v>
      </c>
      <c r="F280" s="77" t="s">
        <v>271</v>
      </c>
      <c r="G280" s="25">
        <f t="shared" si="4"/>
        <v>3.2426761615615973E-3</v>
      </c>
      <c r="I280" s="78">
        <v>120.09</v>
      </c>
      <c r="J280" s="78">
        <v>120.74</v>
      </c>
      <c r="K280" s="78">
        <v>116.06</v>
      </c>
      <c r="L280" s="78">
        <v>116.18</v>
      </c>
      <c r="M280" s="78">
        <v>2617186</v>
      </c>
      <c r="N280" s="78" t="s">
        <v>271</v>
      </c>
      <c r="O280" s="25">
        <f t="shared" si="5"/>
        <v>3.3654673782062217E-2</v>
      </c>
    </row>
    <row r="281" spans="1:21">
      <c r="A281" s="77">
        <v>624.19563236690522</v>
      </c>
      <c r="B281" s="77">
        <v>626.1239107261016</v>
      </c>
      <c r="C281" s="77">
        <v>617.75478506402203</v>
      </c>
      <c r="D281" s="77">
        <v>621.76043546998176</v>
      </c>
      <c r="E281" s="77">
        <v>8088295.1497205654</v>
      </c>
      <c r="F281" s="77" t="s">
        <v>272</v>
      </c>
      <c r="G281" s="25">
        <f t="shared" si="4"/>
        <v>3.9166160437382747E-3</v>
      </c>
      <c r="I281" s="78">
        <v>116.51</v>
      </c>
      <c r="J281" s="78">
        <v>117.155</v>
      </c>
      <c r="K281" s="78">
        <v>114.02500000000001</v>
      </c>
      <c r="L281" s="78">
        <v>115.58</v>
      </c>
      <c r="M281" s="78">
        <v>3039105</v>
      </c>
      <c r="N281" s="78" t="s">
        <v>272</v>
      </c>
      <c r="O281" s="25">
        <f t="shared" si="5"/>
        <v>8.0463748053296591E-3</v>
      </c>
    </row>
    <row r="282" spans="1:21">
      <c r="A282" s="77">
        <v>623.10227865808235</v>
      </c>
      <c r="B282" s="77">
        <v>627.35641854331993</v>
      </c>
      <c r="C282" s="77">
        <v>619.35008752098622</v>
      </c>
      <c r="D282" s="77">
        <v>623.14203697476682</v>
      </c>
      <c r="E282" s="77">
        <v>9304973.4206822477</v>
      </c>
      <c r="F282" s="77" t="s">
        <v>273</v>
      </c>
      <c r="G282" s="25">
        <f t="shared" si="4"/>
        <v>-6.3802976408844359E-5</v>
      </c>
      <c r="I282" s="78">
        <v>116.81</v>
      </c>
      <c r="J282" s="78">
        <v>117.47</v>
      </c>
      <c r="K282" s="78">
        <v>114.94</v>
      </c>
      <c r="L282" s="78">
        <v>115.19499999999999</v>
      </c>
      <c r="M282" s="78">
        <v>1754899</v>
      </c>
      <c r="N282" s="78" t="s">
        <v>273</v>
      </c>
      <c r="O282" s="25">
        <f t="shared" si="5"/>
        <v>1.4019705716393993E-2</v>
      </c>
    </row>
    <row r="283" spans="1:21">
      <c r="A283" s="77">
        <v>622.70469549123777</v>
      </c>
      <c r="B283" s="77">
        <v>635.65596715120171</v>
      </c>
      <c r="C283" s="77">
        <v>621.97910621174628</v>
      </c>
      <c r="D283" s="77">
        <v>634.65206965491905</v>
      </c>
      <c r="E283" s="77">
        <v>8920772.0441192109</v>
      </c>
      <c r="F283" s="77" t="s">
        <v>274</v>
      </c>
      <c r="G283" s="25">
        <f t="shared" si="4"/>
        <v>-1.8825077132699541E-2</v>
      </c>
      <c r="I283" s="78">
        <v>114.44</v>
      </c>
      <c r="J283" s="78">
        <v>118.15</v>
      </c>
      <c r="K283" s="78">
        <v>112.65</v>
      </c>
      <c r="L283" s="78">
        <v>118.15</v>
      </c>
      <c r="M283" s="78">
        <v>3215208</v>
      </c>
      <c r="N283" s="78" t="s">
        <v>274</v>
      </c>
      <c r="O283" s="25">
        <f t="shared" si="5"/>
        <v>-3.1400761743546446E-2</v>
      </c>
    </row>
    <row r="284" spans="1:21">
      <c r="A284" s="77">
        <v>632.50512055395802</v>
      </c>
      <c r="B284" s="77">
        <v>637.27611855609359</v>
      </c>
      <c r="C284" s="77">
        <v>630.01028618200803</v>
      </c>
      <c r="D284" s="77">
        <v>636.62010633080001</v>
      </c>
      <c r="E284" s="77">
        <v>5349413.6003778903</v>
      </c>
      <c r="F284" s="77" t="s">
        <v>275</v>
      </c>
      <c r="G284" s="25">
        <f t="shared" si="4"/>
        <v>-6.4638011522428762E-3</v>
      </c>
      <c r="I284" s="78">
        <v>116.38</v>
      </c>
      <c r="J284" s="78">
        <v>119.17</v>
      </c>
      <c r="K284" s="78">
        <v>116.2</v>
      </c>
      <c r="L284" s="78">
        <v>118.29</v>
      </c>
      <c r="M284" s="78">
        <v>2031883</v>
      </c>
      <c r="N284" s="78" t="s">
        <v>275</v>
      </c>
      <c r="O284" s="25">
        <f t="shared" si="5"/>
        <v>-1.6146757967706593E-2</v>
      </c>
    </row>
    <row r="285" spans="1:21">
      <c r="A285" s="77">
        <v>632.59457676649811</v>
      </c>
      <c r="B285" s="77">
        <v>636.74932086002445</v>
      </c>
      <c r="C285" s="77">
        <v>632.23675191633799</v>
      </c>
      <c r="D285" s="77">
        <v>635.2782631426993</v>
      </c>
      <c r="E285" s="77">
        <v>13702744.115746059</v>
      </c>
      <c r="F285" s="77" t="s">
        <v>276</v>
      </c>
      <c r="G285" s="25">
        <f t="shared" si="4"/>
        <v>-4.2244265732076514E-3</v>
      </c>
      <c r="I285" s="78">
        <v>119.32</v>
      </c>
      <c r="J285" s="78">
        <v>119.92</v>
      </c>
      <c r="K285" s="78">
        <v>115.205</v>
      </c>
      <c r="L285" s="78">
        <v>117.5</v>
      </c>
      <c r="M285" s="78">
        <v>2468953</v>
      </c>
      <c r="N285" s="78" t="s">
        <v>276</v>
      </c>
      <c r="O285" s="25">
        <f t="shared" si="5"/>
        <v>1.5489361702127669E-2</v>
      </c>
    </row>
    <row r="286" spans="1:21">
      <c r="A286" s="77">
        <v>634.37376143812787</v>
      </c>
      <c r="B286" s="77">
        <v>636.1231273722442</v>
      </c>
      <c r="C286" s="77">
        <v>629.28469690251654</v>
      </c>
      <c r="D286" s="77">
        <v>630.2388965029437</v>
      </c>
      <c r="E286" s="77">
        <v>8939190.3289226554</v>
      </c>
      <c r="F286" s="77" t="s">
        <v>277</v>
      </c>
      <c r="G286" s="25">
        <f t="shared" si="4"/>
        <v>6.5607898181587743E-3</v>
      </c>
      <c r="I286" s="78">
        <v>117.25</v>
      </c>
      <c r="J286" s="78">
        <v>119.75</v>
      </c>
      <c r="K286" s="78">
        <v>116.67</v>
      </c>
      <c r="L286" s="78">
        <v>119.72</v>
      </c>
      <c r="M286" s="78">
        <v>2474453</v>
      </c>
      <c r="N286" s="78" t="s">
        <v>277</v>
      </c>
      <c r="O286" s="25">
        <f t="shared" si="5"/>
        <v>-2.0631473438022074E-2</v>
      </c>
    </row>
    <row r="287" spans="1:21">
      <c r="A287" s="77">
        <v>631.40182726596413</v>
      </c>
      <c r="B287" s="77">
        <v>632.8728849832894</v>
      </c>
      <c r="C287" s="77">
        <v>622.41644769527545</v>
      </c>
      <c r="D287" s="77">
        <v>622.93330581217344</v>
      </c>
      <c r="E287" s="77">
        <v>13038197.87225973</v>
      </c>
      <c r="F287" s="77" t="s">
        <v>278</v>
      </c>
      <c r="G287" s="25">
        <f t="shared" si="4"/>
        <v>1.3594587694664151E-2</v>
      </c>
      <c r="I287" s="78">
        <v>119.72</v>
      </c>
      <c r="J287" s="78">
        <v>128.16319999999999</v>
      </c>
      <c r="K287" s="78">
        <v>117.67</v>
      </c>
      <c r="L287" s="78">
        <v>125.99</v>
      </c>
      <c r="M287" s="78">
        <v>4448049</v>
      </c>
      <c r="N287" s="78" t="s">
        <v>278</v>
      </c>
      <c r="O287" s="25">
        <f t="shared" si="5"/>
        <v>-4.9765854432891499E-2</v>
      </c>
    </row>
    <row r="288" spans="1:21">
      <c r="A288" s="77">
        <v>619.33517815222956</v>
      </c>
      <c r="B288" s="77">
        <v>624.95104038390991</v>
      </c>
      <c r="C288" s="77">
        <v>617.744845484851</v>
      </c>
      <c r="D288" s="77">
        <v>622.45620601195992</v>
      </c>
      <c r="E288" s="77">
        <v>11576929.769259207</v>
      </c>
      <c r="F288" s="77" t="s">
        <v>279</v>
      </c>
      <c r="G288" s="25">
        <f t="shared" si="4"/>
        <v>-5.0140521205926936E-3</v>
      </c>
      <c r="I288" s="78">
        <v>133.61000000000001</v>
      </c>
      <c r="J288" s="78">
        <v>136.15</v>
      </c>
      <c r="K288" s="78">
        <v>132.5</v>
      </c>
      <c r="L288" s="78">
        <v>133.685</v>
      </c>
      <c r="M288" s="78">
        <v>2843581</v>
      </c>
      <c r="N288" s="78" t="s">
        <v>279</v>
      </c>
      <c r="O288" s="25">
        <f t="shared" si="5"/>
        <v>-5.6102030893512289E-4</v>
      </c>
    </row>
    <row r="289" spans="1:15">
      <c r="A289" s="77">
        <v>627.09798948487094</v>
      </c>
      <c r="B289" s="77">
        <v>632.0777186496</v>
      </c>
      <c r="C289" s="77">
        <v>623.21161402896473</v>
      </c>
      <c r="D289" s="77">
        <v>631.09370031165952</v>
      </c>
      <c r="E289" s="77">
        <v>11296495.361321686</v>
      </c>
      <c r="F289" s="77" t="s">
        <v>280</v>
      </c>
      <c r="G289" s="25">
        <f t="shared" si="4"/>
        <v>-6.3314066117524659E-3</v>
      </c>
      <c r="I289" s="78">
        <v>134.19</v>
      </c>
      <c r="J289" s="78">
        <v>140.6499</v>
      </c>
      <c r="K289" s="78">
        <v>133.33000000000001</v>
      </c>
      <c r="L289" s="78">
        <v>137.1</v>
      </c>
      <c r="M289" s="78">
        <v>2936008</v>
      </c>
      <c r="N289" s="78" t="s">
        <v>280</v>
      </c>
      <c r="O289" s="25">
        <f t="shared" si="5"/>
        <v>-2.1225382932166248E-2</v>
      </c>
    </row>
    <row r="290" spans="1:15">
      <c r="A290" s="77">
        <v>630.31841313631253</v>
      </c>
      <c r="B290" s="77">
        <v>637.12702486852686</v>
      </c>
      <c r="C290" s="77">
        <v>625.30389544448462</v>
      </c>
      <c r="D290" s="77">
        <v>636.46107306406213</v>
      </c>
      <c r="E290" s="77">
        <v>9702820.2441666313</v>
      </c>
      <c r="F290" s="77" t="s">
        <v>281</v>
      </c>
      <c r="G290" s="25">
        <f t="shared" si="4"/>
        <v>-9.6512735620695178E-3</v>
      </c>
      <c r="I290" s="78">
        <v>135.43</v>
      </c>
      <c r="J290" s="78">
        <v>143.05799999999999</v>
      </c>
      <c r="K290" s="78">
        <v>135.02000000000001</v>
      </c>
      <c r="L290" s="78">
        <v>141.33000000000001</v>
      </c>
      <c r="M290" s="78">
        <v>2355369</v>
      </c>
      <c r="N290" s="78" t="s">
        <v>281</v>
      </c>
      <c r="O290" s="25">
        <f t="shared" si="5"/>
        <v>-4.1746267600651032E-2</v>
      </c>
    </row>
    <row r="291" spans="1:15">
      <c r="A291" s="77">
        <v>635.81500041793959</v>
      </c>
      <c r="B291" s="77">
        <v>637.0872665518425</v>
      </c>
      <c r="C291" s="77">
        <v>630.2388965029437</v>
      </c>
      <c r="D291" s="77">
        <v>630.34823187382585</v>
      </c>
      <c r="E291" s="77">
        <v>9179997.3046299871</v>
      </c>
      <c r="F291" s="77" t="s">
        <v>282</v>
      </c>
      <c r="G291" s="25">
        <f t="shared" si="4"/>
        <v>8.6726166072723654E-3</v>
      </c>
      <c r="I291" s="78">
        <v>141.13</v>
      </c>
      <c r="J291" s="78">
        <v>143.55500000000001</v>
      </c>
      <c r="K291" s="78">
        <v>139.79</v>
      </c>
      <c r="L291" s="78">
        <v>142.69999999999999</v>
      </c>
      <c r="M291" s="78">
        <v>2282800</v>
      </c>
      <c r="N291" s="78" t="s">
        <v>282</v>
      </c>
      <c r="O291" s="25">
        <f t="shared" si="5"/>
        <v>-1.1002102312543727E-2</v>
      </c>
    </row>
    <row r="292" spans="1:15">
      <c r="A292" s="77">
        <v>632.37590602473358</v>
      </c>
      <c r="B292" s="77">
        <v>634.5924321798924</v>
      </c>
      <c r="C292" s="77">
        <v>628.13170571866704</v>
      </c>
      <c r="D292" s="77">
        <v>632.4057247622469</v>
      </c>
      <c r="E292" s="77">
        <v>6559183.1281405091</v>
      </c>
      <c r="F292" s="77" t="s">
        <v>283</v>
      </c>
      <c r="G292" s="25">
        <f t="shared" si="4"/>
        <v>-4.71512770137128E-5</v>
      </c>
      <c r="I292" s="78">
        <v>144.81</v>
      </c>
      <c r="J292" s="78">
        <v>149.4</v>
      </c>
      <c r="K292" s="78">
        <v>143</v>
      </c>
      <c r="L292" s="78">
        <v>149.33000000000001</v>
      </c>
      <c r="M292" s="78">
        <v>2477022</v>
      </c>
      <c r="N292" s="78" t="s">
        <v>283</v>
      </c>
      <c r="O292" s="25">
        <f t="shared" si="5"/>
        <v>-3.0268532779749613E-2</v>
      </c>
    </row>
    <row r="293" spans="1:15">
      <c r="A293" s="77">
        <v>634.41351975481223</v>
      </c>
      <c r="B293" s="77">
        <v>637.16678318521133</v>
      </c>
      <c r="C293" s="77">
        <v>626.01457535521945</v>
      </c>
      <c r="D293" s="77">
        <v>636.56046885577325</v>
      </c>
      <c r="E293" s="77">
        <v>8537440.9257281832</v>
      </c>
      <c r="F293" s="77" t="s">
        <v>284</v>
      </c>
      <c r="G293" s="25">
        <f t="shared" si="4"/>
        <v>-3.37273394438109E-3</v>
      </c>
      <c r="I293" s="78">
        <v>149.69</v>
      </c>
      <c r="J293" s="78">
        <v>150.32</v>
      </c>
      <c r="K293" s="78">
        <v>145.68</v>
      </c>
      <c r="L293" s="78">
        <v>150.32</v>
      </c>
      <c r="M293" s="78">
        <v>2173812</v>
      </c>
      <c r="N293" s="78" t="s">
        <v>284</v>
      </c>
      <c r="O293" s="25">
        <f t="shared" si="5"/>
        <v>-4.1910590739754339E-3</v>
      </c>
    </row>
    <row r="294" spans="1:15">
      <c r="A294" s="77">
        <v>635.73548378457065</v>
      </c>
      <c r="B294" s="77">
        <v>637.93213078138729</v>
      </c>
      <c r="C294" s="77">
        <v>634.36382185895673</v>
      </c>
      <c r="D294" s="77">
        <v>637.17672276438248</v>
      </c>
      <c r="E294" s="77">
        <v>5521735.7853027182</v>
      </c>
      <c r="F294" s="77" t="s">
        <v>285</v>
      </c>
      <c r="G294" s="25">
        <f t="shared" si="4"/>
        <v>-2.261914047266278E-3</v>
      </c>
      <c r="I294" s="78">
        <v>149.86000000000001</v>
      </c>
      <c r="J294" s="78">
        <v>152.78</v>
      </c>
      <c r="K294" s="78">
        <v>148.49</v>
      </c>
      <c r="L294" s="78">
        <v>152.41999999999999</v>
      </c>
      <c r="M294" s="78">
        <v>1847202</v>
      </c>
      <c r="N294" s="78" t="s">
        <v>285</v>
      </c>
      <c r="O294" s="25">
        <f t="shared" si="5"/>
        <v>-1.6795696102873459E-2</v>
      </c>
    </row>
    <row r="295" spans="1:15">
      <c r="A295" s="77">
        <v>635.83487957628188</v>
      </c>
      <c r="B295" s="77">
        <v>636.72536647422214</v>
      </c>
      <c r="C295" s="77">
        <v>634.01593658796764</v>
      </c>
      <c r="D295" s="77">
        <v>634.56261344237896</v>
      </c>
      <c r="E295" s="77">
        <v>4334495.3803676274</v>
      </c>
      <c r="F295" s="77" t="s">
        <v>286</v>
      </c>
      <c r="G295" s="25">
        <f t="shared" si="4"/>
        <v>2.0049497196203969E-3</v>
      </c>
      <c r="I295" s="78">
        <v>152.09</v>
      </c>
      <c r="J295" s="78">
        <v>153.47499999999999</v>
      </c>
      <c r="K295" s="78">
        <v>150.77000000000001</v>
      </c>
      <c r="L295" s="78">
        <v>152.26</v>
      </c>
      <c r="M295" s="78">
        <v>1489811</v>
      </c>
      <c r="N295" s="78" t="s">
        <v>286</v>
      </c>
      <c r="O295" s="25">
        <f t="shared" si="5"/>
        <v>-1.1165112307893743E-3</v>
      </c>
    </row>
    <row r="296" spans="1:15">
      <c r="A296" s="77">
        <v>633.24064941262066</v>
      </c>
      <c r="B296" s="77">
        <v>634.53279470486564</v>
      </c>
      <c r="C296" s="77">
        <v>630.68617756564379</v>
      </c>
      <c r="D296" s="77">
        <v>631.19309610337075</v>
      </c>
      <c r="E296" s="77">
        <v>9030953.7712473068</v>
      </c>
      <c r="F296" s="77" t="s">
        <v>287</v>
      </c>
      <c r="G296" s="25">
        <f t="shared" si="4"/>
        <v>3.2439412311229265E-3</v>
      </c>
      <c r="I296" s="78">
        <v>153</v>
      </c>
      <c r="J296" s="78">
        <v>153.07</v>
      </c>
      <c r="K296" s="78">
        <v>147.57</v>
      </c>
      <c r="L296" s="78">
        <v>149.36000000000001</v>
      </c>
      <c r="M296" s="78">
        <v>2691623</v>
      </c>
      <c r="N296" s="78" t="s">
        <v>287</v>
      </c>
      <c r="O296" s="25">
        <f t="shared" si="5"/>
        <v>2.4370648098553715E-2</v>
      </c>
    </row>
    <row r="297" spans="1:15">
      <c r="A297" s="77">
        <v>630.00034660283688</v>
      </c>
      <c r="B297" s="77">
        <v>631.63093456585841</v>
      </c>
      <c r="C297" s="77">
        <v>628.15158487700933</v>
      </c>
      <c r="D297" s="77">
        <v>629.05608658158087</v>
      </c>
      <c r="E297" s="77">
        <v>5862676.7790469797</v>
      </c>
      <c r="F297" s="77" t="s">
        <v>288</v>
      </c>
      <c r="G297" s="25">
        <f t="shared" si="4"/>
        <v>1.5010744532928388E-3</v>
      </c>
      <c r="I297" s="78">
        <v>150.28</v>
      </c>
      <c r="J297" s="78">
        <v>154.03</v>
      </c>
      <c r="K297" s="78">
        <v>148.16999999999999</v>
      </c>
      <c r="L297" s="78">
        <v>154.03</v>
      </c>
      <c r="M297" s="78">
        <v>2764751</v>
      </c>
      <c r="N297" s="78" t="s">
        <v>288</v>
      </c>
      <c r="O297" s="25">
        <f t="shared" si="5"/>
        <v>-2.4345906641563331E-2</v>
      </c>
    </row>
    <row r="298" spans="1:15">
      <c r="A298" s="77">
        <v>629.74191754438789</v>
      </c>
      <c r="B298" s="77">
        <v>631.77953127446654</v>
      </c>
      <c r="C298" s="77">
        <v>627.93291413524469</v>
      </c>
      <c r="D298" s="77">
        <v>630.5967213531037</v>
      </c>
      <c r="E298" s="77">
        <v>6094608.1274786247</v>
      </c>
      <c r="F298" s="77" t="s">
        <v>289</v>
      </c>
      <c r="G298" s="25">
        <f t="shared" si="4"/>
        <v>-1.3555474993298677E-3</v>
      </c>
      <c r="I298" s="78">
        <v>153.94999999999999</v>
      </c>
      <c r="J298" s="78">
        <v>155.529</v>
      </c>
      <c r="K298" s="78">
        <v>152.94999999999999</v>
      </c>
      <c r="L298" s="78">
        <v>153.25</v>
      </c>
      <c r="M298" s="78">
        <v>1667883</v>
      </c>
      <c r="N298" s="78" t="s">
        <v>289</v>
      </c>
      <c r="O298" s="25">
        <f t="shared" si="5"/>
        <v>4.5676998368677779E-3</v>
      </c>
    </row>
    <row r="299" spans="1:15">
      <c r="A299" s="77">
        <v>626.48173557626183</v>
      </c>
      <c r="B299" s="77">
        <v>629.57294469847886</v>
      </c>
      <c r="C299" s="77">
        <v>619.88185500664088</v>
      </c>
      <c r="D299" s="77">
        <v>621.24357735308377</v>
      </c>
      <c r="E299" s="77">
        <v>10417923.960092066</v>
      </c>
      <c r="F299" s="77" t="s">
        <v>290</v>
      </c>
      <c r="G299" s="25">
        <f t="shared" si="4"/>
        <v>8.4317301846341675E-3</v>
      </c>
      <c r="I299" s="78">
        <v>152.47999999999999</v>
      </c>
      <c r="J299" s="78">
        <v>153.11000000000001</v>
      </c>
      <c r="K299" s="78">
        <v>147.27000000000001</v>
      </c>
      <c r="L299" s="78">
        <v>147.27000000000001</v>
      </c>
      <c r="M299" s="78">
        <v>2265149</v>
      </c>
      <c r="N299" s="78" t="s">
        <v>290</v>
      </c>
      <c r="O299" s="25">
        <f t="shared" si="5"/>
        <v>3.5377198343178984E-2</v>
      </c>
    </row>
    <row r="300" spans="1:15">
      <c r="A300" s="77">
        <v>619.38487604808506</v>
      </c>
      <c r="B300" s="77">
        <v>625.95483848440097</v>
      </c>
      <c r="C300" s="77">
        <v>618.46049518517134</v>
      </c>
      <c r="D300" s="77">
        <v>622.97306412885791</v>
      </c>
      <c r="E300" s="77">
        <v>14968067.30332605</v>
      </c>
      <c r="F300" s="77" t="s">
        <v>291</v>
      </c>
      <c r="G300" s="25">
        <f t="shared" si="4"/>
        <v>-5.7597804582296686E-3</v>
      </c>
      <c r="I300" s="78">
        <v>147.16999999999999</v>
      </c>
      <c r="J300" s="78">
        <v>148.09</v>
      </c>
      <c r="K300" s="78">
        <v>137</v>
      </c>
      <c r="L300" s="78">
        <v>137.78</v>
      </c>
      <c r="M300" s="78">
        <v>2090295</v>
      </c>
      <c r="N300" s="78" t="s">
        <v>291</v>
      </c>
      <c r="O300" s="25">
        <f t="shared" si="5"/>
        <v>6.8152126578603367E-2</v>
      </c>
    </row>
    <row r="301" spans="1:15">
      <c r="A301" s="77">
        <v>632.24669149550903</v>
      </c>
      <c r="B301" s="77">
        <v>634.65197025912732</v>
      </c>
      <c r="C301" s="77">
        <v>630.84521083238167</v>
      </c>
      <c r="D301" s="77">
        <v>634.10539280050773</v>
      </c>
      <c r="E301" s="77">
        <v>6734732.813892859</v>
      </c>
      <c r="F301" s="77" t="s">
        <v>292</v>
      </c>
      <c r="G301" s="25">
        <f t="shared" si="4"/>
        <v>-2.9312182581980872E-3</v>
      </c>
      <c r="I301" s="78">
        <v>141.65</v>
      </c>
      <c r="J301" s="78">
        <v>145.41999999999999</v>
      </c>
      <c r="K301" s="78">
        <v>141.37</v>
      </c>
      <c r="L301" s="78">
        <v>145.30000000000001</v>
      </c>
      <c r="M301" s="78">
        <v>1898698</v>
      </c>
      <c r="N301" s="78" t="s">
        <v>292</v>
      </c>
      <c r="O301" s="25">
        <f t="shared" si="5"/>
        <v>-2.5120440467997329E-2</v>
      </c>
    </row>
    <row r="302" spans="1:15">
      <c r="A302" s="77">
        <v>632.77348919157816</v>
      </c>
      <c r="B302" s="77">
        <v>635.71560462622847</v>
      </c>
      <c r="C302" s="77">
        <v>631.85904790783559</v>
      </c>
      <c r="D302" s="77">
        <v>634.91049871336804</v>
      </c>
      <c r="E302" s="77">
        <v>6792642.7102869321</v>
      </c>
      <c r="F302" s="77" t="s">
        <v>293</v>
      </c>
      <c r="G302" s="25">
        <f t="shared" si="4"/>
        <v>-3.3658437309203038E-3</v>
      </c>
      <c r="I302" s="78">
        <v>145.30000000000001</v>
      </c>
      <c r="J302" s="78">
        <v>146.82</v>
      </c>
      <c r="K302" s="78">
        <v>142.80000000000001</v>
      </c>
      <c r="L302" s="78">
        <v>144.68</v>
      </c>
      <c r="M302" s="78">
        <v>1700321</v>
      </c>
      <c r="N302" s="78" t="s">
        <v>293</v>
      </c>
      <c r="O302" s="25">
        <f t="shared" si="5"/>
        <v>4.2853193254077659E-3</v>
      </c>
    </row>
    <row r="303" spans="1:15">
      <c r="A303" s="77">
        <v>631.10363989083078</v>
      </c>
      <c r="B303" s="77">
        <v>632.27551627510525</v>
      </c>
      <c r="C303" s="77">
        <v>627.18744569741102</v>
      </c>
      <c r="D303" s="77">
        <v>631.65031674524209</v>
      </c>
      <c r="E303" s="77">
        <v>8628389.4442154616</v>
      </c>
      <c r="F303" s="77" t="s">
        <v>294</v>
      </c>
      <c r="G303" s="25">
        <f t="shared" si="4"/>
        <v>-8.6547388629243382E-4</v>
      </c>
      <c r="I303" s="78">
        <v>143.97</v>
      </c>
      <c r="J303" s="78">
        <v>148.57</v>
      </c>
      <c r="K303" s="78">
        <v>140.19</v>
      </c>
      <c r="L303" s="78">
        <v>147</v>
      </c>
      <c r="M303" s="78">
        <v>2065573</v>
      </c>
      <c r="N303" s="78" t="s">
        <v>294</v>
      </c>
      <c r="O303" s="25">
        <f t="shared" si="5"/>
        <v>-2.0612244897959209E-2</v>
      </c>
    </row>
    <row r="304" spans="1:15">
      <c r="A304" s="77">
        <v>634.17496985470541</v>
      </c>
      <c r="B304" s="77">
        <v>636.28285640952402</v>
      </c>
      <c r="C304" s="77">
        <v>631.97335306830337</v>
      </c>
      <c r="D304" s="77">
        <v>635.81500041793959</v>
      </c>
      <c r="E304" s="77">
        <v>8890847.2359478194</v>
      </c>
      <c r="F304" s="77" t="s">
        <v>295</v>
      </c>
      <c r="G304" s="25">
        <f t="shared" si="4"/>
        <v>-2.5794147073537887E-3</v>
      </c>
      <c r="I304" s="78">
        <v>146.99</v>
      </c>
      <c r="J304" s="78">
        <v>151</v>
      </c>
      <c r="K304" s="78">
        <v>142.53</v>
      </c>
      <c r="L304" s="78">
        <v>150</v>
      </c>
      <c r="M304" s="78">
        <v>2296299</v>
      </c>
      <c r="N304" s="78" t="s">
        <v>295</v>
      </c>
      <c r="O304" s="25">
        <f t="shared" si="5"/>
        <v>-2.0066666666666566E-2</v>
      </c>
    </row>
    <row r="305" spans="1:15">
      <c r="A305" s="77">
        <v>635.47705472612165</v>
      </c>
      <c r="B305" s="77">
        <v>636.29210021815311</v>
      </c>
      <c r="C305" s="77">
        <v>631.32231063259519</v>
      </c>
      <c r="D305" s="77">
        <v>631.35212937010863</v>
      </c>
      <c r="E305" s="77">
        <v>7937845.1181593072</v>
      </c>
      <c r="F305" s="77" t="s">
        <v>296</v>
      </c>
      <c r="G305" s="25">
        <f t="shared" si="4"/>
        <v>6.5334781718855428E-3</v>
      </c>
      <c r="I305" s="78">
        <v>145.55000000000001</v>
      </c>
      <c r="J305" s="78">
        <v>145.69999999999999</v>
      </c>
      <c r="K305" s="78">
        <v>141.63</v>
      </c>
      <c r="L305" s="78">
        <v>142.22</v>
      </c>
      <c r="M305" s="78">
        <v>1647389</v>
      </c>
      <c r="N305" s="78" t="s">
        <v>296</v>
      </c>
      <c r="O305" s="25">
        <f t="shared" si="5"/>
        <v>2.3414428350443162E-2</v>
      </c>
    </row>
    <row r="306" spans="1:15">
      <c r="A306" s="77">
        <v>634.4532780714967</v>
      </c>
      <c r="B306" s="77">
        <v>635.57645051783288</v>
      </c>
      <c r="C306" s="77">
        <v>629.97052786532345</v>
      </c>
      <c r="D306" s="77">
        <v>631.31237105342404</v>
      </c>
      <c r="E306" s="77">
        <v>7891396.4715866614</v>
      </c>
      <c r="F306" s="77" t="s">
        <v>297</v>
      </c>
      <c r="G306" s="25">
        <f t="shared" si="4"/>
        <v>4.9752027080218753E-3</v>
      </c>
      <c r="I306" s="78">
        <v>141.07</v>
      </c>
      <c r="J306" s="78">
        <v>145.80000000000001</v>
      </c>
      <c r="K306" s="78">
        <v>139.79</v>
      </c>
      <c r="L306" s="78">
        <v>145.25</v>
      </c>
      <c r="M306" s="78">
        <v>1908666</v>
      </c>
      <c r="N306" s="78" t="s">
        <v>297</v>
      </c>
      <c r="O306" s="25">
        <f t="shared" si="5"/>
        <v>-2.8777969018932925E-2</v>
      </c>
    </row>
    <row r="307" spans="1:15">
      <c r="A307" s="77">
        <v>630.22895692377244</v>
      </c>
      <c r="B307" s="77">
        <v>631.26277255336026</v>
      </c>
      <c r="C307" s="77">
        <v>628.41617647454439</v>
      </c>
      <c r="D307" s="77">
        <v>629.6524613318478</v>
      </c>
      <c r="E307" s="77">
        <v>9017282.1662768591</v>
      </c>
      <c r="F307" s="77" t="s">
        <v>298</v>
      </c>
      <c r="G307" s="25">
        <f t="shared" si="4"/>
        <v>9.155774452231924E-4</v>
      </c>
      <c r="I307" s="78">
        <v>145.83000000000001</v>
      </c>
      <c r="J307" s="78">
        <v>150.13999999999999</v>
      </c>
      <c r="K307" s="78">
        <v>145.65</v>
      </c>
      <c r="L307" s="78">
        <v>150.13999999999999</v>
      </c>
      <c r="M307" s="78">
        <v>1604150</v>
      </c>
      <c r="N307" s="78" t="s">
        <v>298</v>
      </c>
      <c r="O307" s="25">
        <f t="shared" si="5"/>
        <v>-2.8706540562141836E-2</v>
      </c>
    </row>
    <row r="308" spans="1:15">
      <c r="A308" s="77">
        <v>630.33829229465471</v>
      </c>
      <c r="B308" s="77">
        <v>634.36382185895673</v>
      </c>
      <c r="C308" s="77">
        <v>630.09974239454789</v>
      </c>
      <c r="D308" s="77">
        <v>632.73373087489369</v>
      </c>
      <c r="E308" s="77">
        <v>8850232.8404034786</v>
      </c>
      <c r="F308" s="77" t="s">
        <v>299</v>
      </c>
      <c r="G308" s="25">
        <f t="shared" si="4"/>
        <v>-3.7858556662164755E-3</v>
      </c>
      <c r="I308" s="78">
        <v>150.13999999999999</v>
      </c>
      <c r="J308" s="78">
        <v>151.34</v>
      </c>
      <c r="K308" s="78">
        <v>146.41</v>
      </c>
      <c r="L308" s="78">
        <v>146.94999999999999</v>
      </c>
      <c r="M308" s="78">
        <v>2383035</v>
      </c>
      <c r="N308" s="78" t="s">
        <v>299</v>
      </c>
      <c r="O308" s="25">
        <f t="shared" si="5"/>
        <v>2.1708063967335711E-2</v>
      </c>
    </row>
    <row r="309" spans="1:15">
      <c r="A309" s="77">
        <v>632.36596644556244</v>
      </c>
      <c r="B309" s="77">
        <v>632.83312666660481</v>
      </c>
      <c r="C309" s="77">
        <v>628.70820131059179</v>
      </c>
      <c r="D309" s="77">
        <v>628.81753668147405</v>
      </c>
      <c r="E309" s="77">
        <v>8683365.6147949919</v>
      </c>
      <c r="F309" s="77" t="s">
        <v>300</v>
      </c>
      <c r="G309" s="25">
        <f t="shared" si="4"/>
        <v>5.6430197268588778E-3</v>
      </c>
      <c r="I309" s="78">
        <v>147.11000000000001</v>
      </c>
      <c r="J309" s="78">
        <v>147.4999</v>
      </c>
      <c r="K309" s="78">
        <v>140.9</v>
      </c>
      <c r="L309" s="78">
        <v>141.47999999999999</v>
      </c>
      <c r="M309" s="78">
        <v>2308276</v>
      </c>
      <c r="N309" s="78" t="s">
        <v>300</v>
      </c>
      <c r="O309" s="25">
        <f t="shared" si="5"/>
        <v>3.9793610404297519E-2</v>
      </c>
    </row>
    <row r="310" spans="1:15">
      <c r="A310" s="77">
        <v>628.638624256394</v>
      </c>
      <c r="B310" s="77">
        <v>630.20907776543027</v>
      </c>
      <c r="C310" s="77">
        <v>627.41605601834669</v>
      </c>
      <c r="D310" s="77">
        <v>627.56514970591343</v>
      </c>
      <c r="E310" s="77">
        <v>16238522.498923866</v>
      </c>
      <c r="F310" s="77" t="s">
        <v>301</v>
      </c>
      <c r="G310" s="25">
        <f t="shared" si="4"/>
        <v>1.7105388197282689E-3</v>
      </c>
      <c r="I310" s="78">
        <v>141.33000000000001</v>
      </c>
      <c r="J310" s="78">
        <v>141.54</v>
      </c>
      <c r="K310" s="78">
        <v>134.36000000000001</v>
      </c>
      <c r="L310" s="78">
        <v>134.36000000000001</v>
      </c>
      <c r="M310" s="78">
        <v>2233685</v>
      </c>
      <c r="N310" s="78" t="s">
        <v>301</v>
      </c>
      <c r="O310" s="25">
        <f t="shared" si="5"/>
        <v>5.1875558201845751E-2</v>
      </c>
    </row>
    <row r="311" spans="1:15">
      <c r="A311" s="77">
        <v>624.50375932120971</v>
      </c>
      <c r="B311" s="77">
        <v>627.8434579227046</v>
      </c>
      <c r="C311" s="77">
        <v>621.43242935733497</v>
      </c>
      <c r="D311" s="77">
        <v>626.82465105766528</v>
      </c>
      <c r="E311" s="77">
        <v>11064395.997728506</v>
      </c>
      <c r="F311" s="77" t="s">
        <v>302</v>
      </c>
      <c r="G311" s="25">
        <f t="shared" si="4"/>
        <v>-3.7026172032951221E-3</v>
      </c>
      <c r="I311" s="78">
        <v>134.35</v>
      </c>
      <c r="J311" s="78">
        <v>134.44499999999999</v>
      </c>
      <c r="K311" s="78">
        <v>130.41999999999999</v>
      </c>
      <c r="L311" s="78">
        <v>131.33000000000001</v>
      </c>
      <c r="M311" s="78">
        <v>1157220</v>
      </c>
      <c r="N311" s="78" t="s">
        <v>302</v>
      </c>
      <c r="O311" s="25">
        <f t="shared" si="5"/>
        <v>2.2995507500190193E-2</v>
      </c>
    </row>
    <row r="312" spans="1:15">
      <c r="A312" s="77">
        <v>623.34082855818917</v>
      </c>
      <c r="B312" s="77">
        <v>628.32055772291824</v>
      </c>
      <c r="C312" s="77">
        <v>623.15197655393808</v>
      </c>
      <c r="D312" s="77">
        <v>628.121766139496</v>
      </c>
      <c r="E312" s="77">
        <v>5544694.5037827864</v>
      </c>
      <c r="F312" s="77" t="s">
        <v>303</v>
      </c>
      <c r="G312" s="25">
        <f t="shared" si="4"/>
        <v>-7.6114821027314372E-3</v>
      </c>
      <c r="I312" s="78">
        <v>131.16</v>
      </c>
      <c r="J312" s="78">
        <v>132.60900000000001</v>
      </c>
      <c r="K312" s="78">
        <v>130.47999999999999</v>
      </c>
      <c r="L312" s="78">
        <v>132.4</v>
      </c>
      <c r="M312" s="78">
        <v>777281</v>
      </c>
      <c r="N312" s="78" t="s">
        <v>303</v>
      </c>
      <c r="O312" s="25">
        <f t="shared" si="5"/>
        <v>-9.3655589123867733E-3</v>
      </c>
    </row>
    <row r="313" spans="1:15">
      <c r="A313" s="77">
        <v>627.90309539773136</v>
      </c>
      <c r="B313" s="77">
        <v>629.38409269422766</v>
      </c>
      <c r="C313" s="77">
        <v>627.59496844342675</v>
      </c>
      <c r="D313" s="77">
        <v>628.380195197945</v>
      </c>
      <c r="E313" s="77">
        <v>4176099.3383525754</v>
      </c>
      <c r="F313" s="77" t="s">
        <v>304</v>
      </c>
      <c r="G313" s="25">
        <f t="shared" si="4"/>
        <v>-7.5925340082261261E-4</v>
      </c>
      <c r="I313" s="78">
        <v>132.75</v>
      </c>
      <c r="J313" s="78">
        <v>134.05000000000001</v>
      </c>
      <c r="K313" s="78">
        <v>132.6</v>
      </c>
      <c r="L313" s="78">
        <v>133.91</v>
      </c>
      <c r="M313" s="78">
        <v>747553</v>
      </c>
      <c r="N313" s="78" t="s">
        <v>304</v>
      </c>
      <c r="O313" s="25">
        <f t="shared" si="5"/>
        <v>-8.6625345381226015E-3</v>
      </c>
    </row>
    <row r="314" spans="1:15">
      <c r="A314" s="77">
        <v>628.77777836478958</v>
      </c>
      <c r="B314" s="77">
        <v>629.9605882861523</v>
      </c>
      <c r="C314" s="77">
        <v>627.13774780155552</v>
      </c>
      <c r="D314" s="77">
        <v>628.479590989656</v>
      </c>
      <c r="E314" s="77">
        <v>6536446.7530777976</v>
      </c>
      <c r="F314" s="77" t="s">
        <v>305</v>
      </c>
      <c r="G314" s="25">
        <f t="shared" si="4"/>
        <v>4.744583267437541E-4</v>
      </c>
      <c r="I314" s="78">
        <v>134.47999999999999</v>
      </c>
      <c r="J314" s="78">
        <v>135.94999999999999</v>
      </c>
      <c r="K314" s="78">
        <v>133.16499999999999</v>
      </c>
      <c r="L314" s="78">
        <v>134.74</v>
      </c>
      <c r="M314" s="78">
        <v>794109</v>
      </c>
      <c r="N314" s="78" t="s">
        <v>305</v>
      </c>
      <c r="O314" s="25">
        <f t="shared" si="5"/>
        <v>-1.9296422740093799E-3</v>
      </c>
    </row>
    <row r="315" spans="1:15">
      <c r="A315" s="77">
        <v>631.00424409911955</v>
      </c>
      <c r="B315" s="77">
        <v>632.23178212675236</v>
      </c>
      <c r="C315" s="77">
        <v>630.05004449869239</v>
      </c>
      <c r="D315" s="77">
        <v>631.30243147425301</v>
      </c>
      <c r="E315" s="77">
        <v>3853135.9668922909</v>
      </c>
      <c r="F315" s="77" t="s">
        <v>306</v>
      </c>
      <c r="G315" s="25">
        <f t="shared" si="4"/>
        <v>-4.7233680763292263E-4</v>
      </c>
      <c r="I315" s="78">
        <v>134.94999999999999</v>
      </c>
      <c r="J315" s="78">
        <v>135.65</v>
      </c>
      <c r="K315" s="78">
        <v>133.96</v>
      </c>
      <c r="L315" s="78">
        <v>135.21</v>
      </c>
      <c r="M315" s="78">
        <v>487508</v>
      </c>
      <c r="N315" s="78" t="s">
        <v>306</v>
      </c>
      <c r="O315" s="25">
        <f t="shared" si="5"/>
        <v>-1.92293469417959E-3</v>
      </c>
    </row>
    <row r="316" spans="1:15">
      <c r="A316" s="77">
        <v>630.94460662409278</v>
      </c>
      <c r="B316" s="77">
        <v>631.48134389933318</v>
      </c>
      <c r="C316" s="77">
        <v>628.71814088976282</v>
      </c>
      <c r="D316" s="77">
        <v>628.84735541898738</v>
      </c>
      <c r="E316" s="77">
        <v>3293313.472981282</v>
      </c>
      <c r="F316" s="77" t="s">
        <v>307</v>
      </c>
      <c r="G316" s="25">
        <f t="shared" ref="G316:G379" si="6">A316/D316-1</f>
        <v>3.3350719964593267E-3</v>
      </c>
      <c r="I316" s="78">
        <v>135.32</v>
      </c>
      <c r="J316" s="78">
        <v>136.535</v>
      </c>
      <c r="K316" s="78">
        <v>132.93</v>
      </c>
      <c r="L316" s="78">
        <v>135.65</v>
      </c>
      <c r="M316" s="78">
        <v>597514</v>
      </c>
      <c r="N316" s="78" t="s">
        <v>307</v>
      </c>
      <c r="O316" s="25">
        <f t="shared" ref="O316:O379" si="7">I316/L316-1</f>
        <v>-2.4327312937708623E-3</v>
      </c>
    </row>
    <row r="317" spans="1:15">
      <c r="A317" s="77">
        <v>628.84735541898738</v>
      </c>
      <c r="B317" s="77">
        <v>629.05608658158087</v>
      </c>
      <c r="C317" s="77">
        <v>625.12001322981894</v>
      </c>
      <c r="D317" s="77">
        <v>625.13989238816123</v>
      </c>
      <c r="E317" s="77">
        <v>13842509.590328423</v>
      </c>
      <c r="F317" s="77" t="s">
        <v>308</v>
      </c>
      <c r="G317" s="25">
        <f t="shared" si="6"/>
        <v>5.9306134130441279E-3</v>
      </c>
      <c r="I317" s="78">
        <v>136.19</v>
      </c>
      <c r="J317" s="78">
        <v>137.16</v>
      </c>
      <c r="K317" s="78">
        <v>134.20500000000001</v>
      </c>
      <c r="L317" s="78">
        <v>137.01</v>
      </c>
      <c r="M317" s="78">
        <v>914835</v>
      </c>
      <c r="N317" s="78" t="s">
        <v>308</v>
      </c>
      <c r="O317" s="25">
        <f t="shared" si="7"/>
        <v>-5.9849646011239654E-3</v>
      </c>
    </row>
    <row r="318" spans="1:15">
      <c r="A318" s="77">
        <v>625.92511914267936</v>
      </c>
      <c r="B318" s="77">
        <v>626.46185641791953</v>
      </c>
      <c r="C318" s="77">
        <v>624.0067803626539</v>
      </c>
      <c r="D318" s="77">
        <v>625.16474133608904</v>
      </c>
      <c r="E318" s="77">
        <v>9855614.4393588509</v>
      </c>
      <c r="F318" s="77" t="s">
        <v>309</v>
      </c>
      <c r="G318" s="25">
        <f t="shared" si="6"/>
        <v>1.2162838949703048E-3</v>
      </c>
      <c r="I318" s="78">
        <v>137.6</v>
      </c>
      <c r="J318" s="78">
        <v>138.80000000000001</v>
      </c>
      <c r="K318" s="78">
        <v>135.41</v>
      </c>
      <c r="L318" s="78">
        <v>135.6</v>
      </c>
      <c r="M318" s="78">
        <v>1685983</v>
      </c>
      <c r="N318" s="78" t="s">
        <v>309</v>
      </c>
      <c r="O318" s="25">
        <f t="shared" si="7"/>
        <v>1.4749262536873253E-2</v>
      </c>
    </row>
    <row r="319" spans="1:15">
      <c r="A319" s="77">
        <v>622.00793100406111</v>
      </c>
      <c r="B319" s="77">
        <v>622.57288817257461</v>
      </c>
      <c r="C319" s="77">
        <v>618.34066517335975</v>
      </c>
      <c r="D319" s="77">
        <v>618.45960352462566</v>
      </c>
      <c r="E319" s="77">
        <v>10540579.27199837</v>
      </c>
      <c r="F319" s="77" t="s">
        <v>310</v>
      </c>
      <c r="G319" s="25">
        <f t="shared" si="6"/>
        <v>5.7373633770312349E-3</v>
      </c>
      <c r="I319" s="78">
        <v>134.78</v>
      </c>
      <c r="J319" s="78">
        <v>135.51</v>
      </c>
      <c r="K319" s="78">
        <v>130.75</v>
      </c>
      <c r="L319" s="78">
        <v>131</v>
      </c>
      <c r="M319" s="78">
        <v>5287558</v>
      </c>
      <c r="N319" s="78" t="s">
        <v>310</v>
      </c>
      <c r="O319" s="25">
        <f t="shared" si="7"/>
        <v>2.8854961832061043E-2</v>
      </c>
    </row>
    <row r="320" spans="1:15">
      <c r="A320" s="77">
        <v>616.50703225800896</v>
      </c>
      <c r="B320" s="77">
        <v>620.40226326197035</v>
      </c>
      <c r="C320" s="77">
        <v>615.07977204281713</v>
      </c>
      <c r="D320" s="77">
        <v>617.5378313023142</v>
      </c>
      <c r="E320" s="77">
        <v>33719254.700537026</v>
      </c>
      <c r="F320" s="77" t="s">
        <v>311</v>
      </c>
      <c r="G320" s="25">
        <f t="shared" si="6"/>
        <v>-1.6692079287375927E-3</v>
      </c>
      <c r="I320" s="78">
        <v>130.51</v>
      </c>
      <c r="J320" s="78">
        <v>133.75</v>
      </c>
      <c r="K320" s="78">
        <v>129.99</v>
      </c>
      <c r="L320" s="78">
        <v>130.87</v>
      </c>
      <c r="M320" s="78">
        <v>1097639</v>
      </c>
      <c r="N320" s="78" t="s">
        <v>311</v>
      </c>
      <c r="O320" s="25">
        <f t="shared" si="7"/>
        <v>-2.7508214258425978E-3</v>
      </c>
    </row>
    <row r="321" spans="1:15">
      <c r="A321" s="77">
        <v>611.88825961717953</v>
      </c>
      <c r="B321" s="77">
        <v>620.10491738380529</v>
      </c>
      <c r="C321" s="77">
        <v>611.69894940808115</v>
      </c>
      <c r="D321" s="77">
        <v>619.65889856655781</v>
      </c>
      <c r="E321" s="77">
        <v>21140105.048008054</v>
      </c>
      <c r="F321" s="77" t="s">
        <v>312</v>
      </c>
      <c r="G321" s="25">
        <f t="shared" si="6"/>
        <v>-1.2540187782913992E-2</v>
      </c>
      <c r="I321" s="78">
        <v>129.56</v>
      </c>
      <c r="J321" s="78">
        <v>133.9</v>
      </c>
      <c r="K321" s="78">
        <v>129.29</v>
      </c>
      <c r="L321" s="78">
        <v>131.35</v>
      </c>
      <c r="M321" s="78">
        <v>1271043</v>
      </c>
      <c r="N321" s="78" t="s">
        <v>312</v>
      </c>
      <c r="O321" s="25">
        <f t="shared" si="7"/>
        <v>-1.3627712219261401E-2</v>
      </c>
    </row>
    <row r="322" spans="1:15">
      <c r="A322" s="77">
        <v>618.68756869788558</v>
      </c>
      <c r="B322" s="77">
        <v>620.67978608159092</v>
      </c>
      <c r="C322" s="77">
        <v>615.15906427699429</v>
      </c>
      <c r="D322" s="77">
        <v>619.02456069313916</v>
      </c>
      <c r="E322" s="77">
        <v>14046703.205626735</v>
      </c>
      <c r="F322" s="77" t="s">
        <v>313</v>
      </c>
      <c r="G322" s="25">
        <f t="shared" si="6"/>
        <v>-5.4439196221267583E-4</v>
      </c>
      <c r="I322" s="78">
        <v>131.56</v>
      </c>
      <c r="J322" s="78">
        <v>134.97</v>
      </c>
      <c r="K322" s="78">
        <v>130.54</v>
      </c>
      <c r="L322" s="78">
        <v>134.47499999999999</v>
      </c>
      <c r="M322" s="78">
        <v>1767604</v>
      </c>
      <c r="N322" s="78" t="s">
        <v>313</v>
      </c>
      <c r="O322" s="25">
        <f t="shared" si="7"/>
        <v>-2.1676891615541871E-2</v>
      </c>
    </row>
    <row r="323" spans="1:15">
      <c r="A323" s="77">
        <v>620.42208632051461</v>
      </c>
      <c r="B323" s="77">
        <v>624.98138978571103</v>
      </c>
      <c r="C323" s="77">
        <v>619.04438375168354</v>
      </c>
      <c r="D323" s="77">
        <v>624.98138978571103</v>
      </c>
      <c r="E323" s="77">
        <v>11407850.079959303</v>
      </c>
      <c r="F323" s="77" t="s">
        <v>314</v>
      </c>
      <c r="G323" s="25">
        <f t="shared" si="6"/>
        <v>-7.2951027657954803E-3</v>
      </c>
      <c r="I323" s="78">
        <v>134.91999999999999</v>
      </c>
      <c r="J323" s="78">
        <v>136.30000000000001</v>
      </c>
      <c r="K323" s="78">
        <v>132.69999999999999</v>
      </c>
      <c r="L323" s="78">
        <v>134.9</v>
      </c>
      <c r="M323" s="78">
        <v>2167711</v>
      </c>
      <c r="N323" s="78" t="s">
        <v>314</v>
      </c>
      <c r="O323" s="25">
        <f t="shared" si="7"/>
        <v>1.4825796886563936E-4</v>
      </c>
    </row>
    <row r="324" spans="1:15">
      <c r="A324" s="77">
        <v>621.32403548428169</v>
      </c>
      <c r="B324" s="77">
        <v>627.82599868682269</v>
      </c>
      <c r="C324" s="77">
        <v>618.95517998823402</v>
      </c>
      <c r="D324" s="77">
        <v>627.20157234267617</v>
      </c>
      <c r="E324" s="77">
        <v>8580697.0513453986</v>
      </c>
      <c r="F324" s="77" t="s">
        <v>315</v>
      </c>
      <c r="G324" s="25">
        <f t="shared" si="6"/>
        <v>-9.3710493046774701E-3</v>
      </c>
      <c r="I324" s="78">
        <v>134.87</v>
      </c>
      <c r="J324" s="78">
        <v>137.08500000000001</v>
      </c>
      <c r="K324" s="78">
        <v>134.13050000000001</v>
      </c>
      <c r="L324" s="78">
        <v>136.19</v>
      </c>
      <c r="M324" s="78">
        <v>1699561</v>
      </c>
      <c r="N324" s="78" t="s">
        <v>315</v>
      </c>
      <c r="O324" s="25">
        <f t="shared" si="7"/>
        <v>-9.6923415816139169E-3</v>
      </c>
    </row>
    <row r="325" spans="1:15">
      <c r="A325" s="77">
        <v>628.10352150644337</v>
      </c>
      <c r="B325" s="77">
        <v>628.26210597479803</v>
      </c>
      <c r="C325" s="77">
        <v>621.7204966551684</v>
      </c>
      <c r="D325" s="77">
        <v>624.42634414646977</v>
      </c>
      <c r="E325" s="77">
        <v>22325749.531044696</v>
      </c>
      <c r="F325" s="77" t="s">
        <v>316</v>
      </c>
      <c r="G325" s="25">
        <f t="shared" si="6"/>
        <v>5.8888888888888324E-3</v>
      </c>
      <c r="I325" s="78">
        <v>136.44</v>
      </c>
      <c r="J325" s="78">
        <v>136.63999999999999</v>
      </c>
      <c r="K325" s="78">
        <v>133.9376</v>
      </c>
      <c r="L325" s="78">
        <v>133.94</v>
      </c>
      <c r="M325" s="78">
        <v>1350251</v>
      </c>
      <c r="N325" s="78" t="s">
        <v>316</v>
      </c>
      <c r="O325" s="25">
        <f t="shared" si="7"/>
        <v>1.8665073913692654E-2</v>
      </c>
    </row>
    <row r="326" spans="1:15">
      <c r="A326" s="77">
        <v>626.56723446925764</v>
      </c>
      <c r="B326" s="77">
        <v>627.90033515636401</v>
      </c>
      <c r="C326" s="77">
        <v>620.9275743133951</v>
      </c>
      <c r="D326" s="77">
        <v>622.07731170896636</v>
      </c>
      <c r="E326" s="77">
        <v>22599171.515239444</v>
      </c>
      <c r="F326" s="77" t="s">
        <v>317</v>
      </c>
      <c r="G326" s="25">
        <f t="shared" si="6"/>
        <v>7.2176282204483577E-3</v>
      </c>
      <c r="I326" s="78">
        <v>134.91</v>
      </c>
      <c r="J326" s="78">
        <v>136.24</v>
      </c>
      <c r="K326" s="78">
        <v>131.65</v>
      </c>
      <c r="L326" s="78">
        <v>131.65</v>
      </c>
      <c r="M326" s="78">
        <v>1730586</v>
      </c>
      <c r="N326" s="78" t="s">
        <v>317</v>
      </c>
      <c r="O326" s="25">
        <f t="shared" si="7"/>
        <v>2.4762628180782231E-2</v>
      </c>
    </row>
    <row r="327" spans="1:15">
      <c r="A327" s="77">
        <v>622.54315358475822</v>
      </c>
      <c r="B327" s="77">
        <v>624.63448626118532</v>
      </c>
      <c r="C327" s="77">
        <v>622.10704629678287</v>
      </c>
      <c r="D327" s="77">
        <v>622.62244581893549</v>
      </c>
      <c r="E327" s="77">
        <v>9703690.2539440319</v>
      </c>
      <c r="F327" s="77" t="s">
        <v>318</v>
      </c>
      <c r="G327" s="25">
        <f t="shared" si="6"/>
        <v>-1.2735203285674235E-4</v>
      </c>
      <c r="I327" s="78">
        <v>132.13</v>
      </c>
      <c r="J327" s="78">
        <v>135.83000000000001</v>
      </c>
      <c r="K327" s="78">
        <v>126.53</v>
      </c>
      <c r="L327" s="78">
        <v>126.53</v>
      </c>
      <c r="M327" s="78">
        <v>3148826</v>
      </c>
      <c r="N327" s="78" t="s">
        <v>318</v>
      </c>
      <c r="O327" s="25">
        <f t="shared" si="7"/>
        <v>4.4258278669090378E-2</v>
      </c>
    </row>
    <row r="328" spans="1:15">
      <c r="A328" s="77">
        <v>623.0486415776387</v>
      </c>
      <c r="B328" s="77">
        <v>625.88333894947823</v>
      </c>
      <c r="C328" s="77">
        <v>621.15653063958212</v>
      </c>
      <c r="D328" s="77">
        <v>625.77431212748434</v>
      </c>
      <c r="E328" s="77">
        <v>6894887.5721843466</v>
      </c>
      <c r="F328" s="77" t="s">
        <v>319</v>
      </c>
      <c r="G328" s="25">
        <f t="shared" si="6"/>
        <v>-4.3556766345664855E-3</v>
      </c>
      <c r="I328" s="78">
        <v>127.25</v>
      </c>
      <c r="J328" s="78">
        <v>129.30000000000001</v>
      </c>
      <c r="K328" s="78">
        <v>126.44</v>
      </c>
      <c r="L328" s="78">
        <v>129.27000000000001</v>
      </c>
      <c r="M328" s="78">
        <v>1201662</v>
      </c>
      <c r="N328" s="78" t="s">
        <v>319</v>
      </c>
      <c r="O328" s="25">
        <f t="shared" si="7"/>
        <v>-1.5626208710451062E-2</v>
      </c>
    </row>
    <row r="329" spans="1:15">
      <c r="A329" s="77">
        <v>624.90209755153376</v>
      </c>
      <c r="B329" s="77">
        <v>627.37997986957532</v>
      </c>
      <c r="C329" s="77">
        <v>623.91094462431715</v>
      </c>
      <c r="D329" s="77">
        <v>624.72369002463472</v>
      </c>
      <c r="E329" s="77">
        <v>5052250.6290349569</v>
      </c>
      <c r="F329" s="77" t="s">
        <v>320</v>
      </c>
      <c r="G329" s="25">
        <f t="shared" si="6"/>
        <v>2.8557829604958229E-4</v>
      </c>
      <c r="I329" s="78">
        <v>128.96</v>
      </c>
      <c r="J329" s="78">
        <v>129.27000000000001</v>
      </c>
      <c r="K329" s="78">
        <v>127.6354</v>
      </c>
      <c r="L329" s="78">
        <v>128.41999999999999</v>
      </c>
      <c r="M329" s="78">
        <v>793704</v>
      </c>
      <c r="N329" s="78" t="s">
        <v>320</v>
      </c>
      <c r="O329" s="25">
        <f t="shared" si="7"/>
        <v>4.2049524996108367E-3</v>
      </c>
    </row>
    <row r="330" spans="1:15">
      <c r="A330" s="77">
        <v>623.732537097418</v>
      </c>
      <c r="B330" s="77">
        <v>624.6047516733687</v>
      </c>
      <c r="C330" s="77">
        <v>620.93748584266723</v>
      </c>
      <c r="D330" s="77">
        <v>624.55519402700793</v>
      </c>
      <c r="E330" s="77">
        <v>5160085.6533436133</v>
      </c>
      <c r="F330" s="77" t="s">
        <v>321</v>
      </c>
      <c r="G330" s="25">
        <f t="shared" si="6"/>
        <v>-1.3171885166555208E-3</v>
      </c>
      <c r="I330" s="78">
        <v>128.03</v>
      </c>
      <c r="J330" s="78">
        <v>128.2799</v>
      </c>
      <c r="K330" s="78">
        <v>124.27</v>
      </c>
      <c r="L330" s="78">
        <v>127.08</v>
      </c>
      <c r="M330" s="78">
        <v>883831</v>
      </c>
      <c r="N330" s="78" t="s">
        <v>321</v>
      </c>
      <c r="O330" s="25">
        <f t="shared" si="7"/>
        <v>7.4756059175322687E-3</v>
      </c>
    </row>
    <row r="331" spans="1:15">
      <c r="A331" s="77">
        <v>623.20722604599325</v>
      </c>
      <c r="B331" s="77">
        <v>624.2082905024821</v>
      </c>
      <c r="C331" s="77">
        <v>619.42102186402587</v>
      </c>
      <c r="D331" s="77">
        <v>620.23376726434344</v>
      </c>
      <c r="E331" s="77">
        <v>5195495.9306441704</v>
      </c>
      <c r="F331" s="77" t="s">
        <v>322</v>
      </c>
      <c r="G331" s="25">
        <f t="shared" si="6"/>
        <v>4.7940936765904496E-3</v>
      </c>
      <c r="I331" s="78">
        <v>127.95</v>
      </c>
      <c r="J331" s="78">
        <v>129.72</v>
      </c>
      <c r="K331" s="78">
        <v>127.51</v>
      </c>
      <c r="L331" s="78">
        <v>128.37</v>
      </c>
      <c r="M331" s="78">
        <v>827104</v>
      </c>
      <c r="N331" s="78" t="s">
        <v>322</v>
      </c>
      <c r="O331" s="25">
        <f t="shared" si="7"/>
        <v>-3.2717924748772997E-3</v>
      </c>
    </row>
    <row r="332" spans="1:15">
      <c r="A332" s="77">
        <v>621.03660113538899</v>
      </c>
      <c r="B332" s="77">
        <v>623.20722604599325</v>
      </c>
      <c r="C332" s="77">
        <v>619.09394139804431</v>
      </c>
      <c r="D332" s="77">
        <v>621.46279689409209</v>
      </c>
      <c r="E332" s="77">
        <v>5303719.3914790461</v>
      </c>
      <c r="F332" s="77" t="s">
        <v>323</v>
      </c>
      <c r="G332" s="25">
        <f t="shared" si="6"/>
        <v>-6.8579448493633066E-4</v>
      </c>
      <c r="I332" s="78">
        <v>127.55</v>
      </c>
      <c r="J332" s="78">
        <v>129.5</v>
      </c>
      <c r="K332" s="78">
        <v>127.43</v>
      </c>
      <c r="L332" s="78">
        <v>129.01</v>
      </c>
      <c r="M332" s="78">
        <v>1080819</v>
      </c>
      <c r="N332" s="78" t="s">
        <v>323</v>
      </c>
      <c r="O332" s="25">
        <f t="shared" si="7"/>
        <v>-1.1316952174249995E-2</v>
      </c>
    </row>
    <row r="333" spans="1:15">
      <c r="A333" s="77">
        <v>619.98597903253926</v>
      </c>
      <c r="B333" s="77">
        <v>622.4539498213087</v>
      </c>
      <c r="C333" s="77">
        <v>618.57854187589169</v>
      </c>
      <c r="D333" s="77">
        <v>618.64792258079683</v>
      </c>
      <c r="E333" s="77">
        <v>8456174.3902999498</v>
      </c>
      <c r="F333" s="77" t="s">
        <v>324</v>
      </c>
      <c r="G333" s="25">
        <f t="shared" si="6"/>
        <v>2.1628722944069256E-3</v>
      </c>
      <c r="I333" s="78">
        <v>128.72</v>
      </c>
      <c r="J333" s="78">
        <v>132.15</v>
      </c>
      <c r="K333" s="78">
        <v>128.27000000000001</v>
      </c>
      <c r="L333" s="78">
        <v>129.88</v>
      </c>
      <c r="M333" s="78">
        <v>1932375</v>
      </c>
      <c r="N333" s="78" t="s">
        <v>324</v>
      </c>
      <c r="O333" s="25">
        <f t="shared" si="7"/>
        <v>-8.9313212195872849E-3</v>
      </c>
    </row>
    <row r="334" spans="1:15">
      <c r="A334" s="77">
        <v>622.85041099219529</v>
      </c>
      <c r="B334" s="77">
        <v>623.06846463618297</v>
      </c>
      <c r="C334" s="77">
        <v>620.16934232407436</v>
      </c>
      <c r="D334" s="77">
        <v>620.48651126078369</v>
      </c>
      <c r="E334" s="77">
        <v>2975491.3888837793</v>
      </c>
      <c r="F334" s="77" t="s">
        <v>325</v>
      </c>
      <c r="G334" s="25">
        <f t="shared" si="6"/>
        <v>3.8097520067088553E-3</v>
      </c>
      <c r="I334" s="78">
        <v>131.44999999999999</v>
      </c>
      <c r="J334" s="78">
        <v>131.47999999999999</v>
      </c>
      <c r="K334" s="78">
        <v>129.27000000000001</v>
      </c>
      <c r="L334" s="78">
        <v>130</v>
      </c>
      <c r="M334" s="78">
        <v>965671</v>
      </c>
      <c r="N334" s="78" t="s">
        <v>325</v>
      </c>
      <c r="O334" s="25">
        <f t="shared" si="7"/>
        <v>1.115384615384607E-2</v>
      </c>
    </row>
    <row r="335" spans="1:15">
      <c r="A335" s="77">
        <v>619.42102186402587</v>
      </c>
      <c r="B335" s="77">
        <v>621.26456630864868</v>
      </c>
      <c r="C335" s="77">
        <v>616.75482048981314</v>
      </c>
      <c r="D335" s="77">
        <v>617.54774283158633</v>
      </c>
      <c r="E335" s="77">
        <v>5339774.3725205241</v>
      </c>
      <c r="F335" s="77" t="s">
        <v>326</v>
      </c>
      <c r="G335" s="25">
        <f t="shared" si="6"/>
        <v>3.033415722402566E-3</v>
      </c>
      <c r="I335" s="78">
        <v>129.81</v>
      </c>
      <c r="J335" s="78">
        <v>130.56989999999999</v>
      </c>
      <c r="K335" s="78">
        <v>128.44999999999999</v>
      </c>
      <c r="L335" s="78">
        <v>128.82</v>
      </c>
      <c r="M335" s="78">
        <v>1960753</v>
      </c>
      <c r="N335" s="78" t="s">
        <v>326</v>
      </c>
      <c r="O335" s="25">
        <f t="shared" si="7"/>
        <v>7.6851420586865338E-3</v>
      </c>
    </row>
    <row r="336" spans="1:15">
      <c r="A336" s="77">
        <v>615.16897580626653</v>
      </c>
      <c r="B336" s="77">
        <v>616.24933249693265</v>
      </c>
      <c r="C336" s="77">
        <v>605.58452700008183</v>
      </c>
      <c r="D336" s="77">
        <v>609.34099659423282</v>
      </c>
      <c r="E336" s="77">
        <v>7354974.9991373178</v>
      </c>
      <c r="F336" s="77" t="s">
        <v>327</v>
      </c>
      <c r="G336" s="25">
        <f t="shared" si="6"/>
        <v>9.5643970200722794E-3</v>
      </c>
      <c r="I336" s="78">
        <v>129.63999999999999</v>
      </c>
      <c r="J336" s="78">
        <v>130.47</v>
      </c>
      <c r="K336" s="78">
        <v>125.5</v>
      </c>
      <c r="L336" s="78">
        <v>125.76</v>
      </c>
      <c r="M336" s="78">
        <v>1586428</v>
      </c>
      <c r="N336" s="78" t="s">
        <v>327</v>
      </c>
      <c r="O336" s="25">
        <f t="shared" si="7"/>
        <v>3.0852417302798862E-2</v>
      </c>
    </row>
    <row r="337" spans="1:15">
      <c r="A337" s="77">
        <v>609.49958106258748</v>
      </c>
      <c r="B337" s="77">
        <v>610.63940692888661</v>
      </c>
      <c r="C337" s="77">
        <v>602.92328139050517</v>
      </c>
      <c r="D337" s="77">
        <v>603.88965549454133</v>
      </c>
      <c r="E337" s="77">
        <v>6274066.119607918</v>
      </c>
      <c r="F337" s="77" t="s">
        <v>328</v>
      </c>
      <c r="G337" s="25">
        <f t="shared" si="6"/>
        <v>9.2896533613446852E-3</v>
      </c>
      <c r="I337" s="78">
        <v>125.96</v>
      </c>
      <c r="J337" s="78">
        <v>127.88</v>
      </c>
      <c r="K337" s="78">
        <v>123.33</v>
      </c>
      <c r="L337" s="78">
        <v>123.75</v>
      </c>
      <c r="M337" s="78">
        <v>2324807</v>
      </c>
      <c r="N337" s="78" t="s">
        <v>328</v>
      </c>
      <c r="O337" s="25">
        <f t="shared" si="7"/>
        <v>1.7858585858585796E-2</v>
      </c>
    </row>
    <row r="338" spans="1:15">
      <c r="A338" s="77">
        <v>600.56929318836569</v>
      </c>
      <c r="B338" s="77">
        <v>605.6043500586261</v>
      </c>
      <c r="C338" s="77">
        <v>593.08608858788023</v>
      </c>
      <c r="D338" s="77">
        <v>596.9218504162086</v>
      </c>
      <c r="E338" s="77">
        <v>9877250.7563410588</v>
      </c>
      <c r="F338" s="77" t="s">
        <v>329</v>
      </c>
      <c r="G338" s="25">
        <f t="shared" si="6"/>
        <v>6.1104192611041164E-3</v>
      </c>
      <c r="I338" s="78">
        <v>123.85</v>
      </c>
      <c r="J338" s="78">
        <v>125.41</v>
      </c>
      <c r="K338" s="78">
        <v>118.97</v>
      </c>
      <c r="L338" s="78">
        <v>119.26</v>
      </c>
      <c r="M338" s="78">
        <v>2371326</v>
      </c>
      <c r="N338" s="78" t="s">
        <v>329</v>
      </c>
      <c r="O338" s="25">
        <f t="shared" si="7"/>
        <v>3.8487338587958941E-2</v>
      </c>
    </row>
    <row r="339" spans="1:15">
      <c r="A339" s="77">
        <v>594.65211021288258</v>
      </c>
      <c r="B339" s="77">
        <v>615.63362829854566</v>
      </c>
      <c r="C339" s="77">
        <v>594.05741845655257</v>
      </c>
      <c r="D339" s="77">
        <v>613.24613912746634</v>
      </c>
      <c r="E339" s="77">
        <v>13981349.012321869</v>
      </c>
      <c r="F339" s="77" t="s">
        <v>330</v>
      </c>
      <c r="G339" s="25">
        <f t="shared" si="6"/>
        <v>-3.0320662011895538E-2</v>
      </c>
      <c r="I339" s="78">
        <v>119.26</v>
      </c>
      <c r="J339" s="78">
        <v>126.94</v>
      </c>
      <c r="K339" s="78">
        <v>117.86</v>
      </c>
      <c r="L339" s="78">
        <v>122.65</v>
      </c>
      <c r="M339" s="78">
        <v>2394168</v>
      </c>
      <c r="N339" s="78" t="s">
        <v>330</v>
      </c>
      <c r="O339" s="25">
        <f t="shared" si="7"/>
        <v>-2.7639624949042041E-2</v>
      </c>
    </row>
    <row r="340" spans="1:15">
      <c r="A340" s="77">
        <v>603.81036326036417</v>
      </c>
      <c r="B340" s="77">
        <v>608.14160243700792</v>
      </c>
      <c r="C340" s="77">
        <v>600.31159342728938</v>
      </c>
      <c r="D340" s="77">
        <v>602.14522634264017</v>
      </c>
      <c r="E340" s="77">
        <v>7362433.9893667689</v>
      </c>
      <c r="F340" s="77" t="s">
        <v>331</v>
      </c>
      <c r="G340" s="25">
        <f t="shared" si="6"/>
        <v>2.7653410587307192E-3</v>
      </c>
      <c r="I340" s="78">
        <v>120.12</v>
      </c>
      <c r="J340" s="78">
        <v>122.379</v>
      </c>
      <c r="K340" s="78">
        <v>119.85</v>
      </c>
      <c r="L340" s="78">
        <v>121.64</v>
      </c>
      <c r="M340" s="78">
        <v>1902386</v>
      </c>
      <c r="N340" s="78" t="s">
        <v>331</v>
      </c>
      <c r="O340" s="25">
        <f t="shared" si="7"/>
        <v>-1.2495889510029556E-2</v>
      </c>
    </row>
    <row r="341" spans="1:15">
      <c r="A341" s="77">
        <v>601.62982682048755</v>
      </c>
      <c r="B341" s="77">
        <v>606.09992652223445</v>
      </c>
      <c r="C341" s="77">
        <v>597.66521511162102</v>
      </c>
      <c r="D341" s="77">
        <v>603.33460985530007</v>
      </c>
      <c r="E341" s="77">
        <v>8561307.5106677879</v>
      </c>
      <c r="F341" s="77" t="s">
        <v>332</v>
      </c>
      <c r="G341" s="25">
        <f t="shared" si="6"/>
        <v>-2.8256012616637571E-3</v>
      </c>
      <c r="I341" s="78">
        <v>121.97</v>
      </c>
      <c r="J341" s="78">
        <v>122.27</v>
      </c>
      <c r="K341" s="78">
        <v>117.5</v>
      </c>
      <c r="L341" s="78">
        <v>118.33</v>
      </c>
      <c r="M341" s="78">
        <v>1497011</v>
      </c>
      <c r="N341" s="78" t="s">
        <v>332</v>
      </c>
      <c r="O341" s="25">
        <f t="shared" si="7"/>
        <v>3.0761429899433868E-2</v>
      </c>
    </row>
    <row r="342" spans="1:15">
      <c r="A342" s="77">
        <v>606.62523757365921</v>
      </c>
      <c r="B342" s="77">
        <v>613.96819403494351</v>
      </c>
      <c r="C342" s="77">
        <v>603.42381361874948</v>
      </c>
      <c r="D342" s="77">
        <v>610.29250340436079</v>
      </c>
      <c r="E342" s="77">
        <v>8937943.6378982458</v>
      </c>
      <c r="F342" s="77" t="s">
        <v>333</v>
      </c>
      <c r="G342" s="25">
        <f t="shared" si="6"/>
        <v>-6.0090297852991581E-3</v>
      </c>
      <c r="I342" s="78">
        <v>120.08</v>
      </c>
      <c r="J342" s="78">
        <v>122.79</v>
      </c>
      <c r="K342" s="78">
        <v>118.59</v>
      </c>
      <c r="L342" s="78">
        <v>119.15</v>
      </c>
      <c r="M342" s="78">
        <v>1596901</v>
      </c>
      <c r="N342" s="78" t="s">
        <v>333</v>
      </c>
      <c r="O342" s="25">
        <f t="shared" si="7"/>
        <v>7.8052874527905214E-3</v>
      </c>
    </row>
    <row r="343" spans="1:15">
      <c r="A343" s="77">
        <v>612.36401302224351</v>
      </c>
      <c r="B343" s="77">
        <v>615.72392233021515</v>
      </c>
      <c r="C343" s="77">
        <v>604.43478960451057</v>
      </c>
      <c r="D343" s="77">
        <v>606.33780322476639</v>
      </c>
      <c r="E343" s="77">
        <v>9738048.2213826496</v>
      </c>
      <c r="F343" s="77" t="s">
        <v>334</v>
      </c>
      <c r="G343" s="25">
        <f t="shared" si="6"/>
        <v>9.9387004495301579E-3</v>
      </c>
      <c r="I343" s="78">
        <v>120.67</v>
      </c>
      <c r="J343" s="78">
        <v>121.5</v>
      </c>
      <c r="K343" s="78">
        <v>117.1</v>
      </c>
      <c r="L343" s="78">
        <v>117.32</v>
      </c>
      <c r="M343" s="78">
        <v>1058732</v>
      </c>
      <c r="N343" s="78" t="s">
        <v>334</v>
      </c>
      <c r="O343" s="25">
        <f t="shared" si="7"/>
        <v>2.8554381179679567E-2</v>
      </c>
    </row>
    <row r="344" spans="1:15">
      <c r="A344" s="77">
        <v>612.52259749059817</v>
      </c>
      <c r="B344" s="77">
        <v>620.48155549614762</v>
      </c>
      <c r="C344" s="77">
        <v>611.05569115831759</v>
      </c>
      <c r="D344" s="77">
        <v>620.13465197162179</v>
      </c>
      <c r="E344" s="77">
        <v>10620360.098779622</v>
      </c>
      <c r="F344" s="77" t="s">
        <v>335</v>
      </c>
      <c r="G344" s="25">
        <f t="shared" si="6"/>
        <v>-1.2274841370051304E-2</v>
      </c>
      <c r="I344" s="78">
        <v>119.93</v>
      </c>
      <c r="J344" s="78">
        <v>123.65</v>
      </c>
      <c r="K344" s="78">
        <v>119.04</v>
      </c>
      <c r="L344" s="78">
        <v>120.21</v>
      </c>
      <c r="M344" s="78">
        <v>1564179</v>
      </c>
      <c r="N344" s="78" t="s">
        <v>335</v>
      </c>
      <c r="O344" s="25">
        <f t="shared" si="7"/>
        <v>-2.3292571333498602E-3</v>
      </c>
    </row>
    <row r="345" spans="1:15">
      <c r="A345" s="77">
        <v>622.66209193602413</v>
      </c>
      <c r="B345" s="77">
        <v>624.19837897320986</v>
      </c>
      <c r="C345" s="77">
        <v>620.56084773032489</v>
      </c>
      <c r="D345" s="77">
        <v>624.07944062194395</v>
      </c>
      <c r="E345" s="77">
        <v>6119969.8184156204</v>
      </c>
      <c r="F345" s="77" t="s">
        <v>336</v>
      </c>
      <c r="G345" s="25">
        <f t="shared" si="6"/>
        <v>-2.2711029937267924E-3</v>
      </c>
      <c r="I345" s="78">
        <v>121.98</v>
      </c>
      <c r="J345" s="78">
        <v>124.839</v>
      </c>
      <c r="K345" s="78">
        <v>121.84</v>
      </c>
      <c r="L345" s="78">
        <v>122.79</v>
      </c>
      <c r="M345" s="78">
        <v>1303473</v>
      </c>
      <c r="N345" s="78" t="s">
        <v>336</v>
      </c>
      <c r="O345" s="25">
        <f t="shared" si="7"/>
        <v>-6.5966283899340228E-3</v>
      </c>
    </row>
    <row r="346" spans="1:15">
      <c r="A346" s="77">
        <v>622.35483452858693</v>
      </c>
      <c r="B346" s="77">
        <v>622.92970322637268</v>
      </c>
      <c r="C346" s="77">
        <v>618.54880728807518</v>
      </c>
      <c r="D346" s="77">
        <v>619.6291639787413</v>
      </c>
      <c r="E346" s="77">
        <v>5660956.8976975149</v>
      </c>
      <c r="F346" s="77" t="s">
        <v>337</v>
      </c>
      <c r="G346" s="25">
        <f t="shared" si="6"/>
        <v>4.3988738882845269E-3</v>
      </c>
      <c r="I346" s="78">
        <v>122.6</v>
      </c>
      <c r="J346" s="78">
        <v>125.5</v>
      </c>
      <c r="K346" s="78">
        <v>122</v>
      </c>
      <c r="L346" s="78">
        <v>122</v>
      </c>
      <c r="M346" s="78">
        <v>2402961</v>
      </c>
      <c r="N346" s="78" t="s">
        <v>337</v>
      </c>
      <c r="O346" s="25">
        <f t="shared" si="7"/>
        <v>4.9180327868851847E-3</v>
      </c>
    </row>
    <row r="347" spans="1:15">
      <c r="A347" s="77">
        <v>620.9275743133951</v>
      </c>
      <c r="B347" s="77">
        <v>621.66102747953539</v>
      </c>
      <c r="C347" s="77">
        <v>615.16897580626653</v>
      </c>
      <c r="D347" s="77">
        <v>617.18101624851636</v>
      </c>
      <c r="E347" s="77">
        <v>8458626.0805823188</v>
      </c>
      <c r="F347" s="77" t="s">
        <v>338</v>
      </c>
      <c r="G347" s="25">
        <f t="shared" si="6"/>
        <v>6.0704363326855582E-3</v>
      </c>
      <c r="I347" s="78">
        <v>121.72</v>
      </c>
      <c r="J347" s="78">
        <v>124.501</v>
      </c>
      <c r="K347" s="78">
        <v>120.73</v>
      </c>
      <c r="L347" s="78">
        <v>123</v>
      </c>
      <c r="M347" s="78">
        <v>1092725</v>
      </c>
      <c r="N347" s="78" t="s">
        <v>338</v>
      </c>
      <c r="O347" s="25">
        <f t="shared" si="7"/>
        <v>-1.0406504065040623E-2</v>
      </c>
    </row>
    <row r="348" spans="1:15">
      <c r="A348" s="77">
        <v>611.43232927065981</v>
      </c>
      <c r="B348" s="77">
        <v>611.56117915119796</v>
      </c>
      <c r="C348" s="77">
        <v>602.54168751352677</v>
      </c>
      <c r="D348" s="77">
        <v>608.65710107445341</v>
      </c>
      <c r="E348" s="77">
        <v>7594386.0864519393</v>
      </c>
      <c r="F348" s="77" t="s">
        <v>339</v>
      </c>
      <c r="G348" s="25">
        <f t="shared" si="6"/>
        <v>4.5595922421792778E-3</v>
      </c>
      <c r="I348" s="78">
        <v>121.9</v>
      </c>
      <c r="J348" s="78">
        <v>122.08</v>
      </c>
      <c r="K348" s="78">
        <v>119.36</v>
      </c>
      <c r="L348" s="78">
        <v>120.21</v>
      </c>
      <c r="M348" s="78">
        <v>1125183</v>
      </c>
      <c r="N348" s="78" t="s">
        <v>339</v>
      </c>
      <c r="O348" s="25">
        <f t="shared" si="7"/>
        <v>1.4058730554862509E-2</v>
      </c>
    </row>
    <row r="349" spans="1:15">
      <c r="A349" s="77">
        <v>610.78807986796903</v>
      </c>
      <c r="B349" s="77">
        <v>617.28013154123789</v>
      </c>
      <c r="C349" s="77">
        <v>609.38064271132157</v>
      </c>
      <c r="D349" s="77">
        <v>616.45747461164819</v>
      </c>
      <c r="E349" s="77">
        <v>7094884.9636632465</v>
      </c>
      <c r="F349" s="77" t="s">
        <v>340</v>
      </c>
      <c r="G349" s="25">
        <f t="shared" si="6"/>
        <v>-9.1967329088689098E-3</v>
      </c>
      <c r="I349" s="78">
        <v>121.11</v>
      </c>
      <c r="J349" s="78">
        <v>124.04</v>
      </c>
      <c r="K349" s="78">
        <v>118.5</v>
      </c>
      <c r="L349" s="78">
        <v>122.48</v>
      </c>
      <c r="M349" s="78">
        <v>2074029</v>
      </c>
      <c r="N349" s="78" t="s">
        <v>340</v>
      </c>
      <c r="O349" s="25">
        <f t="shared" si="7"/>
        <v>-1.1185499673416088E-2</v>
      </c>
    </row>
    <row r="350" spans="1:15">
      <c r="A350" s="77">
        <v>617.34951224614315</v>
      </c>
      <c r="B350" s="77">
        <v>620.46173243760325</v>
      </c>
      <c r="C350" s="77">
        <v>614.34631887667672</v>
      </c>
      <c r="D350" s="77">
        <v>615.09959510136139</v>
      </c>
      <c r="E350" s="77">
        <v>10356082.011304678</v>
      </c>
      <c r="F350" s="77" t="s">
        <v>341</v>
      </c>
      <c r="G350" s="25">
        <f t="shared" si="6"/>
        <v>3.6578095038592995E-3</v>
      </c>
      <c r="I350" s="78">
        <v>122.44</v>
      </c>
      <c r="J350" s="78">
        <v>126</v>
      </c>
      <c r="K350" s="78">
        <v>120</v>
      </c>
      <c r="L350" s="78">
        <v>121.5</v>
      </c>
      <c r="M350" s="78">
        <v>2896214</v>
      </c>
      <c r="N350" s="78" t="s">
        <v>341</v>
      </c>
      <c r="O350" s="25">
        <f t="shared" si="7"/>
        <v>7.7366255144033502E-3</v>
      </c>
    </row>
    <row r="351" spans="1:15">
      <c r="A351" s="77">
        <v>615.49605627224798</v>
      </c>
      <c r="B351" s="77">
        <v>619.63907550801343</v>
      </c>
      <c r="C351" s="77">
        <v>614.71304545974692</v>
      </c>
      <c r="D351" s="77">
        <v>616.150217204211</v>
      </c>
      <c r="E351" s="77">
        <v>8276576.4744668305</v>
      </c>
      <c r="F351" s="77" t="s">
        <v>342</v>
      </c>
      <c r="G351" s="25">
        <f t="shared" si="6"/>
        <v>-1.061690661948167E-3</v>
      </c>
      <c r="I351" s="78">
        <v>116.86</v>
      </c>
      <c r="J351" s="78">
        <v>121.25</v>
      </c>
      <c r="K351" s="78">
        <v>116.21</v>
      </c>
      <c r="L351" s="78">
        <v>117.9</v>
      </c>
      <c r="M351" s="78">
        <v>2195576</v>
      </c>
      <c r="N351" s="78" t="s">
        <v>342</v>
      </c>
      <c r="O351" s="25">
        <f t="shared" si="7"/>
        <v>-8.8210347752333274E-3</v>
      </c>
    </row>
    <row r="352" spans="1:15">
      <c r="A352" s="77">
        <v>622.71164958238501</v>
      </c>
      <c r="B352" s="77">
        <v>624.96156672716666</v>
      </c>
      <c r="C352" s="77">
        <v>619.6291639787413</v>
      </c>
      <c r="D352" s="77">
        <v>624.84262837590063</v>
      </c>
      <c r="E352" s="77">
        <v>5559411.518335483</v>
      </c>
      <c r="F352" s="77" t="s">
        <v>343</v>
      </c>
      <c r="G352" s="25">
        <f t="shared" si="6"/>
        <v>-3.4104247961674883E-3</v>
      </c>
      <c r="I352" s="78">
        <v>119.99</v>
      </c>
      <c r="J352" s="78">
        <v>124.075</v>
      </c>
      <c r="K352" s="78">
        <v>116.26</v>
      </c>
      <c r="L352" s="78">
        <v>121.13</v>
      </c>
      <c r="M352" s="78">
        <v>3039868</v>
      </c>
      <c r="N352" s="78" t="s">
        <v>343</v>
      </c>
      <c r="O352" s="25">
        <f t="shared" si="7"/>
        <v>-9.4113762073805285E-3</v>
      </c>
    </row>
    <row r="353" spans="1:15">
      <c r="A353" s="77">
        <v>621.49253148190849</v>
      </c>
      <c r="B353" s="77">
        <v>624.36687497083676</v>
      </c>
      <c r="C353" s="77">
        <v>618.97500304677828</v>
      </c>
      <c r="D353" s="77">
        <v>624.26775967811511</v>
      </c>
      <c r="E353" s="77">
        <v>7081931.3622083683</v>
      </c>
      <c r="F353" s="77" t="s">
        <v>344</v>
      </c>
      <c r="G353" s="25">
        <f t="shared" si="6"/>
        <v>-4.4455734789788925E-3</v>
      </c>
      <c r="I353" s="78">
        <v>123.54</v>
      </c>
      <c r="J353" s="78">
        <v>123.928</v>
      </c>
      <c r="K353" s="78">
        <v>106.12</v>
      </c>
      <c r="L353" s="78">
        <v>106.91</v>
      </c>
      <c r="M353" s="78">
        <v>6322029</v>
      </c>
      <c r="N353" s="78" t="s">
        <v>344</v>
      </c>
      <c r="O353" s="25">
        <f t="shared" si="7"/>
        <v>0.15555139837246301</v>
      </c>
    </row>
    <row r="354" spans="1:15">
      <c r="A354" s="77">
        <v>619.70845621291869</v>
      </c>
      <c r="B354" s="77">
        <v>625.05077049061617</v>
      </c>
      <c r="C354" s="77">
        <v>619.56969480310829</v>
      </c>
      <c r="D354" s="77">
        <v>623.24687216308189</v>
      </c>
      <c r="E354" s="77">
        <v>6226766.6578269275</v>
      </c>
      <c r="F354" s="77" t="s">
        <v>345</v>
      </c>
      <c r="G354" s="25">
        <f t="shared" si="6"/>
        <v>-5.6773906267392205E-3</v>
      </c>
      <c r="I354" s="78">
        <v>99.01</v>
      </c>
      <c r="J354" s="78">
        <v>99.39</v>
      </c>
      <c r="K354" s="78">
        <v>94</v>
      </c>
      <c r="L354" s="78">
        <v>94.39</v>
      </c>
      <c r="M354" s="78">
        <v>2916280</v>
      </c>
      <c r="N354" s="78" t="s">
        <v>345</v>
      </c>
      <c r="O354" s="25">
        <f t="shared" si="7"/>
        <v>4.894586290920655E-2</v>
      </c>
    </row>
    <row r="355" spans="1:15">
      <c r="A355" s="77">
        <v>626.35909235454221</v>
      </c>
      <c r="B355" s="77">
        <v>628.51980573587434</v>
      </c>
      <c r="C355" s="77">
        <v>622.3151884114983</v>
      </c>
      <c r="D355" s="77">
        <v>627.60794504283513</v>
      </c>
      <c r="E355" s="77">
        <v>6091277.9796295911</v>
      </c>
      <c r="F355" s="77" t="s">
        <v>346</v>
      </c>
      <c r="G355" s="25">
        <f t="shared" si="6"/>
        <v>-1.9898611834935354E-3</v>
      </c>
      <c r="I355" s="78">
        <v>95.03</v>
      </c>
      <c r="J355" s="78">
        <v>98.5548</v>
      </c>
      <c r="K355" s="78">
        <v>94.91</v>
      </c>
      <c r="L355" s="78">
        <v>97.22</v>
      </c>
      <c r="M355" s="78">
        <v>1300812</v>
      </c>
      <c r="N355" s="78" t="s">
        <v>346</v>
      </c>
      <c r="O355" s="25">
        <f t="shared" si="7"/>
        <v>-2.2526229170952483E-2</v>
      </c>
    </row>
    <row r="356" spans="1:15">
      <c r="A356" s="77">
        <v>626.1013925934659</v>
      </c>
      <c r="B356" s="77">
        <v>627.78635256973405</v>
      </c>
      <c r="C356" s="77">
        <v>624.0695290926717</v>
      </c>
      <c r="D356" s="77">
        <v>626.12121565201016</v>
      </c>
      <c r="E356" s="77">
        <v>5625042.1573758936</v>
      </c>
      <c r="F356" s="77" t="s">
        <v>347</v>
      </c>
      <c r="G356" s="25">
        <f t="shared" si="6"/>
        <v>-3.1660097196350989E-5</v>
      </c>
      <c r="I356" s="78">
        <v>97.8</v>
      </c>
      <c r="J356" s="78">
        <v>100.18</v>
      </c>
      <c r="K356" s="78">
        <v>97.64</v>
      </c>
      <c r="L356" s="78">
        <v>100</v>
      </c>
      <c r="M356" s="78">
        <v>1046020</v>
      </c>
      <c r="N356" s="78" t="s">
        <v>347</v>
      </c>
      <c r="O356" s="25">
        <f t="shared" si="7"/>
        <v>-2.200000000000002E-2</v>
      </c>
    </row>
    <row r="357" spans="1:15">
      <c r="A357" s="77">
        <v>624.42634414646977</v>
      </c>
      <c r="B357" s="77">
        <v>624.71377849536248</v>
      </c>
      <c r="C357" s="77">
        <v>621.61146983317451</v>
      </c>
      <c r="D357" s="77">
        <v>622.18633853096014</v>
      </c>
      <c r="E357" s="77">
        <v>7873977.6533942977</v>
      </c>
      <c r="F357" s="77" t="s">
        <v>348</v>
      </c>
      <c r="G357" s="25">
        <f t="shared" si="6"/>
        <v>3.600216650205601E-3</v>
      </c>
      <c r="I357" s="78">
        <v>100.35</v>
      </c>
      <c r="J357" s="78">
        <v>101</v>
      </c>
      <c r="K357" s="78">
        <v>98.86</v>
      </c>
      <c r="L357" s="78">
        <v>101</v>
      </c>
      <c r="M357" s="78">
        <v>1319094</v>
      </c>
      <c r="N357" s="78" t="s">
        <v>348</v>
      </c>
      <c r="O357" s="25">
        <f t="shared" si="7"/>
        <v>-6.4356435643564414E-3</v>
      </c>
    </row>
    <row r="358" spans="1:15">
      <c r="A358" s="77">
        <v>617.04225483870584</v>
      </c>
      <c r="B358" s="77">
        <v>618.27118535316185</v>
      </c>
      <c r="C358" s="77">
        <v>615.71113645745402</v>
      </c>
      <c r="D358" s="77">
        <v>616.41782849455944</v>
      </c>
      <c r="E358" s="77">
        <v>5701283.6716013607</v>
      </c>
      <c r="F358" s="77" t="s">
        <v>349</v>
      </c>
      <c r="G358" s="25">
        <f t="shared" si="6"/>
        <v>1.0129920246975122E-3</v>
      </c>
      <c r="I358" s="78">
        <v>100.11</v>
      </c>
      <c r="J358" s="78">
        <v>101.93</v>
      </c>
      <c r="K358" s="78">
        <v>100.06</v>
      </c>
      <c r="L358" s="78">
        <v>101.44</v>
      </c>
      <c r="M358" s="78">
        <v>948201</v>
      </c>
      <c r="N358" s="78" t="s">
        <v>349</v>
      </c>
      <c r="O358" s="25">
        <f t="shared" si="7"/>
        <v>-1.3111198738170349E-2</v>
      </c>
    </row>
    <row r="359" spans="1:15">
      <c r="A359" s="77">
        <v>611.97746338062905</v>
      </c>
      <c r="B359" s="77">
        <v>613.00231550737101</v>
      </c>
      <c r="C359" s="77">
        <v>608.55798578173165</v>
      </c>
      <c r="D359" s="77">
        <v>608.81568554280796</v>
      </c>
      <c r="E359" s="77">
        <v>5877357.4087693281</v>
      </c>
      <c r="F359" s="77" t="s">
        <v>350</v>
      </c>
      <c r="G359" s="25">
        <f t="shared" si="6"/>
        <v>5.1933251933253821E-3</v>
      </c>
      <c r="I359" s="78">
        <v>99.97</v>
      </c>
      <c r="J359" s="78">
        <v>100.24</v>
      </c>
      <c r="K359" s="78">
        <v>97.07</v>
      </c>
      <c r="L359" s="78">
        <v>97.23</v>
      </c>
      <c r="M359" s="78">
        <v>1245593</v>
      </c>
      <c r="N359" s="78" t="s">
        <v>350</v>
      </c>
      <c r="O359" s="25">
        <f t="shared" si="7"/>
        <v>2.8180602694641621E-2</v>
      </c>
    </row>
    <row r="360" spans="1:15">
      <c r="A360" s="77">
        <v>608.53816272318738</v>
      </c>
      <c r="B360" s="77">
        <v>612.36401302224351</v>
      </c>
      <c r="C360" s="77">
        <v>604.43478960451057</v>
      </c>
      <c r="D360" s="77">
        <v>612.36401302224351</v>
      </c>
      <c r="E360" s="77">
        <v>6173644.683856817</v>
      </c>
      <c r="F360" s="77" t="s">
        <v>351</v>
      </c>
      <c r="G360" s="25">
        <f t="shared" si="6"/>
        <v>-6.247673308191537E-3</v>
      </c>
      <c r="I360" s="78">
        <v>97.23</v>
      </c>
      <c r="J360" s="78">
        <v>99.54</v>
      </c>
      <c r="K360" s="78">
        <v>95.814999999999998</v>
      </c>
      <c r="L360" s="78">
        <v>98.39</v>
      </c>
      <c r="M360" s="78">
        <v>1650933</v>
      </c>
      <c r="N360" s="78" t="s">
        <v>351</v>
      </c>
      <c r="O360" s="25">
        <f t="shared" si="7"/>
        <v>-1.1789816038215273E-2</v>
      </c>
    </row>
    <row r="361" spans="1:15">
      <c r="A361" s="77">
        <v>611.63055985610322</v>
      </c>
      <c r="B361" s="77">
        <v>613.2659621860106</v>
      </c>
      <c r="C361" s="77">
        <v>610.53137125981993</v>
      </c>
      <c r="D361" s="77">
        <v>611.86843655863527</v>
      </c>
      <c r="E361" s="77">
        <v>4193228.8003944606</v>
      </c>
      <c r="F361" s="77" t="s">
        <v>352</v>
      </c>
      <c r="G361" s="25">
        <f t="shared" si="6"/>
        <v>-3.8877099768364065E-4</v>
      </c>
      <c r="I361" s="78">
        <v>98.96</v>
      </c>
      <c r="J361" s="78">
        <v>102.30500000000001</v>
      </c>
      <c r="K361" s="78">
        <v>98.504999999999995</v>
      </c>
      <c r="L361" s="78">
        <v>100.41</v>
      </c>
      <c r="M361" s="78">
        <v>1315112</v>
      </c>
      <c r="N361" s="78" t="s">
        <v>352</v>
      </c>
      <c r="O361" s="25">
        <f t="shared" si="7"/>
        <v>-1.4440792749726206E-2</v>
      </c>
    </row>
    <row r="362" spans="1:15">
      <c r="A362" s="77">
        <v>611.70985209028049</v>
      </c>
      <c r="B362" s="77">
        <v>612.54242054914243</v>
      </c>
      <c r="C362" s="77">
        <v>608.08223237666766</v>
      </c>
      <c r="D362" s="77">
        <v>608.08223237666766</v>
      </c>
      <c r="E362" s="77">
        <v>4085368.5529347514</v>
      </c>
      <c r="F362" s="77" t="s">
        <v>353</v>
      </c>
      <c r="G362" s="25">
        <f t="shared" si="6"/>
        <v>5.9656729311665657E-3</v>
      </c>
      <c r="I362" s="78">
        <v>99.5</v>
      </c>
      <c r="J362" s="78">
        <v>100.94</v>
      </c>
      <c r="K362" s="78">
        <v>95.61</v>
      </c>
      <c r="L362" s="78">
        <v>95.61</v>
      </c>
      <c r="M362" s="78">
        <v>1694592</v>
      </c>
      <c r="N362" s="78" t="s">
        <v>353</v>
      </c>
      <c r="O362" s="25">
        <f t="shared" si="7"/>
        <v>4.0686120698671724E-2</v>
      </c>
    </row>
    <row r="363" spans="1:15">
      <c r="A363" s="77">
        <v>605.35656182682203</v>
      </c>
      <c r="B363" s="77">
        <v>606.60541451511494</v>
      </c>
      <c r="C363" s="77">
        <v>599.74663625877599</v>
      </c>
      <c r="D363" s="77">
        <v>600.97566588852453</v>
      </c>
      <c r="E363" s="77">
        <v>6945537.6773512438</v>
      </c>
      <c r="F363" s="77" t="s">
        <v>354</v>
      </c>
      <c r="G363" s="25">
        <f t="shared" si="6"/>
        <v>7.2896394762016481E-3</v>
      </c>
      <c r="I363" s="78">
        <v>95.46</v>
      </c>
      <c r="J363" s="78">
        <v>96.8</v>
      </c>
      <c r="K363" s="78">
        <v>94.81</v>
      </c>
      <c r="L363" s="78">
        <v>95.2</v>
      </c>
      <c r="M363" s="78">
        <v>1113115</v>
      </c>
      <c r="N363" s="78" t="s">
        <v>354</v>
      </c>
      <c r="O363" s="25">
        <f t="shared" si="7"/>
        <v>2.7310924369747802E-3</v>
      </c>
    </row>
    <row r="364" spans="1:15">
      <c r="A364" s="77">
        <v>602.01637646210202</v>
      </c>
      <c r="B364" s="77">
        <v>609.36081965277708</v>
      </c>
      <c r="C364" s="77">
        <v>598.79512944864791</v>
      </c>
      <c r="D364" s="77">
        <v>607.68577120578107</v>
      </c>
      <c r="E364" s="77">
        <v>7600450.7408911688</v>
      </c>
      <c r="F364" s="77" t="s">
        <v>355</v>
      </c>
      <c r="G364" s="25">
        <f t="shared" si="6"/>
        <v>-9.3294841056253963E-3</v>
      </c>
      <c r="I364" s="78">
        <v>95.91</v>
      </c>
      <c r="J364" s="78">
        <v>98.7</v>
      </c>
      <c r="K364" s="78">
        <v>93.5</v>
      </c>
      <c r="L364" s="78">
        <v>94.05</v>
      </c>
      <c r="M364" s="78">
        <v>2159248</v>
      </c>
      <c r="N364" s="78" t="s">
        <v>355</v>
      </c>
      <c r="O364" s="25">
        <f t="shared" si="7"/>
        <v>1.9776714513556559E-2</v>
      </c>
    </row>
    <row r="365" spans="1:15">
      <c r="A365" s="77">
        <v>606.02063428805707</v>
      </c>
      <c r="B365" s="77">
        <v>610.75338951551657</v>
      </c>
      <c r="C365" s="77">
        <v>600.46026636637191</v>
      </c>
      <c r="D365" s="77">
        <v>607.64612508869243</v>
      </c>
      <c r="E365" s="77">
        <v>6532781.997812612</v>
      </c>
      <c r="F365" s="77" t="s">
        <v>356</v>
      </c>
      <c r="G365" s="25">
        <f t="shared" si="6"/>
        <v>-2.6750615753504681E-3</v>
      </c>
      <c r="I365" s="78">
        <v>93</v>
      </c>
      <c r="J365" s="78">
        <v>95.61</v>
      </c>
      <c r="K365" s="78">
        <v>90.1</v>
      </c>
      <c r="L365" s="78">
        <v>90.71</v>
      </c>
      <c r="M365" s="78">
        <v>2760034</v>
      </c>
      <c r="N365" s="78" t="s">
        <v>356</v>
      </c>
      <c r="O365" s="25">
        <f t="shared" si="7"/>
        <v>2.5245287178921938E-2</v>
      </c>
    </row>
    <row r="366" spans="1:15">
      <c r="A366" s="77">
        <v>603.36434444311658</v>
      </c>
      <c r="B366" s="77">
        <v>606.72435286638097</v>
      </c>
      <c r="C366" s="77">
        <v>595.19724432285159</v>
      </c>
      <c r="D366" s="77">
        <v>598.85459862428104</v>
      </c>
      <c r="E366" s="77">
        <v>7535686.7693209462</v>
      </c>
      <c r="F366" s="77" t="s">
        <v>357</v>
      </c>
      <c r="G366" s="25">
        <f t="shared" si="6"/>
        <v>7.5306190003308071E-3</v>
      </c>
      <c r="I366" s="78">
        <v>91</v>
      </c>
      <c r="J366" s="78">
        <v>93.8</v>
      </c>
      <c r="K366" s="78">
        <v>88</v>
      </c>
      <c r="L366" s="78">
        <v>92.75</v>
      </c>
      <c r="M366" s="78">
        <v>2558252</v>
      </c>
      <c r="N366" s="78" t="s">
        <v>357</v>
      </c>
      <c r="O366" s="25">
        <f t="shared" si="7"/>
        <v>-1.8867924528301883E-2</v>
      </c>
    </row>
    <row r="367" spans="1:15">
      <c r="A367" s="77">
        <v>604.2167359605229</v>
      </c>
      <c r="B367" s="77">
        <v>605.62139788897423</v>
      </c>
      <c r="C367" s="77">
        <v>601.20858682642051</v>
      </c>
      <c r="D367" s="77">
        <v>601.99655340355764</v>
      </c>
      <c r="E367" s="77">
        <v>7004428.6904302407</v>
      </c>
      <c r="F367" s="77" t="s">
        <v>358</v>
      </c>
      <c r="G367" s="25">
        <f t="shared" si="6"/>
        <v>3.6880320068493067E-3</v>
      </c>
      <c r="I367" s="78">
        <v>95.03</v>
      </c>
      <c r="J367" s="78">
        <v>96.43</v>
      </c>
      <c r="K367" s="78">
        <v>93.59</v>
      </c>
      <c r="L367" s="78">
        <v>95</v>
      </c>
      <c r="M367" s="78">
        <v>774979</v>
      </c>
      <c r="N367" s="78" t="s">
        <v>358</v>
      </c>
      <c r="O367" s="25">
        <f t="shared" si="7"/>
        <v>3.1578947368426924E-4</v>
      </c>
    </row>
    <row r="368" spans="1:15">
      <c r="A368" s="77">
        <v>595.19724432285159</v>
      </c>
      <c r="B368" s="77">
        <v>614.11835370341691</v>
      </c>
      <c r="C368" s="77">
        <v>594.91972150323102</v>
      </c>
      <c r="D368" s="77">
        <v>612.52259749059817</v>
      </c>
      <c r="E368" s="77">
        <v>13458268.279002609</v>
      </c>
      <c r="F368" s="77" t="s">
        <v>359</v>
      </c>
      <c r="G368" s="25">
        <f t="shared" si="6"/>
        <v>-2.8285247334099428E-2</v>
      </c>
      <c r="I368" s="78">
        <v>93.86</v>
      </c>
      <c r="J368" s="78">
        <v>96.49</v>
      </c>
      <c r="K368" s="78">
        <v>91.65</v>
      </c>
      <c r="L368" s="78">
        <v>96.49</v>
      </c>
      <c r="M368" s="78">
        <v>1568445</v>
      </c>
      <c r="N368" s="78" t="s">
        <v>359</v>
      </c>
      <c r="O368" s="25">
        <f t="shared" si="7"/>
        <v>-2.7256710539952267E-2</v>
      </c>
    </row>
    <row r="369" spans="1:15">
      <c r="A369" s="77">
        <v>611.64047138537535</v>
      </c>
      <c r="B369" s="77">
        <v>614.10844217414478</v>
      </c>
      <c r="C369" s="77">
        <v>609.83657305784106</v>
      </c>
      <c r="D369" s="77">
        <v>613.75162712034682</v>
      </c>
      <c r="E369" s="77">
        <v>5932230.8783485722</v>
      </c>
      <c r="F369" s="77" t="s">
        <v>360</v>
      </c>
      <c r="G369" s="25">
        <f t="shared" si="6"/>
        <v>-3.439755825783708E-3</v>
      </c>
      <c r="I369" s="78">
        <v>96.45</v>
      </c>
      <c r="J369" s="78">
        <v>98.7</v>
      </c>
      <c r="K369" s="78">
        <v>96.34</v>
      </c>
      <c r="L369" s="78">
        <v>97.63</v>
      </c>
      <c r="M369" s="78">
        <v>910747</v>
      </c>
      <c r="N369" s="78" t="s">
        <v>360</v>
      </c>
      <c r="O369" s="25">
        <f t="shared" si="7"/>
        <v>-1.2086448837447472E-2</v>
      </c>
    </row>
    <row r="370" spans="1:15">
      <c r="A370" s="77">
        <v>613.2956967738271</v>
      </c>
      <c r="B370" s="77">
        <v>613.42454665436526</v>
      </c>
      <c r="C370" s="77">
        <v>610.01914342703446</v>
      </c>
      <c r="D370" s="77">
        <v>610.7633010447887</v>
      </c>
      <c r="E370" s="77">
        <v>5045070.1023931336</v>
      </c>
      <c r="F370" s="77" t="s">
        <v>361</v>
      </c>
      <c r="G370" s="25">
        <f t="shared" si="6"/>
        <v>4.1462801132721161E-3</v>
      </c>
      <c r="I370" s="78">
        <v>97.78</v>
      </c>
      <c r="J370" s="78">
        <v>98.39</v>
      </c>
      <c r="K370" s="78">
        <v>95.704999999999998</v>
      </c>
      <c r="L370" s="78">
        <v>96.66</v>
      </c>
      <c r="M370" s="78">
        <v>1229723</v>
      </c>
      <c r="N370" s="78" t="s">
        <v>361</v>
      </c>
      <c r="O370" s="25">
        <f t="shared" si="7"/>
        <v>1.1587006000413957E-2</v>
      </c>
    </row>
    <row r="371" spans="1:15">
      <c r="A371" s="77">
        <v>609.75728082366379</v>
      </c>
      <c r="B371" s="77">
        <v>613.26526837896154</v>
      </c>
      <c r="C371" s="77">
        <v>608.38948978410485</v>
      </c>
      <c r="D371" s="77">
        <v>612.82985489803525</v>
      </c>
      <c r="E371" s="77">
        <v>7505913.3618177567</v>
      </c>
      <c r="F371" s="77" t="s">
        <v>362</v>
      </c>
      <c r="G371" s="25">
        <f t="shared" si="6"/>
        <v>-5.0137473718259162E-3</v>
      </c>
      <c r="I371" s="78">
        <v>96.68</v>
      </c>
      <c r="J371" s="78">
        <v>101.95</v>
      </c>
      <c r="K371" s="78">
        <v>96.5</v>
      </c>
      <c r="L371" s="78">
        <v>101.36</v>
      </c>
      <c r="M371" s="78">
        <v>1387669</v>
      </c>
      <c r="N371" s="78" t="s">
        <v>362</v>
      </c>
      <c r="O371" s="25">
        <f t="shared" si="7"/>
        <v>-4.6172059984214586E-2</v>
      </c>
    </row>
    <row r="372" spans="1:15">
      <c r="A372" s="77">
        <v>611.9378172635403</v>
      </c>
      <c r="B372" s="77">
        <v>612.81003183949099</v>
      </c>
      <c r="C372" s="77">
        <v>610.03480364328448</v>
      </c>
      <c r="D372" s="77">
        <v>611.99728643917342</v>
      </c>
      <c r="E372" s="77">
        <v>6011376.081723284</v>
      </c>
      <c r="F372" s="77" t="s">
        <v>363</v>
      </c>
      <c r="G372" s="25">
        <f t="shared" si="6"/>
        <v>-9.7172286464108915E-5</v>
      </c>
      <c r="I372" s="78">
        <v>101.02</v>
      </c>
      <c r="J372" s="78">
        <v>102.68</v>
      </c>
      <c r="K372" s="78">
        <v>100.56010000000001</v>
      </c>
      <c r="L372" s="78">
        <v>102.16</v>
      </c>
      <c r="M372" s="78">
        <v>1268858</v>
      </c>
      <c r="N372" s="78" t="s">
        <v>363</v>
      </c>
      <c r="O372" s="25">
        <f t="shared" si="7"/>
        <v>-1.1158966327329711E-2</v>
      </c>
    </row>
    <row r="373" spans="1:15">
      <c r="A373" s="77">
        <v>609.85639611638544</v>
      </c>
      <c r="B373" s="77">
        <v>612.94879324930127</v>
      </c>
      <c r="C373" s="77">
        <v>608.85334935404228</v>
      </c>
      <c r="D373" s="77">
        <v>610.50064551907633</v>
      </c>
      <c r="E373" s="77">
        <v>7251315.9197170287</v>
      </c>
      <c r="F373" s="77" t="s">
        <v>364</v>
      </c>
      <c r="G373" s="25">
        <f t="shared" si="6"/>
        <v>-1.0552804610765021E-3</v>
      </c>
      <c r="I373" s="78">
        <v>102.12</v>
      </c>
      <c r="J373" s="78">
        <v>102.84</v>
      </c>
      <c r="K373" s="78">
        <v>99.484999999999999</v>
      </c>
      <c r="L373" s="78">
        <v>100.35</v>
      </c>
      <c r="M373" s="78">
        <v>1667649</v>
      </c>
      <c r="N373" s="78" t="s">
        <v>364</v>
      </c>
      <c r="O373" s="25">
        <f t="shared" si="7"/>
        <v>1.7638266068759512E-2</v>
      </c>
    </row>
    <row r="374" spans="1:15">
      <c r="A374" s="77">
        <v>609.80683847002456</v>
      </c>
      <c r="B374" s="77">
        <v>611.02595657050108</v>
      </c>
      <c r="C374" s="77">
        <v>607.59656744233155</v>
      </c>
      <c r="D374" s="77">
        <v>610.95657586559582</v>
      </c>
      <c r="E374" s="77">
        <v>7099455.3986340854</v>
      </c>
      <c r="F374" s="77" t="s">
        <v>365</v>
      </c>
      <c r="G374" s="25">
        <f t="shared" si="6"/>
        <v>-1.8818643435375426E-3</v>
      </c>
      <c r="I374" s="78">
        <v>99.3</v>
      </c>
      <c r="J374" s="78">
        <v>103</v>
      </c>
      <c r="K374" s="78">
        <v>98.52</v>
      </c>
      <c r="L374" s="78">
        <v>103</v>
      </c>
      <c r="M374" s="78">
        <v>1899481</v>
      </c>
      <c r="N374" s="78" t="s">
        <v>365</v>
      </c>
      <c r="O374" s="25">
        <f t="shared" si="7"/>
        <v>-3.5922330097087452E-2</v>
      </c>
    </row>
    <row r="375" spans="1:15">
      <c r="A375" s="77">
        <v>609.13285447951739</v>
      </c>
      <c r="B375" s="77">
        <v>609.94559987983496</v>
      </c>
      <c r="C375" s="77">
        <v>604.17708984343426</v>
      </c>
      <c r="D375" s="77">
        <v>604.30593972397241</v>
      </c>
      <c r="E375" s="77">
        <v>9840084.9477271978</v>
      </c>
      <c r="F375" s="77" t="s">
        <v>366</v>
      </c>
      <c r="G375" s="25">
        <f t="shared" si="6"/>
        <v>7.9875348532065793E-3</v>
      </c>
      <c r="I375" s="78">
        <v>102.26</v>
      </c>
      <c r="J375" s="78">
        <v>102.35</v>
      </c>
      <c r="K375" s="78">
        <v>94.97</v>
      </c>
      <c r="L375" s="78">
        <v>94.97</v>
      </c>
      <c r="M375" s="78">
        <v>2334698</v>
      </c>
      <c r="N375" s="78" t="s">
        <v>366</v>
      </c>
      <c r="O375" s="25">
        <f t="shared" si="7"/>
        <v>7.6761082447088569E-2</v>
      </c>
    </row>
    <row r="376" spans="1:15">
      <c r="A376" s="77">
        <v>606.9622295689129</v>
      </c>
      <c r="B376" s="77">
        <v>607.43798297397689</v>
      </c>
      <c r="C376" s="77">
        <v>602.8885910380526</v>
      </c>
      <c r="D376" s="77">
        <v>604.03832843362386</v>
      </c>
      <c r="E376" s="77">
        <v>6539276.4547457881</v>
      </c>
      <c r="F376" s="77" t="s">
        <v>367</v>
      </c>
      <c r="G376" s="25">
        <f t="shared" si="6"/>
        <v>4.8405887468618847E-3</v>
      </c>
      <c r="I376" s="78">
        <v>94.97</v>
      </c>
      <c r="J376" s="78">
        <v>95.44</v>
      </c>
      <c r="K376" s="78">
        <v>91.3</v>
      </c>
      <c r="L376" s="78">
        <v>91.64</v>
      </c>
      <c r="M376" s="78">
        <v>2112158</v>
      </c>
      <c r="N376" s="78" t="s">
        <v>367</v>
      </c>
      <c r="O376" s="25">
        <f t="shared" si="7"/>
        <v>3.6337843736359732E-2</v>
      </c>
    </row>
    <row r="377" spans="1:15">
      <c r="A377" s="77">
        <v>604.73213548267552</v>
      </c>
      <c r="B377" s="77">
        <v>606.26842251986125</v>
      </c>
      <c r="C377" s="77">
        <v>603.09673315276814</v>
      </c>
      <c r="D377" s="77">
        <v>605.38629641463842</v>
      </c>
      <c r="E377" s="77">
        <v>5709345.9996040035</v>
      </c>
      <c r="F377" s="77" t="s">
        <v>368</v>
      </c>
      <c r="G377" s="25">
        <f t="shared" si="6"/>
        <v>-1.0805677892564702E-3</v>
      </c>
      <c r="I377" s="78">
        <v>91.87</v>
      </c>
      <c r="J377" s="78">
        <v>92.5</v>
      </c>
      <c r="K377" s="78">
        <v>90.62</v>
      </c>
      <c r="L377" s="78">
        <v>92.26</v>
      </c>
      <c r="M377" s="78">
        <v>1457211</v>
      </c>
      <c r="N377" s="78" t="s">
        <v>368</v>
      </c>
      <c r="O377" s="25">
        <f t="shared" si="7"/>
        <v>-4.2271840450899267E-3</v>
      </c>
    </row>
    <row r="378" spans="1:15">
      <c r="A378" s="77">
        <v>603.03726399323136</v>
      </c>
      <c r="B378" s="77">
        <v>603.5709602738076</v>
      </c>
      <c r="C378" s="77">
        <v>599.48423042161801</v>
      </c>
      <c r="D378" s="77">
        <v>600.93212866429212</v>
      </c>
      <c r="E378" s="77">
        <v>6514683.512964623</v>
      </c>
      <c r="F378" s="77" t="s">
        <v>369</v>
      </c>
      <c r="G378" s="25">
        <f t="shared" si="6"/>
        <v>3.5031166225349963E-3</v>
      </c>
      <c r="I378" s="78">
        <v>91.69</v>
      </c>
      <c r="J378" s="78">
        <v>93.03</v>
      </c>
      <c r="K378" s="78">
        <v>91.41</v>
      </c>
      <c r="L378" s="78">
        <v>92.29</v>
      </c>
      <c r="M378" s="78">
        <v>2163087</v>
      </c>
      <c r="N378" s="78" t="s">
        <v>369</v>
      </c>
      <c r="O378" s="25">
        <f t="shared" si="7"/>
        <v>-6.5012460721639576E-3</v>
      </c>
    </row>
    <row r="379" spans="1:15">
      <c r="A379" s="77">
        <v>599.50893858275583</v>
      </c>
      <c r="B379" s="77">
        <v>600.83329601974094</v>
      </c>
      <c r="C379" s="77">
        <v>596.30676089929887</v>
      </c>
      <c r="D379" s="77">
        <v>599.53858837612108</v>
      </c>
      <c r="E379" s="77">
        <v>7009572.6280149827</v>
      </c>
      <c r="F379" s="77" t="s">
        <v>370</v>
      </c>
      <c r="G379" s="25">
        <f t="shared" si="6"/>
        <v>-4.9454353631461778E-5</v>
      </c>
      <c r="I379" s="78">
        <v>92.19</v>
      </c>
      <c r="J379" s="78">
        <v>94.19</v>
      </c>
      <c r="K379" s="78">
        <v>91.36</v>
      </c>
      <c r="L379" s="78">
        <v>93.51</v>
      </c>
      <c r="M379" s="78">
        <v>2021282</v>
      </c>
      <c r="N379" s="78" t="s">
        <v>370</v>
      </c>
      <c r="O379" s="25">
        <f t="shared" si="7"/>
        <v>-1.4116137311517618E-2</v>
      </c>
    </row>
    <row r="380" spans="1:15">
      <c r="A380" s="77">
        <v>602.38496853919389</v>
      </c>
      <c r="B380" s="77">
        <v>605.58714622265086</v>
      </c>
      <c r="C380" s="77">
        <v>601.09026089557403</v>
      </c>
      <c r="D380" s="77">
        <v>605.47843031364459</v>
      </c>
      <c r="E380" s="77">
        <v>24044766.896532532</v>
      </c>
      <c r="F380" s="77" t="s">
        <v>371</v>
      </c>
      <c r="G380" s="25">
        <f t="shared" ref="G380:G443" si="8">A380/D380-1</f>
        <v>-5.1091196970439734E-3</v>
      </c>
      <c r="I380" s="78">
        <v>94.41</v>
      </c>
      <c r="J380" s="78">
        <v>99.77</v>
      </c>
      <c r="K380" s="78">
        <v>93.92</v>
      </c>
      <c r="L380" s="78">
        <v>99.5</v>
      </c>
      <c r="M380" s="78">
        <v>1663035</v>
      </c>
      <c r="N380" s="78" t="s">
        <v>371</v>
      </c>
      <c r="O380" s="25">
        <f t="shared" ref="O380:O443" si="9">I380/L380-1</f>
        <v>-5.1155778894472426E-2</v>
      </c>
    </row>
    <row r="381" spans="1:15">
      <c r="A381" s="77">
        <v>604.40115448803715</v>
      </c>
      <c r="B381" s="77">
        <v>608.07772886533951</v>
      </c>
      <c r="C381" s="77">
        <v>603.21615107986906</v>
      </c>
      <c r="D381" s="77">
        <v>607.52920768808076</v>
      </c>
      <c r="E381" s="77">
        <v>10855272.616375949</v>
      </c>
      <c r="F381" s="77" t="s">
        <v>372</v>
      </c>
      <c r="G381" s="25">
        <f t="shared" si="8"/>
        <v>-5.148811218389393E-3</v>
      </c>
      <c r="I381" s="78">
        <v>99.37</v>
      </c>
      <c r="J381" s="78">
        <v>102.91</v>
      </c>
      <c r="K381" s="78">
        <v>98.87</v>
      </c>
      <c r="L381" s="78">
        <v>101.33499999999999</v>
      </c>
      <c r="M381" s="78">
        <v>1178899</v>
      </c>
      <c r="N381" s="78" t="s">
        <v>372</v>
      </c>
      <c r="O381" s="25">
        <f t="shared" si="9"/>
        <v>-1.9391128435387484E-2</v>
      </c>
    </row>
    <row r="382" spans="1:15">
      <c r="A382" s="77">
        <v>607.58356564258384</v>
      </c>
      <c r="B382" s="77">
        <v>608.03819580751906</v>
      </c>
      <c r="C382" s="77">
        <v>603.38317824916044</v>
      </c>
      <c r="D382" s="77">
        <v>603.39306151361552</v>
      </c>
      <c r="E382" s="77">
        <v>11688027.829734767</v>
      </c>
      <c r="F382" s="77" t="s">
        <v>373</v>
      </c>
      <c r="G382" s="25">
        <f t="shared" si="8"/>
        <v>6.9448994299941003E-3</v>
      </c>
      <c r="I382" s="78">
        <v>101.49</v>
      </c>
      <c r="J382" s="78">
        <v>102.75</v>
      </c>
      <c r="K382" s="78">
        <v>101.07</v>
      </c>
      <c r="L382" s="78">
        <v>102.75</v>
      </c>
      <c r="M382" s="78">
        <v>942966</v>
      </c>
      <c r="N382" s="78" t="s">
        <v>373</v>
      </c>
      <c r="O382" s="25">
        <f t="shared" si="9"/>
        <v>-1.226277372262774E-2</v>
      </c>
    </row>
    <row r="383" spans="1:15">
      <c r="A383" s="77">
        <v>604.63835283495985</v>
      </c>
      <c r="B383" s="77">
        <v>605.51796337146504</v>
      </c>
      <c r="C383" s="77">
        <v>601.7425563496115</v>
      </c>
      <c r="D383" s="77">
        <v>603.4918941581667</v>
      </c>
      <c r="E383" s="77">
        <v>6137299.0954030668</v>
      </c>
      <c r="F383" s="77" t="s">
        <v>374</v>
      </c>
      <c r="G383" s="25">
        <f t="shared" si="8"/>
        <v>1.899708493007024E-3</v>
      </c>
      <c r="I383" s="78">
        <v>102.75</v>
      </c>
      <c r="J383" s="78">
        <v>103.94</v>
      </c>
      <c r="K383" s="78">
        <v>101.69</v>
      </c>
      <c r="L383" s="78">
        <v>102.79</v>
      </c>
      <c r="M383" s="78">
        <v>3621727</v>
      </c>
      <c r="N383" s="78" t="s">
        <v>374</v>
      </c>
      <c r="O383" s="25">
        <f t="shared" si="9"/>
        <v>-3.8914291273473012E-4</v>
      </c>
    </row>
    <row r="384" spans="1:15">
      <c r="A384" s="77">
        <v>601.8315057297076</v>
      </c>
      <c r="B384" s="77">
        <v>604.17383940556954</v>
      </c>
      <c r="C384" s="77">
        <v>599.98333527660134</v>
      </c>
      <c r="D384" s="77">
        <v>601.44605841595808</v>
      </c>
      <c r="E384" s="77">
        <v>11159501.043496931</v>
      </c>
      <c r="F384" s="77" t="s">
        <v>375</v>
      </c>
      <c r="G384" s="25">
        <f t="shared" si="8"/>
        <v>6.4086763618442788E-4</v>
      </c>
      <c r="I384" s="78">
        <v>103.03</v>
      </c>
      <c r="J384" s="78">
        <v>103.78</v>
      </c>
      <c r="K384" s="78">
        <v>101.6</v>
      </c>
      <c r="L384" s="78">
        <v>102.31</v>
      </c>
      <c r="M384" s="78">
        <v>1131803</v>
      </c>
      <c r="N384" s="78" t="s">
        <v>375</v>
      </c>
      <c r="O384" s="25">
        <f t="shared" si="9"/>
        <v>7.0374352458215661E-3</v>
      </c>
    </row>
    <row r="385" spans="1:15">
      <c r="A385" s="77">
        <v>599.01477536000016</v>
      </c>
      <c r="B385" s="77">
        <v>601.22862659794566</v>
      </c>
      <c r="C385" s="77">
        <v>594.5277732973783</v>
      </c>
      <c r="D385" s="77">
        <v>599.75602019413361</v>
      </c>
      <c r="E385" s="77">
        <v>11750801.62303127</v>
      </c>
      <c r="F385" s="77" t="s">
        <v>376</v>
      </c>
      <c r="G385" s="25">
        <f t="shared" si="8"/>
        <v>-1.2359106189439029E-3</v>
      </c>
      <c r="I385" s="78">
        <v>100.87</v>
      </c>
      <c r="J385" s="78">
        <v>104.22</v>
      </c>
      <c r="K385" s="78">
        <v>99.5</v>
      </c>
      <c r="L385" s="78">
        <v>101.755</v>
      </c>
      <c r="M385" s="78">
        <v>1725543</v>
      </c>
      <c r="N385" s="78" t="s">
        <v>376</v>
      </c>
      <c r="O385" s="25">
        <f t="shared" si="9"/>
        <v>-8.6973613090265411E-3</v>
      </c>
    </row>
    <row r="386" spans="1:15">
      <c r="A386" s="77">
        <v>599.70660387185796</v>
      </c>
      <c r="B386" s="77">
        <v>601.31757597804153</v>
      </c>
      <c r="C386" s="77">
        <v>598.98601506043565</v>
      </c>
      <c r="D386" s="77">
        <v>601.06061110220867</v>
      </c>
      <c r="E386" s="77">
        <v>6442357.2079015095</v>
      </c>
      <c r="F386" s="77" t="s">
        <v>377</v>
      </c>
      <c r="G386" s="25">
        <f t="shared" si="8"/>
        <v>-2.2526966587741448E-3</v>
      </c>
      <c r="I386" s="78">
        <v>101.48</v>
      </c>
      <c r="J386" s="78">
        <v>102</v>
      </c>
      <c r="K386" s="78">
        <v>98.86</v>
      </c>
      <c r="L386" s="78">
        <v>100.785</v>
      </c>
      <c r="M386" s="78">
        <v>1423918</v>
      </c>
      <c r="N386" s="78" t="s">
        <v>377</v>
      </c>
      <c r="O386" s="25">
        <f t="shared" si="9"/>
        <v>6.8958674405914522E-3</v>
      </c>
    </row>
    <row r="387" spans="1:15">
      <c r="A387" s="77">
        <v>600.49726502826718</v>
      </c>
      <c r="B387" s="77">
        <v>600.67516378845914</v>
      </c>
      <c r="C387" s="77">
        <v>599.12349126900642</v>
      </c>
      <c r="D387" s="77">
        <v>599.39033940929448</v>
      </c>
      <c r="E387" s="77">
        <v>7535095.3460995434</v>
      </c>
      <c r="F387" s="77" t="s">
        <v>378</v>
      </c>
      <c r="G387" s="25">
        <f t="shared" si="8"/>
        <v>1.8467525186736111E-3</v>
      </c>
      <c r="I387" s="78">
        <v>100.92</v>
      </c>
      <c r="J387" s="78">
        <v>101.01</v>
      </c>
      <c r="K387" s="78">
        <v>95.2</v>
      </c>
      <c r="L387" s="78">
        <v>95.31</v>
      </c>
      <c r="M387" s="78">
        <v>1767842</v>
      </c>
      <c r="N387" s="78" t="s">
        <v>378</v>
      </c>
      <c r="O387" s="25">
        <f t="shared" si="9"/>
        <v>5.8860560276990936E-2</v>
      </c>
    </row>
    <row r="388" spans="1:15">
      <c r="A388" s="77">
        <v>597.38403672490631</v>
      </c>
      <c r="B388" s="77">
        <v>598.90605945099378</v>
      </c>
      <c r="C388" s="77">
        <v>596.89975676660572</v>
      </c>
      <c r="D388" s="77">
        <v>597.53228569173302</v>
      </c>
      <c r="E388" s="77">
        <v>8204467.2960302038</v>
      </c>
      <c r="F388" s="77" t="s">
        <v>379</v>
      </c>
      <c r="G388" s="25">
        <f t="shared" si="8"/>
        <v>-2.4810201955050015E-4</v>
      </c>
      <c r="I388" s="78">
        <v>95.12</v>
      </c>
      <c r="J388" s="78">
        <v>99.51</v>
      </c>
      <c r="K388" s="78">
        <v>95.12</v>
      </c>
      <c r="L388" s="78">
        <v>99.51</v>
      </c>
      <c r="M388" s="78">
        <v>1515813</v>
      </c>
      <c r="N388" s="78" t="s">
        <v>379</v>
      </c>
      <c r="O388" s="25">
        <f t="shared" si="9"/>
        <v>-4.4116169229223234E-2</v>
      </c>
    </row>
    <row r="389" spans="1:15">
      <c r="A389" s="77">
        <v>597.51251916282285</v>
      </c>
      <c r="B389" s="77">
        <v>598.16481461686033</v>
      </c>
      <c r="C389" s="77">
        <v>593.87547784334083</v>
      </c>
      <c r="D389" s="77">
        <v>594.40917412391696</v>
      </c>
      <c r="E389" s="77">
        <v>9194134.2268729694</v>
      </c>
      <c r="F389" s="77" t="s">
        <v>380</v>
      </c>
      <c r="G389" s="25">
        <f t="shared" si="8"/>
        <v>5.2208902116623879E-3</v>
      </c>
      <c r="I389" s="78">
        <v>99.31</v>
      </c>
      <c r="J389" s="78">
        <v>99.56</v>
      </c>
      <c r="K389" s="78">
        <v>95.634100000000004</v>
      </c>
      <c r="L389" s="78">
        <v>95.69</v>
      </c>
      <c r="M389" s="78">
        <v>1722542</v>
      </c>
      <c r="N389" s="78" t="s">
        <v>380</v>
      </c>
      <c r="O389" s="25">
        <f t="shared" si="9"/>
        <v>3.783049430452512E-2</v>
      </c>
    </row>
    <row r="390" spans="1:15">
      <c r="A390" s="77">
        <v>592.67960284427204</v>
      </c>
      <c r="B390" s="77">
        <v>594.72543858648066</v>
      </c>
      <c r="C390" s="77">
        <v>591.17734664709474</v>
      </c>
      <c r="D390" s="77">
        <v>593.90512763670608</v>
      </c>
      <c r="E390" s="77">
        <v>21796803.169476327</v>
      </c>
      <c r="F390" s="77" t="s">
        <v>381</v>
      </c>
      <c r="G390" s="25">
        <f t="shared" si="8"/>
        <v>-2.0635026293015502E-3</v>
      </c>
      <c r="I390" s="78">
        <v>95.49</v>
      </c>
      <c r="J390" s="78">
        <v>98.8</v>
      </c>
      <c r="K390" s="78">
        <v>94.83</v>
      </c>
      <c r="L390" s="78">
        <v>98.08</v>
      </c>
      <c r="M390" s="78">
        <v>1155864</v>
      </c>
      <c r="N390" s="78" t="s">
        <v>381</v>
      </c>
      <c r="O390" s="25">
        <f t="shared" si="9"/>
        <v>-2.6407014681892327E-2</v>
      </c>
    </row>
    <row r="391" spans="1:15">
      <c r="A391" s="77">
        <v>590.96979809353741</v>
      </c>
      <c r="B391" s="77">
        <v>591.38489520065207</v>
      </c>
      <c r="C391" s="77">
        <v>588.06411834373387</v>
      </c>
      <c r="D391" s="77">
        <v>589.64544065655207</v>
      </c>
      <c r="E391" s="77">
        <v>7872008.3180353548</v>
      </c>
      <c r="F391" s="77" t="s">
        <v>382</v>
      </c>
      <c r="G391" s="25">
        <f t="shared" si="8"/>
        <v>2.2460233653476269E-3</v>
      </c>
      <c r="I391" s="78">
        <v>98.22</v>
      </c>
      <c r="J391" s="78">
        <v>98.482900000000001</v>
      </c>
      <c r="K391" s="78">
        <v>97.02</v>
      </c>
      <c r="L391" s="78">
        <v>98.42</v>
      </c>
      <c r="M391" s="78">
        <v>782831</v>
      </c>
      <c r="N391" s="78" t="s">
        <v>382</v>
      </c>
      <c r="O391" s="25">
        <f t="shared" si="9"/>
        <v>-2.0321072952652619E-3</v>
      </c>
    </row>
    <row r="392" spans="1:15">
      <c r="A392" s="77">
        <v>589.5367247475458</v>
      </c>
      <c r="B392" s="77">
        <v>590.43610181296117</v>
      </c>
      <c r="C392" s="77">
        <v>588.08388487264403</v>
      </c>
      <c r="D392" s="77">
        <v>589.34894272289864</v>
      </c>
      <c r="E392" s="77">
        <v>9559890.9074128233</v>
      </c>
      <c r="F392" s="77" t="s">
        <v>383</v>
      </c>
      <c r="G392" s="25">
        <f t="shared" si="8"/>
        <v>3.1862621790668122E-4</v>
      </c>
      <c r="I392" s="78">
        <v>98.18</v>
      </c>
      <c r="J392" s="78">
        <v>98.67</v>
      </c>
      <c r="K392" s="78">
        <v>96.8</v>
      </c>
      <c r="L392" s="78">
        <v>98.67</v>
      </c>
      <c r="M392" s="78">
        <v>1074834</v>
      </c>
      <c r="N392" s="78" t="s">
        <v>383</v>
      </c>
      <c r="O392" s="25">
        <f t="shared" si="9"/>
        <v>-4.9660484443092567E-3</v>
      </c>
    </row>
    <row r="393" spans="1:15">
      <c r="A393" s="77">
        <v>588.01470202145833</v>
      </c>
      <c r="B393" s="77">
        <v>592.60053672863114</v>
      </c>
      <c r="C393" s="77">
        <v>584.54567619771331</v>
      </c>
      <c r="D393" s="77">
        <v>591.91859148122819</v>
      </c>
      <c r="E393" s="77">
        <v>6700346.8642119467</v>
      </c>
      <c r="F393" s="77" t="s">
        <v>384</v>
      </c>
      <c r="G393" s="25">
        <f t="shared" si="8"/>
        <v>-6.5953148219262125E-3</v>
      </c>
      <c r="I393" s="78">
        <v>98.93</v>
      </c>
      <c r="J393" s="78">
        <v>100.82</v>
      </c>
      <c r="K393" s="78">
        <v>97.37</v>
      </c>
      <c r="L393" s="78">
        <v>98.15</v>
      </c>
      <c r="M393" s="78">
        <v>1520100</v>
      </c>
      <c r="N393" s="78" t="s">
        <v>384</v>
      </c>
      <c r="O393" s="25">
        <f t="shared" si="9"/>
        <v>7.9470198675497539E-3</v>
      </c>
    </row>
    <row r="394" spans="1:15">
      <c r="A394" s="77">
        <v>589.6256741276419</v>
      </c>
      <c r="B394" s="77">
        <v>589.80357288783387</v>
      </c>
      <c r="C394" s="77">
        <v>584.69392516454002</v>
      </c>
      <c r="D394" s="77">
        <v>585.55376917213493</v>
      </c>
      <c r="E394" s="77">
        <v>8107115.8587222453</v>
      </c>
      <c r="F394" s="77" t="s">
        <v>385</v>
      </c>
      <c r="G394" s="25">
        <f t="shared" si="8"/>
        <v>6.9539385960470934E-3</v>
      </c>
      <c r="I394" s="78">
        <v>97.68</v>
      </c>
      <c r="J394" s="78">
        <v>97.919899999999998</v>
      </c>
      <c r="K394" s="78">
        <v>93.944000000000003</v>
      </c>
      <c r="L394" s="78">
        <v>95.86</v>
      </c>
      <c r="M394" s="78">
        <v>1136994</v>
      </c>
      <c r="N394" s="78" t="s">
        <v>385</v>
      </c>
      <c r="O394" s="25">
        <f t="shared" si="9"/>
        <v>1.8986021281034882E-2</v>
      </c>
    </row>
    <row r="395" spans="1:15">
      <c r="A395" s="77">
        <v>584.81252433800137</v>
      </c>
      <c r="B395" s="77">
        <v>585.31657082521224</v>
      </c>
      <c r="C395" s="77">
        <v>581.90684458819783</v>
      </c>
      <c r="D395" s="77">
        <v>583.91314727258589</v>
      </c>
      <c r="E395" s="77">
        <v>6748655.8012204012</v>
      </c>
      <c r="F395" s="77" t="s">
        <v>386</v>
      </c>
      <c r="G395" s="25">
        <f t="shared" si="8"/>
        <v>1.5402582894672445E-3</v>
      </c>
      <c r="I395" s="78">
        <v>96.07</v>
      </c>
      <c r="J395" s="78">
        <v>98.05</v>
      </c>
      <c r="K395" s="78">
        <v>95.8</v>
      </c>
      <c r="L395" s="78">
        <v>97.52</v>
      </c>
      <c r="M395" s="78">
        <v>1162732</v>
      </c>
      <c r="N395" s="78" t="s">
        <v>386</v>
      </c>
      <c r="O395" s="25">
        <f t="shared" si="9"/>
        <v>-1.4868744872846618E-2</v>
      </c>
    </row>
    <row r="396" spans="1:15">
      <c r="A396" s="77">
        <v>581.83766173701213</v>
      </c>
      <c r="B396" s="77">
        <v>581.926611117108</v>
      </c>
      <c r="C396" s="77">
        <v>576.8564964516346</v>
      </c>
      <c r="D396" s="77">
        <v>579.21859665640682</v>
      </c>
      <c r="E396" s="77">
        <v>11194339.734858856</v>
      </c>
      <c r="F396" s="77" t="s">
        <v>387</v>
      </c>
      <c r="G396" s="25">
        <f t="shared" si="8"/>
        <v>4.5217213254618027E-3</v>
      </c>
      <c r="I396" s="78">
        <v>97.82</v>
      </c>
      <c r="J396" s="78">
        <v>99.3309</v>
      </c>
      <c r="K396" s="78">
        <v>95.44</v>
      </c>
      <c r="L396" s="78">
        <v>98.69</v>
      </c>
      <c r="M396" s="78">
        <v>1204765</v>
      </c>
      <c r="N396" s="78" t="s">
        <v>387</v>
      </c>
      <c r="O396" s="25">
        <f t="shared" si="9"/>
        <v>-8.8154828250076589E-3</v>
      </c>
    </row>
    <row r="397" spans="1:15">
      <c r="A397" s="77">
        <v>586.15664830389687</v>
      </c>
      <c r="B397" s="77">
        <v>588.59781462430999</v>
      </c>
      <c r="C397" s="77">
        <v>584.3430692763834</v>
      </c>
      <c r="D397" s="77">
        <v>588.29143342620148</v>
      </c>
      <c r="E397" s="77">
        <v>7569104.3520840062</v>
      </c>
      <c r="F397" s="77" t="s">
        <v>388</v>
      </c>
      <c r="G397" s="25">
        <f t="shared" si="8"/>
        <v>-3.6287883878771687E-3</v>
      </c>
      <c r="I397" s="78">
        <v>99.96</v>
      </c>
      <c r="J397" s="78">
        <v>100.435</v>
      </c>
      <c r="K397" s="78">
        <v>98.91</v>
      </c>
      <c r="L397" s="78">
        <v>99.19</v>
      </c>
      <c r="M397" s="78">
        <v>1009085</v>
      </c>
      <c r="N397" s="78" t="s">
        <v>388</v>
      </c>
      <c r="O397" s="25">
        <f t="shared" si="9"/>
        <v>7.762879322512406E-3</v>
      </c>
    </row>
    <row r="398" spans="1:15">
      <c r="A398" s="77">
        <v>589.55649127645597</v>
      </c>
      <c r="B398" s="77">
        <v>590.10007082148741</v>
      </c>
      <c r="C398" s="77">
        <v>586.34443032854404</v>
      </c>
      <c r="D398" s="77">
        <v>588.1234179304646</v>
      </c>
      <c r="E398" s="77">
        <v>5097488.8134185066</v>
      </c>
      <c r="F398" s="77" t="s">
        <v>389</v>
      </c>
      <c r="G398" s="25">
        <f t="shared" si="8"/>
        <v>2.4366881207249502E-3</v>
      </c>
      <c r="I398" s="78">
        <v>99.17</v>
      </c>
      <c r="J398" s="78">
        <v>100.0175</v>
      </c>
      <c r="K398" s="78">
        <v>97.82</v>
      </c>
      <c r="L398" s="78">
        <v>99.73</v>
      </c>
      <c r="M398" s="78">
        <v>1144880</v>
      </c>
      <c r="N398" s="78" t="s">
        <v>389</v>
      </c>
      <c r="O398" s="25">
        <f t="shared" si="9"/>
        <v>-5.615160934523189E-3</v>
      </c>
    </row>
    <row r="399" spans="1:15">
      <c r="A399" s="77">
        <v>587.4810057408821</v>
      </c>
      <c r="B399" s="77">
        <v>588.1926007816503</v>
      </c>
      <c r="C399" s="77">
        <v>585.52411937876957</v>
      </c>
      <c r="D399" s="77">
        <v>585.60318549441047</v>
      </c>
      <c r="E399" s="77">
        <v>6161490.4950247062</v>
      </c>
      <c r="F399" s="77" t="s">
        <v>390</v>
      </c>
      <c r="G399" s="25">
        <f t="shared" si="8"/>
        <v>3.20664281374472E-3</v>
      </c>
      <c r="I399" s="78">
        <v>99.54</v>
      </c>
      <c r="J399" s="78">
        <v>99.73</v>
      </c>
      <c r="K399" s="78">
        <v>98.1</v>
      </c>
      <c r="L399" s="78">
        <v>98.54</v>
      </c>
      <c r="M399" s="78">
        <v>1168941</v>
      </c>
      <c r="N399" s="78" t="s">
        <v>390</v>
      </c>
      <c r="O399" s="25">
        <f t="shared" si="9"/>
        <v>1.0148163182464032E-2</v>
      </c>
    </row>
    <row r="400" spans="1:15">
      <c r="A400" s="77">
        <v>586.13688177498659</v>
      </c>
      <c r="B400" s="77">
        <v>586.50256255982583</v>
      </c>
      <c r="C400" s="77">
        <v>582.90999593039191</v>
      </c>
      <c r="D400" s="77">
        <v>583.48816690101603</v>
      </c>
      <c r="E400" s="77">
        <v>4802918.1264534742</v>
      </c>
      <c r="F400" s="77" t="s">
        <v>391</v>
      </c>
      <c r="G400" s="25">
        <f t="shared" si="8"/>
        <v>4.5394491683323768E-3</v>
      </c>
      <c r="I400" s="78">
        <v>98.73</v>
      </c>
      <c r="J400" s="78">
        <v>100.83</v>
      </c>
      <c r="K400" s="78">
        <v>98.51</v>
      </c>
      <c r="L400" s="78">
        <v>99.8</v>
      </c>
      <c r="M400" s="78">
        <v>1799861</v>
      </c>
      <c r="N400" s="78" t="s">
        <v>391</v>
      </c>
      <c r="O400" s="25">
        <f t="shared" si="9"/>
        <v>-1.0721442885771482E-2</v>
      </c>
    </row>
    <row r="401" spans="1:15">
      <c r="A401" s="77">
        <v>583.80443136357974</v>
      </c>
      <c r="B401" s="77">
        <v>586.30479843807905</v>
      </c>
      <c r="C401" s="77">
        <v>583.65618239675302</v>
      </c>
      <c r="D401" s="77">
        <v>585.13867206502005</v>
      </c>
      <c r="E401" s="77">
        <v>6559608.9525313303</v>
      </c>
      <c r="F401" s="77" t="s">
        <v>392</v>
      </c>
      <c r="G401" s="25">
        <f t="shared" si="8"/>
        <v>-2.2802128198630145E-3</v>
      </c>
      <c r="I401" s="78">
        <v>99.66</v>
      </c>
      <c r="J401" s="78">
        <v>101.77</v>
      </c>
      <c r="K401" s="78">
        <v>99.465000000000003</v>
      </c>
      <c r="L401" s="78">
        <v>101.37</v>
      </c>
      <c r="M401" s="78">
        <v>1686442</v>
      </c>
      <c r="N401" s="78" t="s">
        <v>392</v>
      </c>
      <c r="O401" s="25">
        <f t="shared" si="9"/>
        <v>-1.6868896123113375E-2</v>
      </c>
    </row>
    <row r="402" spans="1:15">
      <c r="A402" s="77">
        <v>586.28513074181342</v>
      </c>
      <c r="B402" s="77">
        <v>587.38217309633103</v>
      </c>
      <c r="C402" s="77">
        <v>579.0011648383944</v>
      </c>
      <c r="D402" s="77">
        <v>579.42614520996426</v>
      </c>
      <c r="E402" s="77">
        <v>6443763.6257974515</v>
      </c>
      <c r="F402" s="77" t="s">
        <v>393</v>
      </c>
      <c r="G402" s="25">
        <f t="shared" si="8"/>
        <v>1.1837549252051272E-2</v>
      </c>
      <c r="I402" s="78">
        <v>101.8</v>
      </c>
      <c r="J402" s="78">
        <v>103.65</v>
      </c>
      <c r="K402" s="78">
        <v>99.424999999999997</v>
      </c>
      <c r="L402" s="78">
        <v>100.05</v>
      </c>
      <c r="M402" s="78">
        <v>1963697</v>
      </c>
      <c r="N402" s="78" t="s">
        <v>393</v>
      </c>
      <c r="O402" s="25">
        <f t="shared" si="9"/>
        <v>1.7491254372813625E-2</v>
      </c>
    </row>
    <row r="403" spans="1:15">
      <c r="A403" s="77">
        <v>577.44949231894145</v>
      </c>
      <c r="B403" s="77">
        <v>579.61392723461142</v>
      </c>
      <c r="C403" s="77">
        <v>575.84840347721297</v>
      </c>
      <c r="D403" s="77">
        <v>578.10178777297892</v>
      </c>
      <c r="E403" s="77">
        <v>4864057.8442809507</v>
      </c>
      <c r="F403" s="77" t="s">
        <v>394</v>
      </c>
      <c r="G403" s="25">
        <f t="shared" si="8"/>
        <v>-1.1283401432649054E-3</v>
      </c>
      <c r="I403" s="78">
        <v>99.29</v>
      </c>
      <c r="J403" s="78">
        <v>101.55</v>
      </c>
      <c r="K403" s="78">
        <v>99.08</v>
      </c>
      <c r="L403" s="78">
        <v>99.65</v>
      </c>
      <c r="M403" s="78">
        <v>1257205</v>
      </c>
      <c r="N403" s="78" t="s">
        <v>394</v>
      </c>
      <c r="O403" s="25">
        <f t="shared" si="9"/>
        <v>-3.6126442548921611E-3</v>
      </c>
    </row>
    <row r="404" spans="1:15">
      <c r="A404" s="77">
        <v>579.73252640807289</v>
      </c>
      <c r="B404" s="77">
        <v>581.13594996069901</v>
      </c>
      <c r="C404" s="77">
        <v>575.05774232080398</v>
      </c>
      <c r="D404" s="77">
        <v>580.94816793605173</v>
      </c>
      <c r="E404" s="77">
        <v>7137587.0108887851</v>
      </c>
      <c r="F404" s="77" t="s">
        <v>395</v>
      </c>
      <c r="G404" s="25">
        <f t="shared" si="8"/>
        <v>-2.0925128868168885E-3</v>
      </c>
      <c r="I404" s="78">
        <v>100.8</v>
      </c>
      <c r="J404" s="78">
        <v>101.19</v>
      </c>
      <c r="K404" s="78">
        <v>99.25</v>
      </c>
      <c r="L404" s="78">
        <v>101.14</v>
      </c>
      <c r="M404" s="78">
        <v>1433048</v>
      </c>
      <c r="N404" s="78" t="s">
        <v>395</v>
      </c>
      <c r="O404" s="25">
        <f t="shared" si="9"/>
        <v>-3.3616768835278421E-3</v>
      </c>
    </row>
    <row r="405" spans="1:15">
      <c r="A405" s="77">
        <v>581.26443239861544</v>
      </c>
      <c r="B405" s="77">
        <v>585.20785491620597</v>
      </c>
      <c r="C405" s="77">
        <v>580.08832392845693</v>
      </c>
      <c r="D405" s="77">
        <v>584.34801090861095</v>
      </c>
      <c r="E405" s="77">
        <v>6768609.7345483676</v>
      </c>
      <c r="F405" s="77" t="s">
        <v>396</v>
      </c>
      <c r="G405" s="25">
        <f t="shared" si="8"/>
        <v>-5.2769556025369369E-3</v>
      </c>
      <c r="I405" s="78">
        <v>101.6</v>
      </c>
      <c r="J405" s="78">
        <v>102.8</v>
      </c>
      <c r="K405" s="78">
        <v>100.25</v>
      </c>
      <c r="L405" s="78">
        <v>100.82</v>
      </c>
      <c r="M405" s="78">
        <v>1024595</v>
      </c>
      <c r="N405" s="78" t="s">
        <v>396</v>
      </c>
      <c r="O405" s="25">
        <f t="shared" si="9"/>
        <v>7.7365602063081962E-3</v>
      </c>
    </row>
    <row r="406" spans="1:15">
      <c r="A406" s="77">
        <v>584.45672681761732</v>
      </c>
      <c r="B406" s="77">
        <v>585.10902227165479</v>
      </c>
      <c r="C406" s="77">
        <v>583.45851710765078</v>
      </c>
      <c r="D406" s="77">
        <v>584.081162768323</v>
      </c>
      <c r="E406" s="77">
        <v>5374482.3121185713</v>
      </c>
      <c r="F406" s="77" t="s">
        <v>397</v>
      </c>
      <c r="G406" s="25">
        <f t="shared" si="8"/>
        <v>6.4299976310544515E-4</v>
      </c>
      <c r="I406" s="78">
        <v>100.53</v>
      </c>
      <c r="J406" s="78">
        <v>101.035</v>
      </c>
      <c r="K406" s="78">
        <v>99.39</v>
      </c>
      <c r="L406" s="78">
        <v>100.77</v>
      </c>
      <c r="M406" s="78">
        <v>1211463</v>
      </c>
      <c r="N406" s="78" t="s">
        <v>397</v>
      </c>
      <c r="O406" s="25">
        <f t="shared" si="9"/>
        <v>-2.3816612086929867E-3</v>
      </c>
    </row>
    <row r="407" spans="1:15">
      <c r="A407" s="77">
        <v>584.66427537117465</v>
      </c>
      <c r="B407" s="77">
        <v>587.01649231149179</v>
      </c>
      <c r="C407" s="77">
        <v>583.76489830575929</v>
      </c>
      <c r="D407" s="77">
        <v>586.92754293139581</v>
      </c>
      <c r="E407" s="77">
        <v>7281313.8135511372</v>
      </c>
      <c r="F407" s="77" t="s">
        <v>398</v>
      </c>
      <c r="G407" s="25">
        <f t="shared" si="8"/>
        <v>-3.8561277068670519E-3</v>
      </c>
      <c r="I407" s="78">
        <v>100.11</v>
      </c>
      <c r="J407" s="78">
        <v>101.675</v>
      </c>
      <c r="K407" s="78">
        <v>99.82</v>
      </c>
      <c r="L407" s="78">
        <v>100.63</v>
      </c>
      <c r="M407" s="78">
        <v>1534869</v>
      </c>
      <c r="N407" s="78" t="s">
        <v>398</v>
      </c>
      <c r="O407" s="25">
        <f t="shared" si="9"/>
        <v>-5.1674450958958396E-3</v>
      </c>
    </row>
    <row r="408" spans="1:15">
      <c r="A408" s="77">
        <v>585.92933322142926</v>
      </c>
      <c r="B408" s="77">
        <v>586.58162867546673</v>
      </c>
      <c r="C408" s="77">
        <v>583.60676607447749</v>
      </c>
      <c r="D408" s="77">
        <v>584.02186318159215</v>
      </c>
      <c r="E408" s="77">
        <v>6310329.9808728099</v>
      </c>
      <c r="F408" s="77" t="s">
        <v>399</v>
      </c>
      <c r="G408" s="25">
        <f t="shared" si="8"/>
        <v>3.2660935490422816E-3</v>
      </c>
      <c r="I408" s="78">
        <v>100.09</v>
      </c>
      <c r="J408" s="78">
        <v>100.6125</v>
      </c>
      <c r="K408" s="78">
        <v>98.85</v>
      </c>
      <c r="L408" s="78">
        <v>99.86</v>
      </c>
      <c r="M408" s="78">
        <v>1314361</v>
      </c>
      <c r="N408" s="78" t="s">
        <v>399</v>
      </c>
      <c r="O408" s="25">
        <f t="shared" si="9"/>
        <v>2.3032245143201902E-3</v>
      </c>
    </row>
    <row r="409" spans="1:15">
      <c r="A409" s="77">
        <v>585.91944995697418</v>
      </c>
      <c r="B409" s="77">
        <v>587.09555842713269</v>
      </c>
      <c r="C409" s="77">
        <v>583.91314727258589</v>
      </c>
      <c r="D409" s="77">
        <v>585.93921648588434</v>
      </c>
      <c r="E409" s="77">
        <v>5456671.7550591268</v>
      </c>
      <c r="F409" s="77" t="s">
        <v>400</v>
      </c>
      <c r="G409" s="25">
        <f t="shared" si="8"/>
        <v>-3.3734777181715359E-5</v>
      </c>
      <c r="I409" s="78">
        <v>101.11</v>
      </c>
      <c r="J409" s="78">
        <v>101.37</v>
      </c>
      <c r="K409" s="78">
        <v>98.022599999999997</v>
      </c>
      <c r="L409" s="78">
        <v>98.2</v>
      </c>
      <c r="M409" s="78">
        <v>1671131</v>
      </c>
      <c r="N409" s="78" t="s">
        <v>400</v>
      </c>
      <c r="O409" s="25">
        <f t="shared" si="9"/>
        <v>2.963340122199587E-2</v>
      </c>
    </row>
    <row r="410" spans="1:15">
      <c r="A410" s="77">
        <v>583.88349747922064</v>
      </c>
      <c r="B410" s="77">
        <v>584.06139623941272</v>
      </c>
      <c r="C410" s="77">
        <v>578.60089262796225</v>
      </c>
      <c r="D410" s="77">
        <v>579.90054190380977</v>
      </c>
      <c r="E410" s="77">
        <v>5943628.2684517978</v>
      </c>
      <c r="F410" s="77" t="s">
        <v>401</v>
      </c>
      <c r="G410" s="25">
        <f t="shared" si="8"/>
        <v>6.8683425649764818E-3</v>
      </c>
      <c r="I410" s="78">
        <v>97.38</v>
      </c>
      <c r="J410" s="78">
        <v>98.13</v>
      </c>
      <c r="K410" s="78">
        <v>94.385000000000005</v>
      </c>
      <c r="L410" s="78">
        <v>94.52</v>
      </c>
      <c r="M410" s="78">
        <v>1491083</v>
      </c>
      <c r="N410" s="78" t="s">
        <v>401</v>
      </c>
      <c r="O410" s="25">
        <f t="shared" si="9"/>
        <v>3.0258146424037236E-2</v>
      </c>
    </row>
    <row r="411" spans="1:15">
      <c r="A411" s="77">
        <v>577.71634045922951</v>
      </c>
      <c r="B411" s="77">
        <v>580.50342103557171</v>
      </c>
      <c r="C411" s="77">
        <v>576.6291813691671</v>
      </c>
      <c r="D411" s="77">
        <v>579.18894686304145</v>
      </c>
      <c r="E411" s="77">
        <v>5437423.0543020032</v>
      </c>
      <c r="F411" s="77" t="s">
        <v>402</v>
      </c>
      <c r="G411" s="25">
        <f t="shared" si="8"/>
        <v>-2.5425319522890399E-3</v>
      </c>
      <c r="I411" s="78">
        <v>94.78</v>
      </c>
      <c r="J411" s="78">
        <v>95.69</v>
      </c>
      <c r="K411" s="78">
        <v>93.98</v>
      </c>
      <c r="L411" s="78">
        <v>94.27</v>
      </c>
      <c r="M411" s="78">
        <v>1481843</v>
      </c>
      <c r="N411" s="78" t="s">
        <v>402</v>
      </c>
      <c r="O411" s="25">
        <f t="shared" si="9"/>
        <v>5.4099925745201283E-3</v>
      </c>
    </row>
    <row r="412" spans="1:15">
      <c r="A412" s="77">
        <v>578.90233219384322</v>
      </c>
      <c r="B412" s="77">
        <v>579.32731256541308</v>
      </c>
      <c r="C412" s="77">
        <v>575.79898715493744</v>
      </c>
      <c r="D412" s="77">
        <v>576.12513488195611</v>
      </c>
      <c r="E412" s="77">
        <v>4393630.282505624</v>
      </c>
      <c r="F412" s="77" t="s">
        <v>403</v>
      </c>
      <c r="G412" s="25">
        <f t="shared" si="8"/>
        <v>4.8204758718888296E-3</v>
      </c>
      <c r="I412" s="78">
        <v>94.56</v>
      </c>
      <c r="J412" s="78">
        <v>96.22</v>
      </c>
      <c r="K412" s="78">
        <v>93.32</v>
      </c>
      <c r="L412" s="78">
        <v>95.984999999999999</v>
      </c>
      <c r="M412" s="78">
        <v>1361728</v>
      </c>
      <c r="N412" s="78" t="s">
        <v>403</v>
      </c>
      <c r="O412" s="25">
        <f t="shared" si="9"/>
        <v>-1.4846069698390307E-2</v>
      </c>
    </row>
    <row r="413" spans="1:15">
      <c r="A413" s="77">
        <v>574.50427951131746</v>
      </c>
      <c r="B413" s="77">
        <v>578.68490037583069</v>
      </c>
      <c r="C413" s="77">
        <v>571.56173518509638</v>
      </c>
      <c r="D413" s="77">
        <v>578.04248818624831</v>
      </c>
      <c r="E413" s="77">
        <v>4648524.8076335527</v>
      </c>
      <c r="F413" s="77" t="s">
        <v>404</v>
      </c>
      <c r="G413" s="25">
        <f t="shared" si="8"/>
        <v>-6.1210183459573519E-3</v>
      </c>
      <c r="I413" s="78">
        <v>95.5</v>
      </c>
      <c r="J413" s="78">
        <v>96.49</v>
      </c>
      <c r="K413" s="78">
        <v>94</v>
      </c>
      <c r="L413" s="78">
        <v>95.39</v>
      </c>
      <c r="M413" s="78">
        <v>1324695</v>
      </c>
      <c r="N413" s="78" t="s">
        <v>404</v>
      </c>
      <c r="O413" s="25">
        <f t="shared" si="9"/>
        <v>1.1531607086696649E-3</v>
      </c>
    </row>
    <row r="414" spans="1:15">
      <c r="A414" s="77">
        <v>574.85019376724654</v>
      </c>
      <c r="B414" s="77">
        <v>575.47283942791864</v>
      </c>
      <c r="C414" s="77">
        <v>570.66957290273331</v>
      </c>
      <c r="D414" s="77">
        <v>571.49976711696286</v>
      </c>
      <c r="E414" s="77">
        <v>4598698.1534712035</v>
      </c>
      <c r="F414" s="77" t="s">
        <v>405</v>
      </c>
      <c r="G414" s="25">
        <f t="shared" si="8"/>
        <v>5.8625162127108332E-3</v>
      </c>
      <c r="I414" s="78">
        <v>94.43</v>
      </c>
      <c r="J414" s="78">
        <v>98.385000000000005</v>
      </c>
      <c r="K414" s="78">
        <v>92.7</v>
      </c>
      <c r="L414" s="78">
        <v>98.094999999999999</v>
      </c>
      <c r="M414" s="78">
        <v>2152452</v>
      </c>
      <c r="N414" s="78" t="s">
        <v>405</v>
      </c>
      <c r="O414" s="25">
        <f t="shared" si="9"/>
        <v>-3.7361741169274598E-2</v>
      </c>
    </row>
    <row r="415" spans="1:15">
      <c r="A415" s="77">
        <v>570.61027331600269</v>
      </c>
      <c r="B415" s="77">
        <v>574.71182806487491</v>
      </c>
      <c r="C415" s="77">
        <v>569.67136319276676</v>
      </c>
      <c r="D415" s="77">
        <v>574.01011628856179</v>
      </c>
      <c r="E415" s="77">
        <v>4702273.2429215647</v>
      </c>
      <c r="F415" s="77" t="s">
        <v>406</v>
      </c>
      <c r="G415" s="25">
        <f t="shared" si="8"/>
        <v>-5.9229669932332474E-3</v>
      </c>
      <c r="I415" s="78">
        <v>97.76</v>
      </c>
      <c r="J415" s="78">
        <v>99.54</v>
      </c>
      <c r="K415" s="78">
        <v>97.6</v>
      </c>
      <c r="L415" s="78">
        <v>98.45</v>
      </c>
      <c r="M415" s="78">
        <v>2487855</v>
      </c>
      <c r="N415" s="78" t="s">
        <v>406</v>
      </c>
      <c r="O415" s="25">
        <f t="shared" si="9"/>
        <v>-7.0086338242763002E-3</v>
      </c>
    </row>
    <row r="416" spans="1:15">
      <c r="A416" s="77">
        <v>573.3677040989794</v>
      </c>
      <c r="B416" s="77">
        <v>573.43688695016522</v>
      </c>
      <c r="C416" s="77">
        <v>568.36677228469182</v>
      </c>
      <c r="D416" s="77">
        <v>568.4557216647878</v>
      </c>
      <c r="E416" s="77">
        <v>6718517.9857898047</v>
      </c>
      <c r="F416" s="77" t="s">
        <v>407</v>
      </c>
      <c r="G416" s="25">
        <f t="shared" si="8"/>
        <v>8.6409235530364725E-3</v>
      </c>
      <c r="I416" s="78">
        <v>98.44</v>
      </c>
      <c r="J416" s="78">
        <v>98.474999999999994</v>
      </c>
      <c r="K416" s="78">
        <v>94</v>
      </c>
      <c r="L416" s="78">
        <v>95.03</v>
      </c>
      <c r="M416" s="78">
        <v>2360556</v>
      </c>
      <c r="N416" s="78" t="s">
        <v>407</v>
      </c>
      <c r="O416" s="25">
        <f t="shared" si="9"/>
        <v>3.5883405240450417E-2</v>
      </c>
    </row>
    <row r="417" spans="1:15">
      <c r="A417" s="77">
        <v>564.77914728748544</v>
      </c>
      <c r="B417" s="77">
        <v>569.01906773872929</v>
      </c>
      <c r="C417" s="77">
        <v>562.64436216518072</v>
      </c>
      <c r="D417" s="77">
        <v>569.00918447427421</v>
      </c>
      <c r="E417" s="77">
        <v>8884973.2190018333</v>
      </c>
      <c r="F417" s="77" t="s">
        <v>408</v>
      </c>
      <c r="G417" s="25">
        <f t="shared" si="8"/>
        <v>-7.4340402619282875E-3</v>
      </c>
      <c r="I417" s="78">
        <v>94.66</v>
      </c>
      <c r="J417" s="78">
        <v>99.9</v>
      </c>
      <c r="K417" s="78">
        <v>92.19</v>
      </c>
      <c r="L417" s="78">
        <v>92.608000000000004</v>
      </c>
      <c r="M417" s="78">
        <v>4770060</v>
      </c>
      <c r="N417" s="78" t="s">
        <v>408</v>
      </c>
      <c r="O417" s="25">
        <f t="shared" si="9"/>
        <v>2.2157912923289391E-2</v>
      </c>
    </row>
    <row r="418" spans="1:15">
      <c r="A418" s="77">
        <v>574.2374313710294</v>
      </c>
      <c r="B418" s="77">
        <v>581.29546584900447</v>
      </c>
      <c r="C418" s="77">
        <v>573.07120616532609</v>
      </c>
      <c r="D418" s="77">
        <v>580.96793446496213</v>
      </c>
      <c r="E418" s="77">
        <v>7130076.3345998805</v>
      </c>
      <c r="F418" s="77" t="s">
        <v>409</v>
      </c>
      <c r="G418" s="25">
        <f t="shared" si="8"/>
        <v>-1.1584982052634474E-2</v>
      </c>
      <c r="I418" s="78">
        <v>102.71</v>
      </c>
      <c r="J418" s="78">
        <v>107.63</v>
      </c>
      <c r="K418" s="78">
        <v>102.29</v>
      </c>
      <c r="L418" s="78">
        <v>105.5</v>
      </c>
      <c r="M418" s="78">
        <v>3421101</v>
      </c>
      <c r="N418" s="78" t="s">
        <v>409</v>
      </c>
      <c r="O418" s="25">
        <f t="shared" si="9"/>
        <v>-2.6445497630331771E-2</v>
      </c>
    </row>
    <row r="419" spans="1:15">
      <c r="A419" s="77">
        <v>576.40186628669949</v>
      </c>
      <c r="B419" s="77">
        <v>579.30754603650291</v>
      </c>
      <c r="C419" s="77">
        <v>573.77291794163909</v>
      </c>
      <c r="D419" s="77">
        <v>577.83493963269086</v>
      </c>
      <c r="E419" s="77">
        <v>7057110.5647092592</v>
      </c>
      <c r="F419" s="77" t="s">
        <v>410</v>
      </c>
      <c r="G419" s="25">
        <f t="shared" si="8"/>
        <v>-2.4800738890976559E-3</v>
      </c>
      <c r="I419" s="78">
        <v>106.66</v>
      </c>
      <c r="J419" s="78">
        <v>109.59</v>
      </c>
      <c r="K419" s="78">
        <v>105.69</v>
      </c>
      <c r="L419" s="78">
        <v>109.07</v>
      </c>
      <c r="M419" s="78">
        <v>1713495</v>
      </c>
      <c r="N419" s="78" t="s">
        <v>410</v>
      </c>
      <c r="O419" s="25">
        <f t="shared" si="9"/>
        <v>-2.209590171449527E-2</v>
      </c>
    </row>
    <row r="420" spans="1:15">
      <c r="A420" s="77">
        <v>577.10357806301249</v>
      </c>
      <c r="B420" s="77">
        <v>580.22668963082856</v>
      </c>
      <c r="C420" s="77">
        <v>576.31291690660339</v>
      </c>
      <c r="D420" s="77">
        <v>579.96972475499558</v>
      </c>
      <c r="E420" s="77">
        <v>5092758.5949555356</v>
      </c>
      <c r="F420" s="77" t="s">
        <v>411</v>
      </c>
      <c r="G420" s="25">
        <f t="shared" si="8"/>
        <v>-4.9418901877918975E-3</v>
      </c>
      <c r="I420" s="78">
        <v>108.71</v>
      </c>
      <c r="J420" s="78">
        <v>109.76</v>
      </c>
      <c r="K420" s="78">
        <v>106.935</v>
      </c>
      <c r="L420" s="78">
        <v>109.76</v>
      </c>
      <c r="M420" s="78">
        <v>2173033</v>
      </c>
      <c r="N420" s="78" t="s">
        <v>411</v>
      </c>
      <c r="O420" s="25">
        <f t="shared" si="9"/>
        <v>-9.5663265306124012E-3</v>
      </c>
    </row>
    <row r="421" spans="1:15">
      <c r="A421" s="77">
        <v>578.60583426018991</v>
      </c>
      <c r="B421" s="77">
        <v>579.65346029243187</v>
      </c>
      <c r="C421" s="77">
        <v>577.4198425255762</v>
      </c>
      <c r="D421" s="77">
        <v>579.19883012749665</v>
      </c>
      <c r="E421" s="77">
        <v>4219110.010602193</v>
      </c>
      <c r="F421" s="77" t="s">
        <v>412</v>
      </c>
      <c r="G421" s="25">
        <f t="shared" si="8"/>
        <v>-1.0238208995971831E-3</v>
      </c>
      <c r="I421" s="78">
        <v>109.88</v>
      </c>
      <c r="J421" s="78">
        <v>111</v>
      </c>
      <c r="K421" s="78">
        <v>108.62</v>
      </c>
      <c r="L421" s="78">
        <v>109.4</v>
      </c>
      <c r="M421" s="78">
        <v>1525892</v>
      </c>
      <c r="N421" s="78" t="s">
        <v>412</v>
      </c>
      <c r="O421" s="25">
        <f t="shared" si="9"/>
        <v>4.3875685557586142E-3</v>
      </c>
    </row>
    <row r="422" spans="1:15">
      <c r="A422" s="77">
        <v>578.74419996256142</v>
      </c>
      <c r="B422" s="77">
        <v>579.19883012749665</v>
      </c>
      <c r="C422" s="77">
        <v>576.77743033599381</v>
      </c>
      <c r="D422" s="77">
        <v>576.99486215400623</v>
      </c>
      <c r="E422" s="77">
        <v>3226728.3896768284</v>
      </c>
      <c r="F422" s="77" t="s">
        <v>413</v>
      </c>
      <c r="G422" s="25">
        <f t="shared" si="8"/>
        <v>3.0318082937943469E-3</v>
      </c>
      <c r="I422" s="78">
        <v>109.3</v>
      </c>
      <c r="J422" s="78">
        <v>110.05</v>
      </c>
      <c r="K422" s="78">
        <v>106.4</v>
      </c>
      <c r="L422" s="78">
        <v>107.505</v>
      </c>
      <c r="M422" s="78">
        <v>1935971</v>
      </c>
      <c r="N422" s="78" t="s">
        <v>413</v>
      </c>
      <c r="O422" s="25">
        <f t="shared" si="9"/>
        <v>1.6696897818706091E-2</v>
      </c>
    </row>
    <row r="423" spans="1:15">
      <c r="A423" s="77">
        <v>576.45128260897502</v>
      </c>
      <c r="B423" s="77">
        <v>577.92388901278696</v>
      </c>
      <c r="C423" s="77">
        <v>575.9175863283989</v>
      </c>
      <c r="D423" s="77">
        <v>576.53034872461592</v>
      </c>
      <c r="E423" s="77">
        <v>3886267.5560731259</v>
      </c>
      <c r="F423" s="77" t="s">
        <v>414</v>
      </c>
      <c r="G423" s="25">
        <f t="shared" si="8"/>
        <v>-1.3714128981379137E-4</v>
      </c>
      <c r="I423" s="78">
        <v>107.64</v>
      </c>
      <c r="J423" s="78">
        <v>108.75279999999999</v>
      </c>
      <c r="K423" s="78">
        <v>104.53400000000001</v>
      </c>
      <c r="L423" s="78">
        <v>104.61</v>
      </c>
      <c r="M423" s="78">
        <v>2051523</v>
      </c>
      <c r="N423" s="78" t="s">
        <v>414</v>
      </c>
      <c r="O423" s="25">
        <f t="shared" si="9"/>
        <v>2.8964726125609408E-2</v>
      </c>
    </row>
    <row r="424" spans="1:15">
      <c r="A424" s="77">
        <v>576.05595203077041</v>
      </c>
      <c r="B424" s="77">
        <v>576.15478467532159</v>
      </c>
      <c r="C424" s="77">
        <v>572.11252951317999</v>
      </c>
      <c r="D424" s="77">
        <v>573.79268447054937</v>
      </c>
      <c r="E424" s="77">
        <v>4307630.3576973584</v>
      </c>
      <c r="F424" s="77" t="s">
        <v>415</v>
      </c>
      <c r="G424" s="25">
        <f t="shared" si="8"/>
        <v>3.9443994694867701E-3</v>
      </c>
      <c r="I424" s="78">
        <v>104.61</v>
      </c>
      <c r="J424" s="78">
        <v>106.167</v>
      </c>
      <c r="K424" s="78">
        <v>102.79</v>
      </c>
      <c r="L424" s="78">
        <v>104.03</v>
      </c>
      <c r="M424" s="78">
        <v>3152123</v>
      </c>
      <c r="N424" s="78" t="s">
        <v>415</v>
      </c>
      <c r="O424" s="25">
        <f t="shared" si="9"/>
        <v>5.5753148130346375E-3</v>
      </c>
    </row>
    <row r="425" spans="1:15">
      <c r="A425" s="77">
        <v>571.20326918330954</v>
      </c>
      <c r="B425" s="77">
        <v>572.08287971981463</v>
      </c>
      <c r="C425" s="77">
        <v>568.92023509417811</v>
      </c>
      <c r="D425" s="77">
        <v>571.52941691032822</v>
      </c>
      <c r="E425" s="77">
        <v>4799708.6605787054</v>
      </c>
      <c r="F425" s="77" t="s">
        <v>416</v>
      </c>
      <c r="G425" s="25">
        <f t="shared" si="8"/>
        <v>-5.7065781282406025E-4</v>
      </c>
      <c r="I425" s="78">
        <v>102.03</v>
      </c>
      <c r="J425" s="78">
        <v>102.29</v>
      </c>
      <c r="K425" s="78">
        <v>95.111999999999995</v>
      </c>
      <c r="L425" s="78">
        <v>95.19</v>
      </c>
      <c r="M425" s="78">
        <v>2625991</v>
      </c>
      <c r="N425" s="78" t="s">
        <v>416</v>
      </c>
      <c r="O425" s="25">
        <f t="shared" si="9"/>
        <v>7.1856287425149823E-2</v>
      </c>
    </row>
    <row r="426" spans="1:15">
      <c r="A426" s="77">
        <v>571.20326918330954</v>
      </c>
      <c r="B426" s="77">
        <v>573.75315141272881</v>
      </c>
      <c r="C426" s="77">
        <v>570.84747166292539</v>
      </c>
      <c r="D426" s="77">
        <v>571.2329189766748</v>
      </c>
      <c r="E426" s="77">
        <v>5961802.4254639642</v>
      </c>
      <c r="F426" s="77" t="s">
        <v>417</v>
      </c>
      <c r="G426" s="25">
        <f t="shared" si="8"/>
        <v>-5.1904910204347843E-5</v>
      </c>
      <c r="I426" s="78">
        <v>94.795000000000002</v>
      </c>
      <c r="J426" s="78">
        <v>96.3399</v>
      </c>
      <c r="K426" s="78">
        <v>92.250100000000003</v>
      </c>
      <c r="L426" s="78">
        <v>94.99</v>
      </c>
      <c r="M426" s="78">
        <v>2918378</v>
      </c>
      <c r="N426" s="78" t="s">
        <v>417</v>
      </c>
      <c r="O426" s="25">
        <f t="shared" si="9"/>
        <v>-2.0528476681754837E-3</v>
      </c>
    </row>
    <row r="427" spans="1:15">
      <c r="A427" s="77">
        <v>570.18529294443272</v>
      </c>
      <c r="B427" s="77">
        <v>571.74684872834075</v>
      </c>
      <c r="C427" s="77">
        <v>569.11790038328047</v>
      </c>
      <c r="D427" s="77">
        <v>571.71719893497539</v>
      </c>
      <c r="E427" s="77">
        <v>4294276.4703659611</v>
      </c>
      <c r="F427" s="77" t="s">
        <v>418</v>
      </c>
      <c r="G427" s="25">
        <f t="shared" si="8"/>
        <v>-2.679482082044049E-3</v>
      </c>
      <c r="I427" s="78">
        <v>96.14</v>
      </c>
      <c r="J427" s="78">
        <v>99.334999999999994</v>
      </c>
      <c r="K427" s="78">
        <v>95.54</v>
      </c>
      <c r="L427" s="78">
        <v>98.96</v>
      </c>
      <c r="M427" s="78">
        <v>1874386</v>
      </c>
      <c r="N427" s="78" t="s">
        <v>418</v>
      </c>
      <c r="O427" s="25">
        <f t="shared" si="9"/>
        <v>-2.8496362166531841E-2</v>
      </c>
    </row>
    <row r="428" spans="1:15">
      <c r="A428" s="77">
        <v>570.4422578202657</v>
      </c>
      <c r="B428" s="77">
        <v>570.906771249656</v>
      </c>
      <c r="C428" s="77">
        <v>567.1017144344371</v>
      </c>
      <c r="D428" s="77">
        <v>567.31914625244974</v>
      </c>
      <c r="E428" s="77">
        <v>5455257.2426716974</v>
      </c>
      <c r="F428" s="77" t="s">
        <v>419</v>
      </c>
      <c r="G428" s="25">
        <f t="shared" si="8"/>
        <v>5.5050346677816275E-3</v>
      </c>
      <c r="I428" s="78">
        <v>97.93</v>
      </c>
      <c r="J428" s="78">
        <v>98.41</v>
      </c>
      <c r="K428" s="78">
        <v>96.17</v>
      </c>
      <c r="L428" s="78">
        <v>96.8</v>
      </c>
      <c r="M428" s="78">
        <v>1923186</v>
      </c>
      <c r="N428" s="78" t="s">
        <v>419</v>
      </c>
      <c r="O428" s="25">
        <f t="shared" si="9"/>
        <v>1.1673553719008467E-2</v>
      </c>
    </row>
    <row r="429" spans="1:15">
      <c r="A429" s="77">
        <v>567.04241484770648</v>
      </c>
      <c r="B429" s="77">
        <v>567.55634459937244</v>
      </c>
      <c r="C429" s="77">
        <v>561.53743654620803</v>
      </c>
      <c r="D429" s="77">
        <v>566.70638385623261</v>
      </c>
      <c r="E429" s="77">
        <v>6192136.2397961393</v>
      </c>
      <c r="F429" s="77" t="s">
        <v>420</v>
      </c>
      <c r="G429" s="25">
        <f t="shared" si="8"/>
        <v>5.9295430763861567E-4</v>
      </c>
      <c r="I429" s="78">
        <v>96.96</v>
      </c>
      <c r="J429" s="78">
        <v>98.36</v>
      </c>
      <c r="K429" s="78">
        <v>95.75</v>
      </c>
      <c r="L429" s="78">
        <v>97.9</v>
      </c>
      <c r="M429" s="78">
        <v>2248946</v>
      </c>
      <c r="N429" s="78" t="s">
        <v>420</v>
      </c>
      <c r="O429" s="25">
        <f t="shared" si="9"/>
        <v>-9.6016343207355748E-3</v>
      </c>
    </row>
    <row r="430" spans="1:15">
      <c r="A430" s="77">
        <v>565.18436113014513</v>
      </c>
      <c r="B430" s="77">
        <v>570.42249129135541</v>
      </c>
      <c r="C430" s="77">
        <v>565.17447786569005</v>
      </c>
      <c r="D430" s="77">
        <v>570.11611009324702</v>
      </c>
      <c r="E430" s="77">
        <v>5401320.6104566017</v>
      </c>
      <c r="F430" s="77" t="s">
        <v>421</v>
      </c>
      <c r="G430" s="25">
        <f t="shared" si="8"/>
        <v>-8.6504290543469864E-3</v>
      </c>
      <c r="I430" s="78">
        <v>97.15</v>
      </c>
      <c r="J430" s="78">
        <v>99.780900000000003</v>
      </c>
      <c r="K430" s="78">
        <v>96.68</v>
      </c>
      <c r="L430" s="78">
        <v>99</v>
      </c>
      <c r="M430" s="78">
        <v>1983826</v>
      </c>
      <c r="N430" s="78" t="s">
        <v>421</v>
      </c>
      <c r="O430" s="25">
        <f t="shared" si="9"/>
        <v>-1.8686868686868641E-2</v>
      </c>
    </row>
    <row r="431" spans="1:15">
      <c r="A431" s="77">
        <v>567.64529397946853</v>
      </c>
      <c r="B431" s="77">
        <v>567.9704533800417</v>
      </c>
      <c r="C431" s="77">
        <v>564.90762972540199</v>
      </c>
      <c r="D431" s="77">
        <v>566.1628043112014</v>
      </c>
      <c r="E431" s="77">
        <v>4775720.6350556882</v>
      </c>
      <c r="F431" s="77" t="s">
        <v>422</v>
      </c>
      <c r="G431" s="25">
        <f t="shared" si="8"/>
        <v>2.6184865147944603E-3</v>
      </c>
      <c r="I431" s="78">
        <v>98.53</v>
      </c>
      <c r="J431" s="78">
        <v>99.39</v>
      </c>
      <c r="K431" s="78">
        <v>97.32</v>
      </c>
      <c r="L431" s="78">
        <v>98.84</v>
      </c>
      <c r="M431" s="78">
        <v>2090164</v>
      </c>
      <c r="N431" s="78" t="s">
        <v>422</v>
      </c>
      <c r="O431" s="25">
        <f t="shared" si="9"/>
        <v>-3.1363820315661872E-3</v>
      </c>
    </row>
    <row r="432" spans="1:15">
      <c r="A432" s="77">
        <v>566.52848509604064</v>
      </c>
      <c r="B432" s="77">
        <v>567.67069396911813</v>
      </c>
      <c r="C432" s="77">
        <v>564.70008117184454</v>
      </c>
      <c r="D432" s="77">
        <v>565.7674737329969</v>
      </c>
      <c r="E432" s="77">
        <v>4466396.7255433667</v>
      </c>
      <c r="F432" s="77" t="s">
        <v>423</v>
      </c>
      <c r="G432" s="25">
        <f t="shared" si="8"/>
        <v>1.3450956415406168E-3</v>
      </c>
      <c r="I432" s="78">
        <v>99.25</v>
      </c>
      <c r="J432" s="78">
        <v>100.4</v>
      </c>
      <c r="K432" s="78">
        <v>97.7</v>
      </c>
      <c r="L432" s="78">
        <v>98.5</v>
      </c>
      <c r="M432" s="78">
        <v>1998561</v>
      </c>
      <c r="N432" s="78" t="s">
        <v>423</v>
      </c>
      <c r="O432" s="25">
        <f t="shared" si="9"/>
        <v>7.6142131979695105E-3</v>
      </c>
    </row>
    <row r="433" spans="1:15">
      <c r="A433" s="77">
        <v>568.57432083824915</v>
      </c>
      <c r="B433" s="77">
        <v>569.53299749039525</v>
      </c>
      <c r="C433" s="77">
        <v>566.01455534437468</v>
      </c>
      <c r="D433" s="77">
        <v>567.08194790552693</v>
      </c>
      <c r="E433" s="77">
        <v>4978394.5601638583</v>
      </c>
      <c r="F433" s="77" t="s">
        <v>424</v>
      </c>
      <c r="G433" s="25">
        <f t="shared" si="8"/>
        <v>2.6316706751716712E-3</v>
      </c>
      <c r="I433" s="78">
        <v>100.05</v>
      </c>
      <c r="J433" s="78">
        <v>101.28</v>
      </c>
      <c r="K433" s="78">
        <v>96.62</v>
      </c>
      <c r="L433" s="78">
        <v>97.08</v>
      </c>
      <c r="M433" s="78">
        <v>2136949</v>
      </c>
      <c r="N433" s="78" t="s">
        <v>424</v>
      </c>
      <c r="O433" s="25">
        <f t="shared" si="9"/>
        <v>3.0593325092707069E-2</v>
      </c>
    </row>
    <row r="434" spans="1:15">
      <c r="A434" s="77">
        <v>566.91393240979005</v>
      </c>
      <c r="B434" s="77">
        <v>567.55634459937244</v>
      </c>
      <c r="C434" s="77">
        <v>564.09720204008261</v>
      </c>
      <c r="D434" s="77">
        <v>565.77735699745199</v>
      </c>
      <c r="E434" s="77">
        <v>6913848.1834959984</v>
      </c>
      <c r="F434" s="77" t="s">
        <v>425</v>
      </c>
      <c r="G434" s="25">
        <f t="shared" si="8"/>
        <v>2.0088739824615232E-3</v>
      </c>
      <c r="I434" s="78">
        <v>97.44</v>
      </c>
      <c r="J434" s="78">
        <v>98.779899999999998</v>
      </c>
      <c r="K434" s="78">
        <v>95.094499999999996</v>
      </c>
      <c r="L434" s="78">
        <v>96.25</v>
      </c>
      <c r="M434" s="78">
        <v>3002625</v>
      </c>
      <c r="N434" s="78" t="s">
        <v>425</v>
      </c>
      <c r="O434" s="25">
        <f t="shared" si="9"/>
        <v>1.2363636363636354E-2</v>
      </c>
    </row>
    <row r="435" spans="1:15">
      <c r="A435" s="77">
        <v>563.57338902396157</v>
      </c>
      <c r="B435" s="77">
        <v>565.15471133677977</v>
      </c>
      <c r="C435" s="77">
        <v>562.832144189828</v>
      </c>
      <c r="D435" s="77">
        <v>564.48264935383202</v>
      </c>
      <c r="E435" s="77">
        <v>6998512.517208837</v>
      </c>
      <c r="F435" s="77" t="s">
        <v>426</v>
      </c>
      <c r="G435" s="25">
        <f t="shared" si="8"/>
        <v>-1.6107852578131077E-3</v>
      </c>
      <c r="I435" s="78">
        <v>99.27</v>
      </c>
      <c r="J435" s="78">
        <v>100.25</v>
      </c>
      <c r="K435" s="78">
        <v>97.04</v>
      </c>
      <c r="L435" s="78">
        <v>97.42</v>
      </c>
      <c r="M435" s="78">
        <v>1894791</v>
      </c>
      <c r="N435" s="78" t="s">
        <v>426</v>
      </c>
      <c r="O435" s="25">
        <f t="shared" si="9"/>
        <v>1.8989940463970401E-2</v>
      </c>
    </row>
    <row r="436" spans="1:15">
      <c r="A436" s="77">
        <v>563.94895307325589</v>
      </c>
      <c r="B436" s="77">
        <v>566.89416588087988</v>
      </c>
      <c r="C436" s="77">
        <v>561.34965452156086</v>
      </c>
      <c r="D436" s="77">
        <v>566.31105327802811</v>
      </c>
      <c r="E436" s="77">
        <v>6422884.8968170462</v>
      </c>
      <c r="F436" s="77" t="s">
        <v>427</v>
      </c>
      <c r="G436" s="25">
        <f t="shared" si="8"/>
        <v>-4.1710296684118742E-3</v>
      </c>
      <c r="I436" s="78">
        <v>97.15</v>
      </c>
      <c r="J436" s="78">
        <v>99.665000000000006</v>
      </c>
      <c r="K436" s="78">
        <v>96.56</v>
      </c>
      <c r="L436" s="78">
        <v>99.37</v>
      </c>
      <c r="M436" s="78">
        <v>2876110</v>
      </c>
      <c r="N436" s="78" t="s">
        <v>427</v>
      </c>
      <c r="O436" s="25">
        <f t="shared" si="9"/>
        <v>-2.2340746704236691E-2</v>
      </c>
    </row>
    <row r="437" spans="1:15">
      <c r="A437" s="77">
        <v>568.50513798706345</v>
      </c>
      <c r="B437" s="77">
        <v>568.94988488754348</v>
      </c>
      <c r="C437" s="77">
        <v>565.4512092704332</v>
      </c>
      <c r="D437" s="77">
        <v>565.50062559270873</v>
      </c>
      <c r="E437" s="77">
        <v>4891069.1623745253</v>
      </c>
      <c r="F437" s="77" t="s">
        <v>428</v>
      </c>
      <c r="G437" s="25">
        <f t="shared" si="8"/>
        <v>5.3130133873957597E-3</v>
      </c>
      <c r="I437" s="78">
        <v>100.8</v>
      </c>
      <c r="J437" s="78">
        <v>102.09</v>
      </c>
      <c r="K437" s="78">
        <v>100.0209</v>
      </c>
      <c r="L437" s="78">
        <v>100.82</v>
      </c>
      <c r="M437" s="78">
        <v>1423748</v>
      </c>
      <c r="N437" s="78" t="s">
        <v>428</v>
      </c>
      <c r="O437" s="25">
        <f t="shared" si="9"/>
        <v>-1.9837333862327E-4</v>
      </c>
    </row>
    <row r="438" spans="1:15">
      <c r="A438" s="77">
        <v>563.63268861069218</v>
      </c>
      <c r="B438" s="77">
        <v>563.68210493296783</v>
      </c>
      <c r="C438" s="77">
        <v>560.19331258031252</v>
      </c>
      <c r="D438" s="77">
        <v>560.74677538979893</v>
      </c>
      <c r="E438" s="77">
        <v>6206477.6550890049</v>
      </c>
      <c r="F438" s="77" t="s">
        <v>429</v>
      </c>
      <c r="G438" s="25">
        <f t="shared" si="8"/>
        <v>5.1465533954915266E-3</v>
      </c>
      <c r="I438" s="78">
        <v>100.34</v>
      </c>
      <c r="J438" s="78">
        <v>100.96</v>
      </c>
      <c r="K438" s="78">
        <v>97.924999999999997</v>
      </c>
      <c r="L438" s="78">
        <v>98.15</v>
      </c>
      <c r="M438" s="78">
        <v>2164887</v>
      </c>
      <c r="N438" s="78" t="s">
        <v>429</v>
      </c>
      <c r="O438" s="25">
        <f t="shared" si="9"/>
        <v>2.2312786551197172E-2</v>
      </c>
    </row>
    <row r="439" spans="1:15">
      <c r="A439" s="77">
        <v>561.14210596800353</v>
      </c>
      <c r="B439" s="77">
        <v>562.16008220688013</v>
      </c>
      <c r="C439" s="77">
        <v>559.19510287034598</v>
      </c>
      <c r="D439" s="77">
        <v>559.94623096893463</v>
      </c>
      <c r="E439" s="77">
        <v>7456392.6053672014</v>
      </c>
      <c r="F439" s="77" t="s">
        <v>430</v>
      </c>
      <c r="G439" s="25">
        <f t="shared" si="8"/>
        <v>2.1356961310365907E-3</v>
      </c>
      <c r="I439" s="78">
        <v>98.15</v>
      </c>
      <c r="J439" s="78">
        <v>100.15</v>
      </c>
      <c r="K439" s="78">
        <v>95.004999999999995</v>
      </c>
      <c r="L439" s="78">
        <v>95.004999999999995</v>
      </c>
      <c r="M439" s="78">
        <v>2882553</v>
      </c>
      <c r="N439" s="78" t="s">
        <v>430</v>
      </c>
      <c r="O439" s="25">
        <f t="shared" si="9"/>
        <v>3.3103520867322933E-2</v>
      </c>
    </row>
    <row r="440" spans="1:15">
      <c r="A440" s="77">
        <v>561.3990708438364</v>
      </c>
      <c r="B440" s="77">
        <v>562.50599646280921</v>
      </c>
      <c r="C440" s="77">
        <v>558.77506413100366</v>
      </c>
      <c r="D440" s="77">
        <v>560.87525782771547</v>
      </c>
      <c r="E440" s="77">
        <v>5786739.8226308748</v>
      </c>
      <c r="F440" s="77" t="s">
        <v>431</v>
      </c>
      <c r="G440" s="25">
        <f t="shared" si="8"/>
        <v>9.3392070484554779E-4</v>
      </c>
      <c r="I440" s="78">
        <v>95.41</v>
      </c>
      <c r="J440" s="78">
        <v>96.83</v>
      </c>
      <c r="K440" s="78">
        <v>94.16</v>
      </c>
      <c r="L440" s="78">
        <v>94.79</v>
      </c>
      <c r="M440" s="78">
        <v>1844607</v>
      </c>
      <c r="N440" s="78" t="s">
        <v>431</v>
      </c>
      <c r="O440" s="25">
        <f t="shared" si="9"/>
        <v>6.5407743432850385E-3</v>
      </c>
    </row>
    <row r="441" spans="1:15">
      <c r="A441" s="77">
        <v>558.60734512261058</v>
      </c>
      <c r="B441" s="77">
        <v>559.96703845759453</v>
      </c>
      <c r="C441" s="77">
        <v>554.92237912779876</v>
      </c>
      <c r="D441" s="77">
        <v>556.79442067596517</v>
      </c>
      <c r="E441" s="77">
        <v>6146976.6049107648</v>
      </c>
      <c r="F441" s="77" t="s">
        <v>432</v>
      </c>
      <c r="G441" s="25">
        <f t="shared" si="8"/>
        <v>3.2560032560033925E-3</v>
      </c>
      <c r="I441" s="78">
        <v>94.79</v>
      </c>
      <c r="J441" s="78">
        <v>95.69</v>
      </c>
      <c r="K441" s="78">
        <v>93.336299999999994</v>
      </c>
      <c r="L441" s="78">
        <v>94.79</v>
      </c>
      <c r="M441" s="78">
        <v>3837656</v>
      </c>
      <c r="N441" s="78" t="s">
        <v>432</v>
      </c>
      <c r="O441" s="25">
        <f t="shared" si="9"/>
        <v>0</v>
      </c>
    </row>
    <row r="442" spans="1:15">
      <c r="A442" s="77">
        <v>555.84854705162832</v>
      </c>
      <c r="B442" s="77">
        <v>556.24266106176867</v>
      </c>
      <c r="C442" s="77">
        <v>552.70548782075946</v>
      </c>
      <c r="D442" s="77">
        <v>553.25724743495584</v>
      </c>
      <c r="E442" s="77">
        <v>6172268.7786055068</v>
      </c>
      <c r="F442" s="77" t="s">
        <v>433</v>
      </c>
      <c r="G442" s="25">
        <f t="shared" si="8"/>
        <v>4.6837156290069348E-3</v>
      </c>
      <c r="I442" s="78">
        <v>94.16</v>
      </c>
      <c r="J442" s="78">
        <v>95.99</v>
      </c>
      <c r="K442" s="78">
        <v>92.76</v>
      </c>
      <c r="L442" s="78">
        <v>93.814999999999998</v>
      </c>
      <c r="M442" s="78">
        <v>2928705</v>
      </c>
      <c r="N442" s="78" t="s">
        <v>433</v>
      </c>
      <c r="O442" s="25">
        <f t="shared" si="9"/>
        <v>3.6774503011245407E-3</v>
      </c>
    </row>
    <row r="443" spans="1:15">
      <c r="A443" s="77">
        <v>551.48373438932458</v>
      </c>
      <c r="B443" s="77">
        <v>552.76460492228045</v>
      </c>
      <c r="C443" s="77">
        <v>550.12404105434052</v>
      </c>
      <c r="D443" s="77">
        <v>552.27196240960507</v>
      </c>
      <c r="E443" s="77">
        <v>16718314.575151458</v>
      </c>
      <c r="F443" s="77" t="s">
        <v>434</v>
      </c>
      <c r="G443" s="25">
        <f t="shared" si="8"/>
        <v>-1.4272461285946836E-3</v>
      </c>
      <c r="I443" s="78">
        <v>93.23</v>
      </c>
      <c r="J443" s="78">
        <v>95.57</v>
      </c>
      <c r="K443" s="78">
        <v>90.3001</v>
      </c>
      <c r="L443" s="78">
        <v>92.13</v>
      </c>
      <c r="M443" s="78">
        <v>3688289</v>
      </c>
      <c r="N443" s="78" t="s">
        <v>434</v>
      </c>
      <c r="O443" s="25">
        <f t="shared" si="9"/>
        <v>1.193965049386736E-2</v>
      </c>
    </row>
    <row r="444" spans="1:15">
      <c r="A444" s="77">
        <v>551.20785458222633</v>
      </c>
      <c r="B444" s="77">
        <v>552.18328675732357</v>
      </c>
      <c r="C444" s="77">
        <v>548.18302955439947</v>
      </c>
      <c r="D444" s="77">
        <v>548.9811104249336</v>
      </c>
      <c r="E444" s="77">
        <v>6871144.7203715621</v>
      </c>
      <c r="F444" s="77" t="s">
        <v>435</v>
      </c>
      <c r="G444" s="25">
        <f t="shared" ref="G444:G507" si="10">A444/D444-1</f>
        <v>4.0561398470870813E-3</v>
      </c>
      <c r="I444" s="78">
        <v>91.52</v>
      </c>
      <c r="J444" s="78">
        <v>91.655000000000001</v>
      </c>
      <c r="K444" s="78">
        <v>89.39</v>
      </c>
      <c r="L444" s="78">
        <v>91.54</v>
      </c>
      <c r="M444" s="78">
        <v>2323504</v>
      </c>
      <c r="N444" s="78" t="s">
        <v>435</v>
      </c>
      <c r="O444" s="25">
        <f t="shared" ref="O444:O507" si="11">I444/L444-1</f>
        <v>-2.1848372296273677E-4</v>
      </c>
    </row>
    <row r="445" spans="1:15">
      <c r="A445" s="77">
        <v>545.21732162809371</v>
      </c>
      <c r="B445" s="77">
        <v>545.55231853671307</v>
      </c>
      <c r="C445" s="77">
        <v>537.71930258517455</v>
      </c>
      <c r="D445" s="77">
        <v>540.58648200894515</v>
      </c>
      <c r="E445" s="77">
        <v>9835885.8103522025</v>
      </c>
      <c r="F445" s="77" t="s">
        <v>436</v>
      </c>
      <c r="G445" s="25">
        <f t="shared" si="10"/>
        <v>8.5663252287391245E-3</v>
      </c>
      <c r="I445" s="78">
        <v>90.61</v>
      </c>
      <c r="J445" s="78">
        <v>91.23</v>
      </c>
      <c r="K445" s="78">
        <v>88.674999999999997</v>
      </c>
      <c r="L445" s="78">
        <v>89.84</v>
      </c>
      <c r="M445" s="78">
        <v>2105853</v>
      </c>
      <c r="N445" s="78" t="s">
        <v>436</v>
      </c>
      <c r="O445" s="25">
        <f t="shared" si="11"/>
        <v>8.5707925200355639E-3</v>
      </c>
    </row>
    <row r="446" spans="1:15">
      <c r="A446" s="77">
        <v>539.66031408511549</v>
      </c>
      <c r="B446" s="77">
        <v>544.58673921186926</v>
      </c>
      <c r="C446" s="77">
        <v>538.57650055722968</v>
      </c>
      <c r="D446" s="77">
        <v>543.60145418651848</v>
      </c>
      <c r="E446" s="77">
        <v>10091351.988690184</v>
      </c>
      <c r="F446" s="77" t="s">
        <v>437</v>
      </c>
      <c r="G446" s="25">
        <f t="shared" si="10"/>
        <v>-7.2500543754078217E-3</v>
      </c>
      <c r="I446" s="78">
        <v>90.49</v>
      </c>
      <c r="J446" s="78">
        <v>91.44</v>
      </c>
      <c r="K446" s="78">
        <v>89.97</v>
      </c>
      <c r="L446" s="78">
        <v>91.28</v>
      </c>
      <c r="M446" s="78">
        <v>3168333</v>
      </c>
      <c r="N446" s="78" t="s">
        <v>437</v>
      </c>
      <c r="O446" s="25">
        <f t="shared" si="11"/>
        <v>-8.6546888694128965E-3</v>
      </c>
    </row>
    <row r="447" spans="1:15">
      <c r="A447" s="77">
        <v>541.15794732364861</v>
      </c>
      <c r="B447" s="77">
        <v>544.57688636161583</v>
      </c>
      <c r="C447" s="77">
        <v>540.32045505210044</v>
      </c>
      <c r="D447" s="77">
        <v>542.06440954697132</v>
      </c>
      <c r="E447" s="77">
        <v>4671063.5821970413</v>
      </c>
      <c r="F447" s="77" t="s">
        <v>438</v>
      </c>
      <c r="G447" s="25">
        <f t="shared" si="10"/>
        <v>-1.6722408026755842E-3</v>
      </c>
      <c r="I447" s="78">
        <v>90.26</v>
      </c>
      <c r="J447" s="78">
        <v>91.57</v>
      </c>
      <c r="K447" s="78">
        <v>88.65</v>
      </c>
      <c r="L447" s="78">
        <v>89.5</v>
      </c>
      <c r="M447" s="78">
        <v>2028519</v>
      </c>
      <c r="N447" s="78" t="s">
        <v>438</v>
      </c>
      <c r="O447" s="25">
        <f t="shared" si="11"/>
        <v>8.4916201117319901E-3</v>
      </c>
    </row>
    <row r="448" spans="1:15">
      <c r="A448" s="77">
        <v>541.26632867643718</v>
      </c>
      <c r="B448" s="77">
        <v>545.02026462302354</v>
      </c>
      <c r="C448" s="77">
        <v>540.56184988331142</v>
      </c>
      <c r="D448" s="77">
        <v>543.67042413829301</v>
      </c>
      <c r="E448" s="77">
        <v>4824333.9518002328</v>
      </c>
      <c r="F448" s="77" t="s">
        <v>439</v>
      </c>
      <c r="G448" s="25">
        <f t="shared" si="10"/>
        <v>-4.4219721270772894E-3</v>
      </c>
      <c r="I448" s="78">
        <v>89.47</v>
      </c>
      <c r="J448" s="78">
        <v>90.95</v>
      </c>
      <c r="K448" s="78">
        <v>89.26</v>
      </c>
      <c r="L448" s="78">
        <v>89.5</v>
      </c>
      <c r="M448" s="78">
        <v>2387287</v>
      </c>
      <c r="N448" s="78" t="s">
        <v>439</v>
      </c>
      <c r="O448" s="25">
        <f t="shared" si="11"/>
        <v>-3.3519553072625108E-4</v>
      </c>
    </row>
    <row r="449" spans="1:15">
      <c r="A449" s="77">
        <v>545.91687399609282</v>
      </c>
      <c r="B449" s="77">
        <v>547.51303573716109</v>
      </c>
      <c r="C449" s="77">
        <v>543.74924694032109</v>
      </c>
      <c r="D449" s="77">
        <v>543.81821689209573</v>
      </c>
      <c r="E449" s="77">
        <v>7532162.5814398807</v>
      </c>
      <c r="F449" s="77" t="s">
        <v>440</v>
      </c>
      <c r="G449" s="25">
        <f t="shared" si="10"/>
        <v>3.8591151212088448E-3</v>
      </c>
      <c r="I449" s="78">
        <v>90.25</v>
      </c>
      <c r="J449" s="78">
        <v>90.42</v>
      </c>
      <c r="K449" s="78">
        <v>86.03</v>
      </c>
      <c r="L449" s="78">
        <v>87.58</v>
      </c>
      <c r="M449" s="78">
        <v>1790871</v>
      </c>
      <c r="N449" s="78" t="s">
        <v>440</v>
      </c>
      <c r="O449" s="25">
        <f t="shared" si="11"/>
        <v>3.04864124229276E-2</v>
      </c>
    </row>
    <row r="450" spans="1:15">
      <c r="A450" s="77">
        <v>540.69486336173372</v>
      </c>
      <c r="B450" s="77">
        <v>545.10401385017838</v>
      </c>
      <c r="C450" s="77">
        <v>539.35487572725674</v>
      </c>
      <c r="D450" s="77">
        <v>542.14323234899939</v>
      </c>
      <c r="E450" s="77">
        <v>7167789.8458731398</v>
      </c>
      <c r="F450" s="77" t="s">
        <v>441</v>
      </c>
      <c r="G450" s="25">
        <f t="shared" si="10"/>
        <v>-2.671561500436237E-3</v>
      </c>
      <c r="I450" s="78">
        <v>86.93</v>
      </c>
      <c r="J450" s="78">
        <v>88.18</v>
      </c>
      <c r="K450" s="78">
        <v>85.77</v>
      </c>
      <c r="L450" s="78">
        <v>86.4</v>
      </c>
      <c r="M450" s="78">
        <v>1610195</v>
      </c>
      <c r="N450" s="78" t="s">
        <v>441</v>
      </c>
      <c r="O450" s="25">
        <f t="shared" si="11"/>
        <v>6.134259259259256E-3</v>
      </c>
    </row>
    <row r="451" spans="1:15">
      <c r="A451" s="77">
        <v>546.78392481840149</v>
      </c>
      <c r="B451" s="77">
        <v>546.83318906966895</v>
      </c>
      <c r="C451" s="77">
        <v>543.02230364861737</v>
      </c>
      <c r="D451" s="77">
        <v>543.48321998347637</v>
      </c>
      <c r="E451" s="77">
        <v>8548737.4549323823</v>
      </c>
      <c r="F451" s="77" t="s">
        <v>442</v>
      </c>
      <c r="G451" s="25">
        <f t="shared" si="10"/>
        <v>6.0732414793329692E-3</v>
      </c>
      <c r="I451" s="78">
        <v>88.13</v>
      </c>
      <c r="J451" s="78">
        <v>88.7</v>
      </c>
      <c r="K451" s="78">
        <v>87.084999999999994</v>
      </c>
      <c r="L451" s="78">
        <v>87.66</v>
      </c>
      <c r="M451" s="78">
        <v>1735642</v>
      </c>
      <c r="N451" s="78" t="s">
        <v>442</v>
      </c>
      <c r="O451" s="25">
        <f t="shared" si="11"/>
        <v>5.3616244581335959E-3</v>
      </c>
    </row>
    <row r="452" spans="1:15">
      <c r="A452" s="77">
        <v>544.72467911541833</v>
      </c>
      <c r="B452" s="77">
        <v>548.04016322572363</v>
      </c>
      <c r="C452" s="77">
        <v>542.80337331598435</v>
      </c>
      <c r="D452" s="77">
        <v>547.23715593006273</v>
      </c>
      <c r="E452" s="77">
        <v>21111207.888900109</v>
      </c>
      <c r="F452" s="77" t="s">
        <v>443</v>
      </c>
      <c r="G452" s="25">
        <f t="shared" si="10"/>
        <v>-4.5912028951584638E-3</v>
      </c>
      <c r="I452" s="78">
        <v>87.54</v>
      </c>
      <c r="J452" s="78">
        <v>90.11</v>
      </c>
      <c r="K452" s="78">
        <v>87.165000000000006</v>
      </c>
      <c r="L452" s="78">
        <v>88.91</v>
      </c>
      <c r="M452" s="78">
        <v>2244746</v>
      </c>
      <c r="N452" s="78" t="s">
        <v>443</v>
      </c>
      <c r="O452" s="25">
        <f t="shared" si="11"/>
        <v>-1.54088404004048E-2</v>
      </c>
    </row>
    <row r="453" spans="1:15">
      <c r="A453" s="77">
        <v>546.23216520420499</v>
      </c>
      <c r="B453" s="77">
        <v>546.57701496307777</v>
      </c>
      <c r="C453" s="77">
        <v>542.63587486167478</v>
      </c>
      <c r="D453" s="77">
        <v>543.66057128803948</v>
      </c>
      <c r="E453" s="77">
        <v>6040170.9625916425</v>
      </c>
      <c r="F453" s="77" t="s">
        <v>444</v>
      </c>
      <c r="G453" s="25">
        <f t="shared" si="10"/>
        <v>4.7301460727102729E-3</v>
      </c>
      <c r="I453" s="78">
        <v>87.98</v>
      </c>
      <c r="J453" s="78">
        <v>89.87</v>
      </c>
      <c r="K453" s="78">
        <v>84.995000000000005</v>
      </c>
      <c r="L453" s="78">
        <v>85.4</v>
      </c>
      <c r="M453" s="78">
        <v>2949344</v>
      </c>
      <c r="N453" s="78" t="s">
        <v>444</v>
      </c>
      <c r="O453" s="25">
        <f t="shared" si="11"/>
        <v>3.0210772833723532E-2</v>
      </c>
    </row>
    <row r="454" spans="1:15">
      <c r="A454" s="77">
        <v>543.13837022460359</v>
      </c>
      <c r="B454" s="77">
        <v>544.5670335113623</v>
      </c>
      <c r="C454" s="77">
        <v>542.10382094798535</v>
      </c>
      <c r="D454" s="77">
        <v>543.18763447587116</v>
      </c>
      <c r="E454" s="77">
        <v>4549321.1453247285</v>
      </c>
      <c r="F454" s="77" t="s">
        <v>445</v>
      </c>
      <c r="G454" s="25">
        <f t="shared" si="10"/>
        <v>-9.0694721567308179E-5</v>
      </c>
      <c r="I454" s="78">
        <v>84.98</v>
      </c>
      <c r="J454" s="78">
        <v>85.075000000000003</v>
      </c>
      <c r="K454" s="78">
        <v>82.6</v>
      </c>
      <c r="L454" s="78">
        <v>83.53</v>
      </c>
      <c r="M454" s="78">
        <v>2037127</v>
      </c>
      <c r="N454" s="78" t="s">
        <v>445</v>
      </c>
      <c r="O454" s="25">
        <f t="shared" si="11"/>
        <v>1.7359032682868536E-2</v>
      </c>
    </row>
    <row r="455" spans="1:15">
      <c r="A455" s="77">
        <v>542.55705205964671</v>
      </c>
      <c r="B455" s="77">
        <v>544.19262520172902</v>
      </c>
      <c r="C455" s="77">
        <v>540.62579488145661</v>
      </c>
      <c r="D455" s="77">
        <v>542.20234945052039</v>
      </c>
      <c r="E455" s="77">
        <v>4782980.4358615382</v>
      </c>
      <c r="F455" s="77" t="s">
        <v>446</v>
      </c>
      <c r="G455" s="25">
        <f t="shared" si="10"/>
        <v>6.5418862438670899E-4</v>
      </c>
      <c r="I455" s="78">
        <v>82.66</v>
      </c>
      <c r="J455" s="78">
        <v>84.56</v>
      </c>
      <c r="K455" s="78">
        <v>82.44</v>
      </c>
      <c r="L455" s="78">
        <v>83.35</v>
      </c>
      <c r="M455" s="78">
        <v>1614195</v>
      </c>
      <c r="N455" s="78" t="s">
        <v>446</v>
      </c>
      <c r="O455" s="25">
        <f t="shared" si="11"/>
        <v>-8.2783443311337246E-3</v>
      </c>
    </row>
    <row r="456" spans="1:15">
      <c r="A456" s="77">
        <v>537.06901446844302</v>
      </c>
      <c r="B456" s="77">
        <v>542.52749350888621</v>
      </c>
      <c r="C456" s="77">
        <v>535.34230246151571</v>
      </c>
      <c r="D456" s="77">
        <v>541.39441572973283</v>
      </c>
      <c r="E456" s="77">
        <v>6429142.6714264201</v>
      </c>
      <c r="F456" s="77" t="s">
        <v>447</v>
      </c>
      <c r="G456" s="25">
        <f t="shared" si="10"/>
        <v>-7.9893717696731814E-3</v>
      </c>
      <c r="I456" s="78">
        <v>82.25</v>
      </c>
      <c r="J456" s="78">
        <v>84.35</v>
      </c>
      <c r="K456" s="78">
        <v>81.754999999999995</v>
      </c>
      <c r="L456" s="78">
        <v>83.19</v>
      </c>
      <c r="M456" s="78">
        <v>1729215</v>
      </c>
      <c r="N456" s="78" t="s">
        <v>447</v>
      </c>
      <c r="O456" s="25">
        <f t="shared" si="11"/>
        <v>-1.1299435028248594E-2</v>
      </c>
    </row>
    <row r="457" spans="1:15">
      <c r="A457" s="77">
        <v>539.59134413334095</v>
      </c>
      <c r="B457" s="77">
        <v>541.56191418404239</v>
      </c>
      <c r="C457" s="77">
        <v>539.3869960190832</v>
      </c>
      <c r="D457" s="77">
        <v>540.67515766122676</v>
      </c>
      <c r="E457" s="77">
        <v>4577631.7349331211</v>
      </c>
      <c r="F457" s="77" t="s">
        <v>448</v>
      </c>
      <c r="G457" s="25">
        <f t="shared" si="10"/>
        <v>-2.0045558086559945E-3</v>
      </c>
      <c r="I457" s="78">
        <v>83.16</v>
      </c>
      <c r="J457" s="78">
        <v>83.905000000000001</v>
      </c>
      <c r="K457" s="78">
        <v>82.07</v>
      </c>
      <c r="L457" s="78">
        <v>82.24</v>
      </c>
      <c r="M457" s="78">
        <v>1360188</v>
      </c>
      <c r="N457" s="78" t="s">
        <v>448</v>
      </c>
      <c r="O457" s="25">
        <f t="shared" si="11"/>
        <v>1.1186770428015524E-2</v>
      </c>
    </row>
    <row r="458" spans="1:15">
      <c r="A458" s="77">
        <v>539.93619389221374</v>
      </c>
      <c r="B458" s="77">
        <v>540.79339186426887</v>
      </c>
      <c r="C458" s="77">
        <v>536.08372944309224</v>
      </c>
      <c r="D458" s="77">
        <v>536.51725485424652</v>
      </c>
      <c r="E458" s="77">
        <v>5042854.4757707994</v>
      </c>
      <c r="F458" s="77" t="s">
        <v>449</v>
      </c>
      <c r="G458" s="25">
        <f t="shared" si="10"/>
        <v>6.3724679999266343E-3</v>
      </c>
      <c r="I458" s="78">
        <v>81.83</v>
      </c>
      <c r="J458" s="78">
        <v>82.15</v>
      </c>
      <c r="K458" s="78">
        <v>78.790000000000006</v>
      </c>
      <c r="L458" s="78">
        <v>80.92</v>
      </c>
      <c r="M458" s="78">
        <v>1662693</v>
      </c>
      <c r="N458" s="78" t="s">
        <v>449</v>
      </c>
      <c r="O458" s="25">
        <f t="shared" si="11"/>
        <v>1.1245674740484324E-2</v>
      </c>
    </row>
    <row r="459" spans="1:15">
      <c r="A459" s="77">
        <v>536.8916631638798</v>
      </c>
      <c r="B459" s="77">
        <v>536.8916631638798</v>
      </c>
      <c r="C459" s="77">
        <v>529.8862866336359</v>
      </c>
      <c r="D459" s="77">
        <v>532.30023494574539</v>
      </c>
      <c r="E459" s="77">
        <v>5988997.9530535638</v>
      </c>
      <c r="F459" s="77" t="s">
        <v>450</v>
      </c>
      <c r="G459" s="25">
        <f t="shared" si="10"/>
        <v>8.6256362795000818E-3</v>
      </c>
      <c r="I459" s="78">
        <v>81.09</v>
      </c>
      <c r="J459" s="78">
        <v>81.900000000000006</v>
      </c>
      <c r="K459" s="78">
        <v>79.03</v>
      </c>
      <c r="L459" s="78">
        <v>81.680000000000007</v>
      </c>
      <c r="M459" s="78">
        <v>2126225</v>
      </c>
      <c r="N459" s="78" t="s">
        <v>450</v>
      </c>
      <c r="O459" s="25">
        <f t="shared" si="11"/>
        <v>-7.2233104799216408E-3</v>
      </c>
    </row>
    <row r="460" spans="1:15">
      <c r="A460" s="77">
        <v>533.78801533402498</v>
      </c>
      <c r="B460" s="77">
        <v>535.39402992534667</v>
      </c>
      <c r="C460" s="77">
        <v>528.27041919206067</v>
      </c>
      <c r="D460" s="77">
        <v>533.3840484736312</v>
      </c>
      <c r="E460" s="77">
        <v>6252100.5003674394</v>
      </c>
      <c r="F460" s="77" t="s">
        <v>451</v>
      </c>
      <c r="G460" s="25">
        <f t="shared" si="10"/>
        <v>7.5736584464758394E-4</v>
      </c>
      <c r="I460" s="78">
        <v>82.24</v>
      </c>
      <c r="J460" s="78">
        <v>83.72</v>
      </c>
      <c r="K460" s="78">
        <v>81.19</v>
      </c>
      <c r="L460" s="78">
        <v>83.46</v>
      </c>
      <c r="M460" s="78">
        <v>3658728</v>
      </c>
      <c r="N460" s="78" t="s">
        <v>451</v>
      </c>
      <c r="O460" s="25">
        <f t="shared" si="11"/>
        <v>-1.4617780972921102E-2</v>
      </c>
    </row>
    <row r="461" spans="1:15">
      <c r="A461" s="77">
        <v>534.33977494822147</v>
      </c>
      <c r="B461" s="77">
        <v>537.25621862325966</v>
      </c>
      <c r="C461" s="77">
        <v>530.81245455746568</v>
      </c>
      <c r="D461" s="77">
        <v>537.12813156996401</v>
      </c>
      <c r="E461" s="77">
        <v>4738668.3851587912</v>
      </c>
      <c r="F461" s="77" t="s">
        <v>452</v>
      </c>
      <c r="G461" s="25">
        <f t="shared" si="10"/>
        <v>-5.1912317710719469E-3</v>
      </c>
      <c r="I461" s="78">
        <v>84.28</v>
      </c>
      <c r="J461" s="78">
        <v>85.900499999999994</v>
      </c>
      <c r="K461" s="78">
        <v>83.54</v>
      </c>
      <c r="L461" s="78">
        <v>85.63</v>
      </c>
      <c r="M461" s="78">
        <v>1610300</v>
      </c>
      <c r="N461" s="78" t="s">
        <v>452</v>
      </c>
      <c r="O461" s="25">
        <f t="shared" si="11"/>
        <v>-1.5765502744365278E-2</v>
      </c>
    </row>
    <row r="462" spans="1:15">
      <c r="A462" s="77">
        <v>532.29038209549185</v>
      </c>
      <c r="B462" s="77">
        <v>536.88181031362637</v>
      </c>
      <c r="C462" s="77">
        <v>531.66965252952082</v>
      </c>
      <c r="D462" s="77">
        <v>535.78814393548703</v>
      </c>
      <c r="E462" s="77">
        <v>4878023.9994909177</v>
      </c>
      <c r="F462" s="77" t="s">
        <v>453</v>
      </c>
      <c r="G462" s="25">
        <f t="shared" si="10"/>
        <v>-6.5282553927067388E-3</v>
      </c>
      <c r="I462" s="78">
        <v>84.43</v>
      </c>
      <c r="J462" s="78">
        <v>85.06</v>
      </c>
      <c r="K462" s="78">
        <v>82</v>
      </c>
      <c r="L462" s="78">
        <v>82.37</v>
      </c>
      <c r="M462" s="78">
        <v>2408510</v>
      </c>
      <c r="N462" s="78" t="s">
        <v>453</v>
      </c>
      <c r="O462" s="25">
        <f t="shared" si="11"/>
        <v>2.5009105256768249E-2</v>
      </c>
    </row>
    <row r="463" spans="1:15">
      <c r="A463" s="77">
        <v>535.34476567407921</v>
      </c>
      <c r="B463" s="77">
        <v>535.52211697864232</v>
      </c>
      <c r="C463" s="77">
        <v>529.27540991791852</v>
      </c>
      <c r="D463" s="77">
        <v>530.79274885695872</v>
      </c>
      <c r="E463" s="77">
        <v>6177196.2867631307</v>
      </c>
      <c r="F463" s="77" t="s">
        <v>454</v>
      </c>
      <c r="G463" s="25">
        <f t="shared" si="10"/>
        <v>8.5758835758835694E-3</v>
      </c>
      <c r="I463" s="78">
        <v>82.49</v>
      </c>
      <c r="J463" s="78">
        <v>82.81</v>
      </c>
      <c r="K463" s="78">
        <v>80.290000000000006</v>
      </c>
      <c r="L463" s="78">
        <v>81.150000000000006</v>
      </c>
      <c r="M463" s="78">
        <v>2196912</v>
      </c>
      <c r="N463" s="78" t="s">
        <v>454</v>
      </c>
      <c r="O463" s="25">
        <f t="shared" si="11"/>
        <v>1.6512630930375805E-2</v>
      </c>
    </row>
    <row r="464" spans="1:15">
      <c r="A464" s="77">
        <v>524.56574749674189</v>
      </c>
      <c r="B464" s="77">
        <v>526.94018587933465</v>
      </c>
      <c r="C464" s="77">
        <v>521.32415976333789</v>
      </c>
      <c r="D464" s="77">
        <v>521.63945097145017</v>
      </c>
      <c r="E464" s="77">
        <v>6552291.8078469234</v>
      </c>
      <c r="F464" s="77" t="s">
        <v>455</v>
      </c>
      <c r="G464" s="25">
        <f t="shared" si="10"/>
        <v>5.6098067733221235E-3</v>
      </c>
      <c r="I464" s="78">
        <v>80.37</v>
      </c>
      <c r="J464" s="78">
        <v>80.53</v>
      </c>
      <c r="K464" s="78">
        <v>78.55</v>
      </c>
      <c r="L464" s="78">
        <v>78.635000000000005</v>
      </c>
      <c r="M464" s="78">
        <v>1536864</v>
      </c>
      <c r="N464" s="78" t="s">
        <v>455</v>
      </c>
      <c r="O464" s="25">
        <f t="shared" si="11"/>
        <v>2.2063966427163573E-2</v>
      </c>
    </row>
    <row r="465" spans="1:15">
      <c r="A465" s="77">
        <v>528.1324792885116</v>
      </c>
      <c r="B465" s="77">
        <v>531.29031779476088</v>
      </c>
      <c r="C465" s="77">
        <v>526.57572894845748</v>
      </c>
      <c r="D465" s="77">
        <v>527.7186595778644</v>
      </c>
      <c r="E465" s="77">
        <v>5903440.9844291899</v>
      </c>
      <c r="F465" s="77" t="s">
        <v>456</v>
      </c>
      <c r="G465" s="25">
        <f t="shared" si="10"/>
        <v>7.8416728902142019E-4</v>
      </c>
      <c r="I465" s="78">
        <v>80.540000000000006</v>
      </c>
      <c r="J465" s="78">
        <v>80.665000000000006</v>
      </c>
      <c r="K465" s="78">
        <v>78.89</v>
      </c>
      <c r="L465" s="78">
        <v>79.099999999999994</v>
      </c>
      <c r="M465" s="78">
        <v>1983471</v>
      </c>
      <c r="N465" s="78" t="s">
        <v>456</v>
      </c>
      <c r="O465" s="25">
        <f t="shared" si="11"/>
        <v>1.8204804045512057E-2</v>
      </c>
    </row>
    <row r="466" spans="1:15">
      <c r="A466" s="77">
        <v>527.88615803217397</v>
      </c>
      <c r="B466" s="77">
        <v>536.67539310081543</v>
      </c>
      <c r="C466" s="77">
        <v>526.95013725809076</v>
      </c>
      <c r="D466" s="77">
        <v>532.9505230624768</v>
      </c>
      <c r="E466" s="77">
        <v>6434169.6431884607</v>
      </c>
      <c r="F466" s="77" t="s">
        <v>457</v>
      </c>
      <c r="G466" s="25">
        <f t="shared" si="10"/>
        <v>-9.5025050378065856E-3</v>
      </c>
      <c r="I466" s="78">
        <v>79.37</v>
      </c>
      <c r="J466" s="78">
        <v>84.469899999999996</v>
      </c>
      <c r="K466" s="78">
        <v>79.3</v>
      </c>
      <c r="L466" s="78">
        <v>83.7</v>
      </c>
      <c r="M466" s="78">
        <v>2723335</v>
      </c>
      <c r="N466" s="78" t="s">
        <v>457</v>
      </c>
      <c r="O466" s="25">
        <f t="shared" si="11"/>
        <v>-5.1732377538829089E-2</v>
      </c>
    </row>
    <row r="467" spans="1:15">
      <c r="A467" s="77">
        <v>536.8621046131193</v>
      </c>
      <c r="B467" s="77">
        <v>538.02474094303318</v>
      </c>
      <c r="C467" s="77">
        <v>534.01463088985565</v>
      </c>
      <c r="D467" s="77">
        <v>537.19710152173866</v>
      </c>
      <c r="E467" s="77">
        <v>7265110.9230567338</v>
      </c>
      <c r="F467" s="77" t="s">
        <v>458</v>
      </c>
      <c r="G467" s="25">
        <f t="shared" si="10"/>
        <v>-6.2360148197082577E-4</v>
      </c>
      <c r="I467" s="78">
        <v>84.21</v>
      </c>
      <c r="J467" s="78">
        <v>84.9499</v>
      </c>
      <c r="K467" s="78">
        <v>82.000100000000003</v>
      </c>
      <c r="L467" s="78">
        <v>82.91</v>
      </c>
      <c r="M467" s="78">
        <v>1988760</v>
      </c>
      <c r="N467" s="78" t="s">
        <v>458</v>
      </c>
      <c r="O467" s="25">
        <f t="shared" si="11"/>
        <v>1.5679652635387731E-2</v>
      </c>
    </row>
    <row r="468" spans="1:15">
      <c r="A468" s="77">
        <v>538.77355756229986</v>
      </c>
      <c r="B468" s="77">
        <v>539.39428712827078</v>
      </c>
      <c r="C468" s="77">
        <v>532.6253790041111</v>
      </c>
      <c r="D468" s="77">
        <v>532.67464325537867</v>
      </c>
      <c r="E468" s="77">
        <v>7882042.0489343526</v>
      </c>
      <c r="F468" s="77" t="s">
        <v>459</v>
      </c>
      <c r="G468" s="25">
        <f t="shared" si="10"/>
        <v>1.144960509035764E-2</v>
      </c>
      <c r="I468" s="78">
        <v>82.95</v>
      </c>
      <c r="J468" s="78">
        <v>83.18</v>
      </c>
      <c r="K468" s="78">
        <v>81.489999999999995</v>
      </c>
      <c r="L468" s="78">
        <v>81.819999999999993</v>
      </c>
      <c r="M468" s="78">
        <v>2383622</v>
      </c>
      <c r="N468" s="78" t="s">
        <v>459</v>
      </c>
      <c r="O468" s="25">
        <f t="shared" si="11"/>
        <v>1.3810804204351212E-2</v>
      </c>
    </row>
    <row r="469" spans="1:15">
      <c r="A469" s="77">
        <v>538.22179794810336</v>
      </c>
      <c r="B469" s="77">
        <v>538.42870780342707</v>
      </c>
      <c r="C469" s="77">
        <v>533.72889823250398</v>
      </c>
      <c r="D469" s="77">
        <v>535.47285272737474</v>
      </c>
      <c r="E469" s="77">
        <v>7363698.6387945423</v>
      </c>
      <c r="F469" s="77" t="s">
        <v>460</v>
      </c>
      <c r="G469" s="25">
        <f t="shared" si="10"/>
        <v>5.1336780319060082E-3</v>
      </c>
      <c r="I469" s="78">
        <v>83.62</v>
      </c>
      <c r="J469" s="78">
        <v>84.04</v>
      </c>
      <c r="K469" s="78">
        <v>80.31</v>
      </c>
      <c r="L469" s="78">
        <v>81</v>
      </c>
      <c r="M469" s="78">
        <v>2341745</v>
      </c>
      <c r="N469" s="78" t="s">
        <v>460</v>
      </c>
      <c r="O469" s="25">
        <f t="shared" si="11"/>
        <v>3.2345679012345752E-2</v>
      </c>
    </row>
    <row r="470" spans="1:15">
      <c r="A470" s="77">
        <v>534.77330035937575</v>
      </c>
      <c r="B470" s="77">
        <v>535.25500620826972</v>
      </c>
      <c r="C470" s="77">
        <v>529.92569803465005</v>
      </c>
      <c r="D470" s="77">
        <v>530.33951774529737</v>
      </c>
      <c r="E470" s="77">
        <v>7472145.4305865541</v>
      </c>
      <c r="F470" s="77" t="s">
        <v>461</v>
      </c>
      <c r="G470" s="25">
        <f t="shared" si="10"/>
        <v>8.360271987515322E-3</v>
      </c>
      <c r="I470" s="78">
        <v>80.900000000000006</v>
      </c>
      <c r="J470" s="78">
        <v>81.06</v>
      </c>
      <c r="K470" s="78">
        <v>79.339799999999997</v>
      </c>
      <c r="L470" s="78">
        <v>80.02</v>
      </c>
      <c r="M470" s="78">
        <v>2593604</v>
      </c>
      <c r="N470" s="78" t="s">
        <v>461</v>
      </c>
      <c r="O470" s="25">
        <f t="shared" si="11"/>
        <v>1.0997250687328375E-2</v>
      </c>
    </row>
    <row r="471" spans="1:15">
      <c r="A471" s="77">
        <v>532.16229504219621</v>
      </c>
      <c r="B471" s="77">
        <v>533.45301842540573</v>
      </c>
      <c r="C471" s="77">
        <v>530.3198120447903</v>
      </c>
      <c r="D471" s="77">
        <v>532.41846914878738</v>
      </c>
      <c r="E471" s="77">
        <v>5106442.1670357678</v>
      </c>
      <c r="F471" s="77" t="s">
        <v>462</v>
      </c>
      <c r="G471" s="25">
        <f t="shared" si="10"/>
        <v>-4.8115180339391994E-4</v>
      </c>
      <c r="I471" s="78">
        <v>78.209999999999994</v>
      </c>
      <c r="J471" s="78">
        <v>81.64</v>
      </c>
      <c r="K471" s="78">
        <v>77.5</v>
      </c>
      <c r="L471" s="78">
        <v>80.3</v>
      </c>
      <c r="M471" s="78">
        <v>3766534</v>
      </c>
      <c r="N471" s="78" t="s">
        <v>462</v>
      </c>
      <c r="O471" s="25">
        <f t="shared" si="11"/>
        <v>-2.6027397260274032E-2</v>
      </c>
    </row>
    <row r="472" spans="1:15">
      <c r="A472" s="77">
        <v>531.50215407521125</v>
      </c>
      <c r="B472" s="77">
        <v>533.51213552692684</v>
      </c>
      <c r="C472" s="77">
        <v>527.89601088242739</v>
      </c>
      <c r="D472" s="77">
        <v>528.43791764637047</v>
      </c>
      <c r="E472" s="77">
        <v>7466675.9472783282</v>
      </c>
      <c r="F472" s="77" t="s">
        <v>463</v>
      </c>
      <c r="G472" s="25">
        <f t="shared" si="10"/>
        <v>5.7986687300728423E-3</v>
      </c>
      <c r="I472" s="78">
        <v>80.3</v>
      </c>
      <c r="J472" s="78">
        <v>82.44</v>
      </c>
      <c r="K472" s="78">
        <v>80.150000000000006</v>
      </c>
      <c r="L472" s="78">
        <v>81.484999999999999</v>
      </c>
      <c r="M472" s="78">
        <v>2342412</v>
      </c>
      <c r="N472" s="78" t="s">
        <v>463</v>
      </c>
      <c r="O472" s="25">
        <f t="shared" si="11"/>
        <v>-1.4542553844265838E-2</v>
      </c>
    </row>
    <row r="473" spans="1:15">
      <c r="A473" s="77">
        <v>528.03395078597657</v>
      </c>
      <c r="B473" s="77">
        <v>528.03395078597657</v>
      </c>
      <c r="C473" s="77">
        <v>522.58532459578691</v>
      </c>
      <c r="D473" s="77">
        <v>526.63484604997848</v>
      </c>
      <c r="E473" s="77">
        <v>7909971.0230808984</v>
      </c>
      <c r="F473" s="77" t="s">
        <v>464</v>
      </c>
      <c r="G473" s="25">
        <f t="shared" si="10"/>
        <v>2.6566884939196456E-3</v>
      </c>
      <c r="I473" s="78">
        <v>81.569999999999993</v>
      </c>
      <c r="J473" s="78">
        <v>83.09</v>
      </c>
      <c r="K473" s="78">
        <v>78.06</v>
      </c>
      <c r="L473" s="78">
        <v>79.28</v>
      </c>
      <c r="M473" s="78">
        <v>3153912</v>
      </c>
      <c r="N473" s="78" t="s">
        <v>464</v>
      </c>
      <c r="O473" s="25">
        <f t="shared" si="11"/>
        <v>2.8884964682139191E-2</v>
      </c>
    </row>
    <row r="474" spans="1:15">
      <c r="A474" s="77">
        <v>511.018078398169</v>
      </c>
      <c r="B474" s="77">
        <v>513.95481894472948</v>
      </c>
      <c r="C474" s="77">
        <v>509.74706071546655</v>
      </c>
      <c r="D474" s="77">
        <v>513.02805984988458</v>
      </c>
      <c r="E474" s="77">
        <v>4810289.2848825827</v>
      </c>
      <c r="F474" s="77" t="s">
        <v>465</v>
      </c>
      <c r="G474" s="25">
        <f t="shared" si="10"/>
        <v>-3.9178782000807155E-3</v>
      </c>
      <c r="I474" s="78">
        <v>75.760000000000005</v>
      </c>
      <c r="J474" s="78">
        <v>79.78</v>
      </c>
      <c r="K474" s="78">
        <v>75.239999999999995</v>
      </c>
      <c r="L474" s="78">
        <v>79.5</v>
      </c>
      <c r="M474" s="78">
        <v>3709609</v>
      </c>
      <c r="N474" s="78" t="s">
        <v>465</v>
      </c>
      <c r="O474" s="25">
        <f t="shared" si="11"/>
        <v>-4.7044025157232605E-2</v>
      </c>
    </row>
    <row r="475" spans="1:15">
      <c r="A475" s="77">
        <v>511.69792506566108</v>
      </c>
      <c r="B475" s="77">
        <v>516.51596883962623</v>
      </c>
      <c r="C475" s="77">
        <v>508.74699641473558</v>
      </c>
      <c r="D475" s="77">
        <v>511.89498207073115</v>
      </c>
      <c r="E475" s="77">
        <v>5164190.9387475308</v>
      </c>
      <c r="F475" s="77" t="s">
        <v>466</v>
      </c>
      <c r="G475" s="25">
        <f t="shared" si="10"/>
        <v>-3.8495592254672584E-4</v>
      </c>
      <c r="I475" s="78">
        <v>79.58</v>
      </c>
      <c r="J475" s="78">
        <v>80.86</v>
      </c>
      <c r="K475" s="78">
        <v>76.155000000000001</v>
      </c>
      <c r="L475" s="78">
        <v>76.849999999999994</v>
      </c>
      <c r="M475" s="78">
        <v>3113768</v>
      </c>
      <c r="N475" s="78" t="s">
        <v>466</v>
      </c>
      <c r="O475" s="25">
        <f t="shared" si="11"/>
        <v>3.5523747560182173E-2</v>
      </c>
    </row>
    <row r="476" spans="1:15">
      <c r="A476" s="77">
        <v>508.30854457845442</v>
      </c>
      <c r="B476" s="77">
        <v>510.55499443625411</v>
      </c>
      <c r="C476" s="77">
        <v>503.57917645677088</v>
      </c>
      <c r="D476" s="77">
        <v>507.34296525361066</v>
      </c>
      <c r="E476" s="77">
        <v>5548997.3554136399</v>
      </c>
      <c r="F476" s="77" t="s">
        <v>467</v>
      </c>
      <c r="G476" s="25">
        <f t="shared" si="10"/>
        <v>1.9032082653616111E-3</v>
      </c>
      <c r="I476" s="78">
        <v>76.349999999999994</v>
      </c>
      <c r="J476" s="78">
        <v>76.61</v>
      </c>
      <c r="K476" s="78">
        <v>73.86</v>
      </c>
      <c r="L476" s="78">
        <v>75.58</v>
      </c>
      <c r="M476" s="78">
        <v>2467918</v>
      </c>
      <c r="N476" s="78" t="s">
        <v>467</v>
      </c>
      <c r="O476" s="25">
        <f t="shared" si="11"/>
        <v>1.0187880391637982E-2</v>
      </c>
    </row>
    <row r="477" spans="1:15">
      <c r="A477" s="77">
        <v>506.02268331964075</v>
      </c>
      <c r="B477" s="77">
        <v>510.20521825225472</v>
      </c>
      <c r="C477" s="77">
        <v>504.40681587806546</v>
      </c>
      <c r="D477" s="77">
        <v>505.34283665214866</v>
      </c>
      <c r="E477" s="77">
        <v>4764377.6970312437</v>
      </c>
      <c r="F477" s="77" t="s">
        <v>468</v>
      </c>
      <c r="G477" s="25">
        <f t="shared" si="10"/>
        <v>1.3453177094504554E-3</v>
      </c>
      <c r="I477" s="78">
        <v>74.53</v>
      </c>
      <c r="J477" s="78">
        <v>77.56</v>
      </c>
      <c r="K477" s="78">
        <v>74.5</v>
      </c>
      <c r="L477" s="78">
        <v>77.209999999999994</v>
      </c>
      <c r="M477" s="78">
        <v>1746035</v>
      </c>
      <c r="N477" s="78" t="s">
        <v>468</v>
      </c>
      <c r="O477" s="25">
        <f t="shared" si="11"/>
        <v>-3.4710529724128913E-2</v>
      </c>
    </row>
    <row r="478" spans="1:15">
      <c r="A478" s="77">
        <v>510.36779028143752</v>
      </c>
      <c r="B478" s="77">
        <v>513.18570545394073</v>
      </c>
      <c r="C478" s="77">
        <v>508.67310003783422</v>
      </c>
      <c r="D478" s="77">
        <v>509.47118090836841</v>
      </c>
      <c r="E478" s="77">
        <v>4865086.626373467</v>
      </c>
      <c r="F478" s="77" t="s">
        <v>469</v>
      </c>
      <c r="G478" s="25">
        <f t="shared" si="10"/>
        <v>1.7598824166471516E-3</v>
      </c>
      <c r="I478" s="78">
        <v>78.17</v>
      </c>
      <c r="J478" s="78">
        <v>79</v>
      </c>
      <c r="K478" s="78">
        <v>77.08</v>
      </c>
      <c r="L478" s="78">
        <v>77.400000000000006</v>
      </c>
      <c r="M478" s="78">
        <v>1123662</v>
      </c>
      <c r="N478" s="78" t="s">
        <v>469</v>
      </c>
      <c r="O478" s="25">
        <f t="shared" si="11"/>
        <v>9.9483204134367398E-3</v>
      </c>
    </row>
    <row r="479" spans="1:15">
      <c r="A479" s="77">
        <v>513.04776555039166</v>
      </c>
      <c r="B479" s="77">
        <v>514.72275009348789</v>
      </c>
      <c r="C479" s="77">
        <v>509.28397675355171</v>
      </c>
      <c r="D479" s="77">
        <v>511.48116236008389</v>
      </c>
      <c r="E479" s="77">
        <v>6379260.6588762915</v>
      </c>
      <c r="F479" s="77" t="s">
        <v>470</v>
      </c>
      <c r="G479" s="25">
        <f t="shared" si="10"/>
        <v>3.0628756356914089E-3</v>
      </c>
      <c r="I479" s="78">
        <v>77.88</v>
      </c>
      <c r="J479" s="78">
        <v>79.22</v>
      </c>
      <c r="K479" s="78">
        <v>77.02</v>
      </c>
      <c r="L479" s="78">
        <v>78</v>
      </c>
      <c r="M479" s="78">
        <v>1191314</v>
      </c>
      <c r="N479" s="78" t="s">
        <v>470</v>
      </c>
      <c r="O479" s="25">
        <f t="shared" si="11"/>
        <v>-1.5384615384615996E-3</v>
      </c>
    </row>
    <row r="480" spans="1:15">
      <c r="A480" s="77">
        <v>505.79606776381007</v>
      </c>
      <c r="B480" s="77">
        <v>510.81116854284545</v>
      </c>
      <c r="C480" s="77">
        <v>505.22460244910656</v>
      </c>
      <c r="D480" s="77">
        <v>507.54987510893437</v>
      </c>
      <c r="E480" s="77">
        <v>5870872.7435908839</v>
      </c>
      <c r="F480" s="77" t="s">
        <v>471</v>
      </c>
      <c r="G480" s="25">
        <f t="shared" si="10"/>
        <v>-3.4554384330168775E-3</v>
      </c>
      <c r="I480" s="78">
        <v>76.510000000000005</v>
      </c>
      <c r="J480" s="78">
        <v>78.03</v>
      </c>
      <c r="K480" s="78">
        <v>75.41</v>
      </c>
      <c r="L480" s="78">
        <v>77.900000000000006</v>
      </c>
      <c r="M480" s="78">
        <v>1337472</v>
      </c>
      <c r="N480" s="78" t="s">
        <v>471</v>
      </c>
      <c r="O480" s="25">
        <f t="shared" si="11"/>
        <v>-1.7843388960205431E-2</v>
      </c>
    </row>
    <row r="481" spans="1:15">
      <c r="A481" s="77">
        <v>502.23918882229384</v>
      </c>
      <c r="B481" s="77">
        <v>503.97329046691112</v>
      </c>
      <c r="C481" s="77">
        <v>490.43547421859176</v>
      </c>
      <c r="D481" s="77">
        <v>495.85454185802092</v>
      </c>
      <c r="E481" s="77">
        <v>7991277.4450185318</v>
      </c>
      <c r="F481" s="77" t="s">
        <v>472</v>
      </c>
      <c r="G481" s="25">
        <f t="shared" si="10"/>
        <v>1.2876048165957998E-2</v>
      </c>
      <c r="I481" s="78">
        <v>77.599999999999994</v>
      </c>
      <c r="J481" s="78">
        <v>77.77</v>
      </c>
      <c r="K481" s="78">
        <v>75.815399999999997</v>
      </c>
      <c r="L481" s="78">
        <v>76.959999999999994</v>
      </c>
      <c r="M481" s="78">
        <v>1534031</v>
      </c>
      <c r="N481" s="78" t="s">
        <v>472</v>
      </c>
      <c r="O481" s="25">
        <f t="shared" si="11"/>
        <v>8.3160083160083165E-3</v>
      </c>
    </row>
    <row r="482" spans="1:15">
      <c r="A482" s="77">
        <v>501.99286756595615</v>
      </c>
      <c r="B482" s="77">
        <v>503.0369741073203</v>
      </c>
      <c r="C482" s="77">
        <v>496.83982688337164</v>
      </c>
      <c r="D482" s="77">
        <v>497.11570669046989</v>
      </c>
      <c r="E482" s="77">
        <v>6622912.9968528459</v>
      </c>
      <c r="F482" s="77" t="s">
        <v>473</v>
      </c>
      <c r="G482" s="25">
        <f t="shared" si="10"/>
        <v>9.810916874777087E-3</v>
      </c>
      <c r="I482" s="78">
        <v>77.099999999999994</v>
      </c>
      <c r="J482" s="78">
        <v>77.63</v>
      </c>
      <c r="K482" s="78">
        <v>75.89</v>
      </c>
      <c r="L482" s="78">
        <v>76.61</v>
      </c>
      <c r="M482" s="78">
        <v>1445606</v>
      </c>
      <c r="N482" s="78" t="s">
        <v>473</v>
      </c>
      <c r="O482" s="25">
        <f t="shared" si="11"/>
        <v>6.3960318496278923E-3</v>
      </c>
    </row>
    <row r="483" spans="1:15">
      <c r="A483" s="77">
        <v>498.96804253812934</v>
      </c>
      <c r="B483" s="77">
        <v>501.25390379694306</v>
      </c>
      <c r="C483" s="77">
        <v>493.58838629971416</v>
      </c>
      <c r="D483" s="77">
        <v>499.3523036980161</v>
      </c>
      <c r="E483" s="77">
        <v>4272891.4899536427</v>
      </c>
      <c r="F483" s="77" t="s">
        <v>474</v>
      </c>
      <c r="G483" s="25">
        <f t="shared" si="10"/>
        <v>-7.6951914918799158E-4</v>
      </c>
      <c r="I483" s="78">
        <v>77.22</v>
      </c>
      <c r="J483" s="78">
        <v>78.644999999999996</v>
      </c>
      <c r="K483" s="78">
        <v>76.03</v>
      </c>
      <c r="L483" s="78">
        <v>77.849999999999994</v>
      </c>
      <c r="M483" s="78">
        <v>1113381</v>
      </c>
      <c r="N483" s="78" t="s">
        <v>474</v>
      </c>
      <c r="O483" s="25">
        <f t="shared" si="11"/>
        <v>-8.0924855491328884E-3</v>
      </c>
    </row>
    <row r="484" spans="1:15">
      <c r="A484" s="77">
        <v>498.66260418027059</v>
      </c>
      <c r="B484" s="77">
        <v>499.06657104066437</v>
      </c>
      <c r="C484" s="77">
        <v>492.39619141903978</v>
      </c>
      <c r="D484" s="77">
        <v>495.04660813723331</v>
      </c>
      <c r="E484" s="77">
        <v>7036971.8625650965</v>
      </c>
      <c r="F484" s="77" t="s">
        <v>475</v>
      </c>
      <c r="G484" s="25">
        <f t="shared" si="10"/>
        <v>7.3043547488258476E-3</v>
      </c>
      <c r="I484" s="78">
        <v>77.349999999999994</v>
      </c>
      <c r="J484" s="78">
        <v>77.45</v>
      </c>
      <c r="K484" s="78">
        <v>75.62</v>
      </c>
      <c r="L484" s="78">
        <v>76.685000000000002</v>
      </c>
      <c r="M484" s="78">
        <v>1424509</v>
      </c>
      <c r="N484" s="78" t="s">
        <v>475</v>
      </c>
      <c r="O484" s="25">
        <f t="shared" si="11"/>
        <v>8.6718393427658302E-3</v>
      </c>
    </row>
    <row r="485" spans="1:15">
      <c r="A485" s="77">
        <v>495.01704958647281</v>
      </c>
      <c r="B485" s="77">
        <v>495.59836775142969</v>
      </c>
      <c r="C485" s="77">
        <v>484.98004956172713</v>
      </c>
      <c r="D485" s="77">
        <v>486.00169160451338</v>
      </c>
      <c r="E485" s="77">
        <v>6276694.3989617815</v>
      </c>
      <c r="F485" s="77" t="s">
        <v>476</v>
      </c>
      <c r="G485" s="25">
        <f t="shared" si="10"/>
        <v>1.8550054737866528E-2</v>
      </c>
      <c r="I485" s="78">
        <v>77.61</v>
      </c>
      <c r="J485" s="78">
        <v>78.11</v>
      </c>
      <c r="K485" s="78">
        <v>75.53</v>
      </c>
      <c r="L485" s="78">
        <v>76.75</v>
      </c>
      <c r="M485" s="78">
        <v>1874281</v>
      </c>
      <c r="N485" s="78" t="s">
        <v>476</v>
      </c>
      <c r="O485" s="25">
        <f t="shared" si="11"/>
        <v>1.1205211726384334E-2</v>
      </c>
    </row>
    <row r="486" spans="1:15">
      <c r="A486" s="77">
        <v>484.82920242434597</v>
      </c>
      <c r="B486" s="77">
        <v>493.80514900529136</v>
      </c>
      <c r="C486" s="77">
        <v>483.47936193961544</v>
      </c>
      <c r="D486" s="77">
        <v>489.38121924146645</v>
      </c>
      <c r="E486" s="77">
        <v>8167789.8201437779</v>
      </c>
      <c r="F486" s="77" t="s">
        <v>477</v>
      </c>
      <c r="G486" s="25">
        <f t="shared" si="10"/>
        <v>-9.3015764360063757E-3</v>
      </c>
      <c r="I486" s="78">
        <v>76.25</v>
      </c>
      <c r="J486" s="78">
        <v>79.37</v>
      </c>
      <c r="K486" s="78">
        <v>75.34</v>
      </c>
      <c r="L486" s="78">
        <v>76.84</v>
      </c>
      <c r="M486" s="78">
        <v>1661321</v>
      </c>
      <c r="N486" s="78" t="s">
        <v>477</v>
      </c>
      <c r="O486" s="25">
        <f t="shared" si="11"/>
        <v>-7.6782925559605308E-3</v>
      </c>
    </row>
    <row r="487" spans="1:15">
      <c r="A487" s="77">
        <v>477.16368492711712</v>
      </c>
      <c r="B487" s="77">
        <v>479.32145913263525</v>
      </c>
      <c r="C487" s="77">
        <v>470.1681612471267</v>
      </c>
      <c r="D487" s="77">
        <v>471.03521206943537</v>
      </c>
      <c r="E487" s="77">
        <v>6329456.7963010622</v>
      </c>
      <c r="F487" s="77" t="s">
        <v>478</v>
      </c>
      <c r="G487" s="25">
        <f t="shared" si="10"/>
        <v>1.301064697638421E-2</v>
      </c>
      <c r="I487" s="78">
        <v>74.349999999999994</v>
      </c>
      <c r="J487" s="78">
        <v>74.88</v>
      </c>
      <c r="K487" s="78">
        <v>72.720100000000002</v>
      </c>
      <c r="L487" s="78">
        <v>73.11</v>
      </c>
      <c r="M487" s="78">
        <v>1648695</v>
      </c>
      <c r="N487" s="78" t="s">
        <v>478</v>
      </c>
      <c r="O487" s="25">
        <f t="shared" si="11"/>
        <v>1.6960744084256518E-2</v>
      </c>
    </row>
    <row r="488" spans="1:15">
      <c r="A488" s="77">
        <v>465.41908742493609</v>
      </c>
      <c r="B488" s="77">
        <v>472.43431680543347</v>
      </c>
      <c r="C488" s="77">
        <v>460.45325089716829</v>
      </c>
      <c r="D488" s="77">
        <v>471.97123284351858</v>
      </c>
      <c r="E488" s="77">
        <v>7878431.9260678925</v>
      </c>
      <c r="F488" s="77" t="s">
        <v>479</v>
      </c>
      <c r="G488" s="25">
        <f t="shared" si="10"/>
        <v>-1.3882510124838099E-2</v>
      </c>
      <c r="I488" s="78">
        <v>72</v>
      </c>
      <c r="J488" s="78">
        <v>72.114999999999995</v>
      </c>
      <c r="K488" s="78">
        <v>69.83</v>
      </c>
      <c r="L488" s="78">
        <v>71.03</v>
      </c>
      <c r="M488" s="78">
        <v>1791715</v>
      </c>
      <c r="N488" s="78" t="s">
        <v>479</v>
      </c>
      <c r="O488" s="25">
        <f t="shared" si="11"/>
        <v>1.3656201604955731E-2</v>
      </c>
    </row>
    <row r="489" spans="1:15">
      <c r="A489" s="77">
        <v>476.7794237672303</v>
      </c>
      <c r="B489" s="77">
        <v>480.97673797522452</v>
      </c>
      <c r="C489" s="77">
        <v>474.4147397063885</v>
      </c>
      <c r="D489" s="77">
        <v>477.65632743979251</v>
      </c>
      <c r="E489" s="77">
        <v>5723155.0819445113</v>
      </c>
      <c r="F489" s="77" t="s">
        <v>480</v>
      </c>
      <c r="G489" s="25">
        <f t="shared" si="10"/>
        <v>-1.8358464489779402E-3</v>
      </c>
      <c r="I489" s="78">
        <v>71.2</v>
      </c>
      <c r="J489" s="78">
        <v>72.22</v>
      </c>
      <c r="K489" s="78">
        <v>70.388000000000005</v>
      </c>
      <c r="L489" s="78">
        <v>71.17</v>
      </c>
      <c r="M489" s="78">
        <v>2639660</v>
      </c>
      <c r="N489" s="78" t="s">
        <v>480</v>
      </c>
      <c r="O489" s="25">
        <f t="shared" si="11"/>
        <v>4.2152592384425702E-4</v>
      </c>
    </row>
    <row r="490" spans="1:15">
      <c r="A490" s="77">
        <v>476.11928280024529</v>
      </c>
      <c r="B490" s="77">
        <v>484.52869049161399</v>
      </c>
      <c r="C490" s="77">
        <v>471.19285767349152</v>
      </c>
      <c r="D490" s="77">
        <v>481.45952763764637</v>
      </c>
      <c r="E490" s="77">
        <v>6470076.0043831877</v>
      </c>
      <c r="F490" s="77" t="s">
        <v>481</v>
      </c>
      <c r="G490" s="25">
        <f t="shared" si="10"/>
        <v>-1.1091783485112083E-2</v>
      </c>
      <c r="I490" s="78">
        <v>73.53</v>
      </c>
      <c r="J490" s="78">
        <v>75.67</v>
      </c>
      <c r="K490" s="78">
        <v>72.41</v>
      </c>
      <c r="L490" s="78">
        <v>74.599999999999994</v>
      </c>
      <c r="M490" s="78">
        <v>1194073</v>
      </c>
      <c r="N490" s="78" t="s">
        <v>481</v>
      </c>
      <c r="O490" s="25">
        <f t="shared" si="11"/>
        <v>-1.4343163538873882E-2</v>
      </c>
    </row>
    <row r="491" spans="1:15">
      <c r="A491" s="77">
        <v>486.81947817555448</v>
      </c>
      <c r="B491" s="77">
        <v>491.92325460687141</v>
      </c>
      <c r="C491" s="77">
        <v>486.15933720856953</v>
      </c>
      <c r="D491" s="77">
        <v>488.73093112473492</v>
      </c>
      <c r="E491" s="77">
        <v>8323056.5663784929</v>
      </c>
      <c r="F491" s="77" t="s">
        <v>482</v>
      </c>
      <c r="G491" s="25">
        <f t="shared" si="10"/>
        <v>-3.911053766909256E-3</v>
      </c>
      <c r="I491" s="78">
        <v>74.59</v>
      </c>
      <c r="J491" s="78">
        <v>76.12</v>
      </c>
      <c r="K491" s="78">
        <v>74.069999999999993</v>
      </c>
      <c r="L491" s="78">
        <v>75.06</v>
      </c>
      <c r="M491" s="78">
        <v>1090025</v>
      </c>
      <c r="N491" s="78" t="s">
        <v>482</v>
      </c>
      <c r="O491" s="25">
        <f t="shared" si="11"/>
        <v>-6.2616573407939802E-3</v>
      </c>
    </row>
    <row r="492" spans="1:15">
      <c r="A492" s="77">
        <v>488.18902436079208</v>
      </c>
      <c r="B492" s="77">
        <v>492.89868678196865</v>
      </c>
      <c r="C492" s="77">
        <v>483.46950908936191</v>
      </c>
      <c r="D492" s="77">
        <v>492.69177692664499</v>
      </c>
      <c r="E492" s="77">
        <v>7816507.71284007</v>
      </c>
      <c r="F492" s="77" t="s">
        <v>483</v>
      </c>
      <c r="G492" s="25">
        <f t="shared" si="10"/>
        <v>-9.1390860913908023E-3</v>
      </c>
      <c r="I492" s="78">
        <v>75.06</v>
      </c>
      <c r="J492" s="78">
        <v>76.16</v>
      </c>
      <c r="K492" s="78">
        <v>74.135000000000005</v>
      </c>
      <c r="L492" s="78">
        <v>76</v>
      </c>
      <c r="M492" s="78">
        <v>2945506</v>
      </c>
      <c r="N492" s="78" t="s">
        <v>483</v>
      </c>
      <c r="O492" s="25">
        <f t="shared" si="11"/>
        <v>-1.2368421052631584E-2</v>
      </c>
    </row>
    <row r="493" spans="1:15">
      <c r="A493" s="77">
        <v>483.33156918581284</v>
      </c>
      <c r="B493" s="77">
        <v>485.74551749792215</v>
      </c>
      <c r="C493" s="77">
        <v>470.96624211766084</v>
      </c>
      <c r="D493" s="77">
        <v>473.61665883585437</v>
      </c>
      <c r="E493" s="77">
        <v>11713559.734546266</v>
      </c>
      <c r="F493" s="77" t="s">
        <v>484</v>
      </c>
      <c r="G493" s="25">
        <f t="shared" si="10"/>
        <v>2.051218040733116E-2</v>
      </c>
      <c r="I493" s="78">
        <v>74.78</v>
      </c>
      <c r="J493" s="78">
        <v>75.03</v>
      </c>
      <c r="K493" s="78">
        <v>70.87</v>
      </c>
      <c r="L493" s="78">
        <v>72.099999999999994</v>
      </c>
      <c r="M493" s="78">
        <v>3040899</v>
      </c>
      <c r="N493" s="78" t="s">
        <v>484</v>
      </c>
      <c r="O493" s="25">
        <f t="shared" si="11"/>
        <v>3.7170596393897526E-2</v>
      </c>
    </row>
    <row r="494" spans="1:15">
      <c r="A494" s="77">
        <v>474.96649932058489</v>
      </c>
      <c r="B494" s="77">
        <v>483.08524792947514</v>
      </c>
      <c r="C494" s="77">
        <v>461.43853592251901</v>
      </c>
      <c r="D494" s="77">
        <v>481.95217015032176</v>
      </c>
      <c r="E494" s="77">
        <v>16899985.863554809</v>
      </c>
      <c r="F494" s="77" t="s">
        <v>485</v>
      </c>
      <c r="G494" s="25">
        <f t="shared" si="10"/>
        <v>-1.4494531329858007E-2</v>
      </c>
      <c r="I494" s="78">
        <v>71.260000000000005</v>
      </c>
      <c r="J494" s="78">
        <v>75.05</v>
      </c>
      <c r="K494" s="78">
        <v>69.290000000000006</v>
      </c>
      <c r="L494" s="78">
        <v>74.5</v>
      </c>
      <c r="M494" s="78">
        <v>2914568</v>
      </c>
      <c r="N494" s="78" t="s">
        <v>485</v>
      </c>
      <c r="O494" s="25">
        <f t="shared" si="11"/>
        <v>-4.3489932885905969E-2</v>
      </c>
    </row>
    <row r="495" spans="1:15">
      <c r="A495" s="77">
        <v>491.75575615256179</v>
      </c>
      <c r="B495" s="77">
        <v>494.67338216963043</v>
      </c>
      <c r="C495" s="77">
        <v>446.49176208794813</v>
      </c>
      <c r="D495" s="77">
        <v>446.81690614631384</v>
      </c>
      <c r="E495" s="77">
        <v>29723981.636252075</v>
      </c>
      <c r="F495" s="77" t="s">
        <v>486</v>
      </c>
      <c r="G495" s="25">
        <f t="shared" si="10"/>
        <v>0.10057553639551031</v>
      </c>
      <c r="I495" s="78">
        <v>76.3</v>
      </c>
      <c r="J495" s="78">
        <v>77.239999999999995</v>
      </c>
      <c r="K495" s="78">
        <v>68.7</v>
      </c>
      <c r="L495" s="78">
        <v>69.724999999999994</v>
      </c>
      <c r="M495" s="78">
        <v>4431720</v>
      </c>
      <c r="N495" s="78" t="s">
        <v>486</v>
      </c>
      <c r="O495" s="25">
        <f t="shared" si="11"/>
        <v>9.4299031911079245E-2</v>
      </c>
    </row>
    <row r="496" spans="1:15">
      <c r="A496" s="77">
        <v>450.01908247870381</v>
      </c>
      <c r="B496" s="77">
        <v>475.39017188148574</v>
      </c>
      <c r="C496" s="77">
        <v>442.98414739769942</v>
      </c>
      <c r="D496" s="77">
        <v>472.62152096025011</v>
      </c>
      <c r="E496" s="77">
        <v>19286484.124972031</v>
      </c>
      <c r="F496" s="77" t="s">
        <v>487</v>
      </c>
      <c r="G496" s="25">
        <f t="shared" si="10"/>
        <v>-4.7823549032688373E-2</v>
      </c>
      <c r="I496" s="78">
        <v>70.3</v>
      </c>
      <c r="J496" s="78">
        <v>75.760000000000005</v>
      </c>
      <c r="K496" s="78">
        <v>69.38</v>
      </c>
      <c r="L496" s="78">
        <v>75.760000000000005</v>
      </c>
      <c r="M496" s="78">
        <v>3213451</v>
      </c>
      <c r="N496" s="78" t="s">
        <v>487</v>
      </c>
      <c r="O496" s="25">
        <f t="shared" si="11"/>
        <v>-7.2069693769799437E-2</v>
      </c>
    </row>
    <row r="497" spans="1:15">
      <c r="A497" s="77">
        <v>456.73872635159597</v>
      </c>
      <c r="B497" s="77">
        <v>473.6856287876289</v>
      </c>
      <c r="C497" s="77">
        <v>436.28420922531427</v>
      </c>
      <c r="D497" s="77">
        <v>442.92503029617836</v>
      </c>
      <c r="E497" s="77">
        <v>31752504.295762185</v>
      </c>
      <c r="F497" s="77" t="s">
        <v>488</v>
      </c>
      <c r="G497" s="25">
        <f t="shared" si="10"/>
        <v>3.1187436045735595E-2</v>
      </c>
      <c r="I497" s="78">
        <v>73.45</v>
      </c>
      <c r="J497" s="78">
        <v>75.83</v>
      </c>
      <c r="K497" s="78">
        <v>69.55</v>
      </c>
      <c r="L497" s="78">
        <v>70.61</v>
      </c>
      <c r="M497" s="78">
        <v>5170766</v>
      </c>
      <c r="N497" s="78" t="s">
        <v>488</v>
      </c>
      <c r="O497" s="25">
        <f t="shared" si="11"/>
        <v>4.0220931879337174E-2</v>
      </c>
    </row>
    <row r="498" spans="1:15">
      <c r="A498" s="77">
        <v>458.66988500128343</v>
      </c>
      <c r="B498" s="77">
        <v>476.18825275201988</v>
      </c>
      <c r="C498" s="77">
        <v>457.40872016883446</v>
      </c>
      <c r="D498" s="77">
        <v>474.19797700081131</v>
      </c>
      <c r="E498" s="77">
        <v>31428984.713307835</v>
      </c>
      <c r="F498" s="77" t="s">
        <v>489</v>
      </c>
      <c r="G498" s="25">
        <f t="shared" si="10"/>
        <v>-3.2746010638297851E-2</v>
      </c>
      <c r="I498" s="78">
        <v>74.16</v>
      </c>
      <c r="J498" s="78">
        <v>75.430000000000007</v>
      </c>
      <c r="K498" s="78">
        <v>70.64</v>
      </c>
      <c r="L498" s="78">
        <v>75.400000000000006</v>
      </c>
      <c r="M498" s="78">
        <v>3913385</v>
      </c>
      <c r="N498" s="78" t="s">
        <v>489</v>
      </c>
      <c r="O498" s="25">
        <f t="shared" si="11"/>
        <v>-1.6445623342175142E-2</v>
      </c>
    </row>
    <row r="499" spans="1:15">
      <c r="A499" s="77">
        <v>486.88844812732907</v>
      </c>
      <c r="B499" s="77">
        <v>496.24865586816122</v>
      </c>
      <c r="C499" s="77">
        <v>486.23816001059754</v>
      </c>
      <c r="D499" s="77">
        <v>493.62779770072819</v>
      </c>
      <c r="E499" s="77">
        <v>16468354.417772302</v>
      </c>
      <c r="F499" s="77" t="s">
        <v>490</v>
      </c>
      <c r="G499" s="25">
        <f t="shared" si="10"/>
        <v>-1.3652694610778338E-2</v>
      </c>
      <c r="I499" s="78">
        <v>76.42</v>
      </c>
      <c r="J499" s="78">
        <v>79.97</v>
      </c>
      <c r="K499" s="78">
        <v>76.260000000000005</v>
      </c>
      <c r="L499" s="78">
        <v>79.510000000000005</v>
      </c>
      <c r="M499" s="78">
        <v>2117885</v>
      </c>
      <c r="N499" s="78" t="s">
        <v>490</v>
      </c>
      <c r="O499" s="25">
        <f t="shared" si="11"/>
        <v>-3.8863036096088543E-2</v>
      </c>
    </row>
    <row r="500" spans="1:15">
      <c r="A500" s="77">
        <v>511.27425250476017</v>
      </c>
      <c r="B500" s="77">
        <v>513.81628787016518</v>
      </c>
      <c r="C500" s="77">
        <v>502.42619592010539</v>
      </c>
      <c r="D500" s="77">
        <v>502.63330283243408</v>
      </c>
      <c r="E500" s="77">
        <v>6402860.9363611965</v>
      </c>
      <c r="F500" s="77" t="s">
        <v>491</v>
      </c>
      <c r="G500" s="25">
        <f t="shared" si="10"/>
        <v>1.7191359234719705E-2</v>
      </c>
      <c r="I500" s="78">
        <v>81.88</v>
      </c>
      <c r="J500" s="78">
        <v>82.76</v>
      </c>
      <c r="K500" s="78">
        <v>77.989999999999995</v>
      </c>
      <c r="L500" s="78">
        <v>78.27</v>
      </c>
      <c r="M500" s="78">
        <v>1908271</v>
      </c>
      <c r="N500" s="78" t="s">
        <v>491</v>
      </c>
      <c r="O500" s="25">
        <f t="shared" si="11"/>
        <v>4.6122396831480783E-2</v>
      </c>
    </row>
    <row r="501" spans="1:15">
      <c r="A501" s="77">
        <v>508.21001607591933</v>
      </c>
      <c r="B501" s="77">
        <v>509.73720786521307</v>
      </c>
      <c r="C501" s="77">
        <v>501.39184370049213</v>
      </c>
      <c r="D501" s="77">
        <v>504.82063558871278</v>
      </c>
      <c r="E501" s="77">
        <v>7811969.9396222057</v>
      </c>
      <c r="F501" s="77" t="s">
        <v>492</v>
      </c>
      <c r="G501" s="25">
        <f t="shared" si="10"/>
        <v>6.7140291982199507E-3</v>
      </c>
      <c r="I501" s="78">
        <v>78.39</v>
      </c>
      <c r="J501" s="78">
        <v>80.265000000000001</v>
      </c>
      <c r="K501" s="78">
        <v>77.739999999999995</v>
      </c>
      <c r="L501" s="78">
        <v>79.5</v>
      </c>
      <c r="M501" s="78">
        <v>1870497</v>
      </c>
      <c r="N501" s="78" t="s">
        <v>492</v>
      </c>
      <c r="O501" s="25">
        <f t="shared" si="11"/>
        <v>-1.3962264150943371E-2</v>
      </c>
    </row>
    <row r="502" spans="1:15">
      <c r="A502" s="77">
        <v>506.3478273780064</v>
      </c>
      <c r="B502" s="77">
        <v>507.74693211400455</v>
      </c>
      <c r="C502" s="77">
        <v>495.24366514230343</v>
      </c>
      <c r="D502" s="77">
        <v>497.87437615998994</v>
      </c>
      <c r="E502" s="77">
        <v>8319083.096875486</v>
      </c>
      <c r="F502" s="77" t="s">
        <v>493</v>
      </c>
      <c r="G502" s="25">
        <f t="shared" si="10"/>
        <v>1.7019255506520725E-2</v>
      </c>
      <c r="I502" s="78">
        <v>79.34</v>
      </c>
      <c r="J502" s="78">
        <v>79.95</v>
      </c>
      <c r="K502" s="78">
        <v>77.540000000000006</v>
      </c>
      <c r="L502" s="78">
        <v>79.405000000000001</v>
      </c>
      <c r="M502" s="78">
        <v>1744142</v>
      </c>
      <c r="N502" s="78" t="s">
        <v>493</v>
      </c>
      <c r="O502" s="25">
        <f t="shared" si="11"/>
        <v>-8.1858825011016378E-4</v>
      </c>
    </row>
    <row r="503" spans="1:15">
      <c r="A503" s="77">
        <v>503.28359094916561</v>
      </c>
      <c r="B503" s="77">
        <v>512.80144429405391</v>
      </c>
      <c r="C503" s="77">
        <v>502.65300853294116</v>
      </c>
      <c r="D503" s="77">
        <v>512.11174477630834</v>
      </c>
      <c r="E503" s="77">
        <v>5918889.3060908141</v>
      </c>
      <c r="F503" s="77" t="s">
        <v>494</v>
      </c>
      <c r="G503" s="25">
        <f t="shared" si="10"/>
        <v>-1.7238725565645652E-2</v>
      </c>
      <c r="I503" s="78">
        <v>80</v>
      </c>
      <c r="J503" s="78">
        <v>82.35</v>
      </c>
      <c r="K503" s="78">
        <v>79.3</v>
      </c>
      <c r="L503" s="78">
        <v>81.86</v>
      </c>
      <c r="M503" s="78">
        <v>1526437</v>
      </c>
      <c r="N503" s="78" t="s">
        <v>494</v>
      </c>
      <c r="O503" s="25">
        <f t="shared" si="11"/>
        <v>-2.2721720009772794E-2</v>
      </c>
    </row>
    <row r="504" spans="1:15">
      <c r="A504" s="77">
        <v>513.54040806306705</v>
      </c>
      <c r="B504" s="77">
        <v>516.95737653098342</v>
      </c>
      <c r="C504" s="77">
        <v>511.58954371287251</v>
      </c>
      <c r="D504" s="77">
        <v>513.61923086509501</v>
      </c>
      <c r="E504" s="77">
        <v>5617590.7048111307</v>
      </c>
      <c r="F504" s="77" t="s">
        <v>495</v>
      </c>
      <c r="G504" s="25">
        <f t="shared" si="10"/>
        <v>-1.5346544150074415E-4</v>
      </c>
      <c r="I504" s="78">
        <v>82.28</v>
      </c>
      <c r="J504" s="78">
        <v>83.09</v>
      </c>
      <c r="K504" s="78">
        <v>81.575000000000003</v>
      </c>
      <c r="L504" s="78">
        <v>82.6</v>
      </c>
      <c r="M504" s="78">
        <v>1812804</v>
      </c>
      <c r="N504" s="78" t="s">
        <v>495</v>
      </c>
      <c r="O504" s="25">
        <f t="shared" si="11"/>
        <v>-3.8740920096851372E-3</v>
      </c>
    </row>
    <row r="505" spans="1:15">
      <c r="A505" s="77">
        <v>514.95714942157781</v>
      </c>
      <c r="B505" s="77">
        <v>521.78122025344283</v>
      </c>
      <c r="C505" s="77">
        <v>513.62179167606178</v>
      </c>
      <c r="D505" s="77">
        <v>520.94662166249532</v>
      </c>
      <c r="E505" s="77">
        <v>4511368.8674280494</v>
      </c>
      <c r="F505" s="77" t="s">
        <v>496</v>
      </c>
      <c r="G505" s="25">
        <f t="shared" si="10"/>
        <v>-1.1497285886610253E-2</v>
      </c>
      <c r="I505" s="78">
        <v>82.83</v>
      </c>
      <c r="J505" s="78">
        <v>87.617999999999995</v>
      </c>
      <c r="K505" s="78">
        <v>82.774900000000002</v>
      </c>
      <c r="L505" s="78">
        <v>86.98</v>
      </c>
      <c r="M505" s="78">
        <v>2082212</v>
      </c>
      <c r="N505" s="78" t="s">
        <v>496</v>
      </c>
      <c r="O505" s="25">
        <f t="shared" si="11"/>
        <v>-4.7712117728213488E-2</v>
      </c>
    </row>
    <row r="506" spans="1:15">
      <c r="A506" s="77">
        <v>521.03499092506627</v>
      </c>
      <c r="B506" s="77">
        <v>521.96777758553708</v>
      </c>
      <c r="C506" s="77">
        <v>519.52289465440845</v>
      </c>
      <c r="D506" s="77">
        <v>520.97607808335238</v>
      </c>
      <c r="E506" s="77">
        <v>6375722.6620270433</v>
      </c>
      <c r="F506" s="77" t="s">
        <v>497</v>
      </c>
      <c r="G506" s="25">
        <f t="shared" si="10"/>
        <v>1.1308166380818996E-4</v>
      </c>
      <c r="I506" s="78">
        <v>87.53</v>
      </c>
      <c r="J506" s="78">
        <v>89.781300000000002</v>
      </c>
      <c r="K506" s="78">
        <v>87.01</v>
      </c>
      <c r="L506" s="78">
        <v>89.23</v>
      </c>
      <c r="M506" s="78">
        <v>2839591</v>
      </c>
      <c r="N506" s="78" t="s">
        <v>497</v>
      </c>
      <c r="O506" s="25">
        <f t="shared" si="11"/>
        <v>-1.9051888378348147E-2</v>
      </c>
    </row>
    <row r="507" spans="1:15">
      <c r="A507" s="77">
        <v>519.79782124907342</v>
      </c>
      <c r="B507" s="77">
        <v>520.77970194430588</v>
      </c>
      <c r="C507" s="77">
        <v>516.35142000880774</v>
      </c>
      <c r="D507" s="77">
        <v>516.94054842594721</v>
      </c>
      <c r="E507" s="77">
        <v>22789191.302619595</v>
      </c>
      <c r="F507" s="77" t="s">
        <v>498</v>
      </c>
      <c r="G507" s="25">
        <f t="shared" si="10"/>
        <v>5.5272754900470566E-3</v>
      </c>
      <c r="I507" s="78">
        <v>88.02</v>
      </c>
      <c r="J507" s="78">
        <v>89.95</v>
      </c>
      <c r="K507" s="78">
        <v>87.484999999999999</v>
      </c>
      <c r="L507" s="78">
        <v>88.52</v>
      </c>
      <c r="M507" s="78">
        <v>1757116</v>
      </c>
      <c r="N507" s="78" t="s">
        <v>498</v>
      </c>
      <c r="O507" s="25">
        <f t="shared" si="11"/>
        <v>-5.6484410302756194E-3</v>
      </c>
    </row>
    <row r="508" spans="1:15">
      <c r="A508" s="77">
        <v>510.83325050160175</v>
      </c>
      <c r="B508" s="77">
        <v>511.51074818131212</v>
      </c>
      <c r="C508" s="77">
        <v>505.32980920482419</v>
      </c>
      <c r="D508" s="77">
        <v>506.44424379391296</v>
      </c>
      <c r="E508" s="77">
        <v>5152368.3320840271</v>
      </c>
      <c r="F508" s="77" t="s">
        <v>499</v>
      </c>
      <c r="G508" s="25">
        <f t="shared" ref="G508:G571" si="12">A508/D508-1</f>
        <v>8.6663176874308689E-3</v>
      </c>
      <c r="I508" s="78">
        <v>87.66</v>
      </c>
      <c r="J508" s="78">
        <v>87.855000000000004</v>
      </c>
      <c r="K508" s="78">
        <v>83.5</v>
      </c>
      <c r="L508" s="78">
        <v>83.74</v>
      </c>
      <c r="M508" s="78">
        <v>3822423</v>
      </c>
      <c r="N508" s="78" t="s">
        <v>499</v>
      </c>
      <c r="O508" s="25">
        <f t="shared" ref="O508:O571" si="13">I508/L508-1</f>
        <v>4.6811559589204688E-2</v>
      </c>
    </row>
    <row r="509" spans="1:15">
      <c r="A509" s="77">
        <v>510.70560601122156</v>
      </c>
      <c r="B509" s="77">
        <v>515.10934092933883</v>
      </c>
      <c r="C509" s="77">
        <v>507.9465212576186</v>
      </c>
      <c r="D509" s="77">
        <v>508.57492490256732</v>
      </c>
      <c r="E509" s="77">
        <v>6141007.7917591697</v>
      </c>
      <c r="F509" s="77" t="s">
        <v>500</v>
      </c>
      <c r="G509" s="25">
        <f t="shared" si="12"/>
        <v>4.1895127036835067E-3</v>
      </c>
      <c r="I509" s="78">
        <v>84.79</v>
      </c>
      <c r="J509" s="78">
        <v>87.01</v>
      </c>
      <c r="K509" s="78">
        <v>83.55</v>
      </c>
      <c r="L509" s="78">
        <v>85.36</v>
      </c>
      <c r="M509" s="78">
        <v>1612855</v>
      </c>
      <c r="N509" s="78" t="s">
        <v>500</v>
      </c>
      <c r="O509" s="25">
        <f t="shared" si="13"/>
        <v>-6.6776007497656442E-3</v>
      </c>
    </row>
    <row r="510" spans="1:15">
      <c r="A510" s="77">
        <v>511.88386284550046</v>
      </c>
      <c r="B510" s="77">
        <v>515.44808976919398</v>
      </c>
      <c r="C510" s="77">
        <v>507.06194493928365</v>
      </c>
      <c r="D510" s="77">
        <v>508.16253501056963</v>
      </c>
      <c r="E510" s="77">
        <v>5473118.0947886109</v>
      </c>
      <c r="F510" s="77" t="s">
        <v>501</v>
      </c>
      <c r="G510" s="25">
        <f t="shared" si="12"/>
        <v>7.3231054604476764E-3</v>
      </c>
      <c r="I510" s="78">
        <v>84.96</v>
      </c>
      <c r="J510" s="78">
        <v>86.06</v>
      </c>
      <c r="K510" s="78">
        <v>83.53</v>
      </c>
      <c r="L510" s="78">
        <v>85</v>
      </c>
      <c r="M510" s="78">
        <v>2613533</v>
      </c>
      <c r="N510" s="78" t="s">
        <v>501</v>
      </c>
      <c r="O510" s="25">
        <f t="shared" si="13"/>
        <v>-4.7058823529422256E-4</v>
      </c>
    </row>
    <row r="511" spans="1:15">
      <c r="A511" s="77">
        <v>506.56206947734086</v>
      </c>
      <c r="B511" s="77">
        <v>510.10665878712979</v>
      </c>
      <c r="C511" s="77">
        <v>504.75619450266942</v>
      </c>
      <c r="D511" s="77">
        <v>509.91028264808335</v>
      </c>
      <c r="E511" s="77">
        <v>6121515.6069215089</v>
      </c>
      <c r="F511" s="77" t="s">
        <v>502</v>
      </c>
      <c r="G511" s="25">
        <f t="shared" si="12"/>
        <v>-6.5662789802050092E-3</v>
      </c>
      <c r="I511" s="78">
        <v>85.16</v>
      </c>
      <c r="J511" s="78">
        <v>85.594999999999999</v>
      </c>
      <c r="K511" s="78">
        <v>84.05</v>
      </c>
      <c r="L511" s="78">
        <v>85.58</v>
      </c>
      <c r="M511" s="78">
        <v>1453740</v>
      </c>
      <c r="N511" s="78" t="s">
        <v>502</v>
      </c>
      <c r="O511" s="25">
        <f t="shared" si="13"/>
        <v>-4.9076887123159496E-3</v>
      </c>
    </row>
    <row r="512" spans="1:15">
      <c r="A512" s="77">
        <v>511.962413301119</v>
      </c>
      <c r="B512" s="77">
        <v>514.34838339053374</v>
      </c>
      <c r="C512" s="77">
        <v>507.71086989076281</v>
      </c>
      <c r="D512" s="77">
        <v>508.07416574799879</v>
      </c>
      <c r="E512" s="77">
        <v>6385544.6292444738</v>
      </c>
      <c r="F512" s="77" t="s">
        <v>503</v>
      </c>
      <c r="G512" s="25">
        <f t="shared" si="12"/>
        <v>7.6529133249587655E-3</v>
      </c>
      <c r="I512" s="78">
        <v>85.68</v>
      </c>
      <c r="J512" s="78">
        <v>86.68</v>
      </c>
      <c r="K512" s="78">
        <v>84.5</v>
      </c>
      <c r="L512" s="78">
        <v>85.98</v>
      </c>
      <c r="M512" s="78">
        <v>1344195</v>
      </c>
      <c r="N512" s="78" t="s">
        <v>503</v>
      </c>
      <c r="O512" s="25">
        <f t="shared" si="13"/>
        <v>-3.4891835310536523E-3</v>
      </c>
    </row>
    <row r="513" spans="1:15">
      <c r="A513" s="77">
        <v>508.08398455495109</v>
      </c>
      <c r="B513" s="77">
        <v>509.02659002237414</v>
      </c>
      <c r="C513" s="77">
        <v>501.58393435251264</v>
      </c>
      <c r="D513" s="77">
        <v>502.01596185841487</v>
      </c>
      <c r="E513" s="77">
        <v>7549044.4368556393</v>
      </c>
      <c r="F513" s="77" t="s">
        <v>504</v>
      </c>
      <c r="G513" s="25">
        <f t="shared" si="12"/>
        <v>1.2087310280081587E-2</v>
      </c>
      <c r="I513" s="78">
        <v>85.6</v>
      </c>
      <c r="J513" s="78">
        <v>86.11</v>
      </c>
      <c r="K513" s="78">
        <v>83.76</v>
      </c>
      <c r="L513" s="78">
        <v>84.7</v>
      </c>
      <c r="M513" s="78">
        <v>2079245</v>
      </c>
      <c r="N513" s="78" t="s">
        <v>504</v>
      </c>
      <c r="O513" s="25">
        <f t="shared" si="13"/>
        <v>1.0625737898465104E-2</v>
      </c>
    </row>
    <row r="514" spans="1:15">
      <c r="A514" s="77">
        <v>497.86260651758192</v>
      </c>
      <c r="B514" s="77">
        <v>504.74559019116089</v>
      </c>
      <c r="C514" s="77">
        <v>496.26214098435315</v>
      </c>
      <c r="D514" s="77">
        <v>504.20555580878312</v>
      </c>
      <c r="E514" s="77">
        <v>22049518.953905061</v>
      </c>
      <c r="F514" s="77" t="s">
        <v>505</v>
      </c>
      <c r="G514" s="25">
        <f t="shared" si="12"/>
        <v>-1.2580086074273078E-2</v>
      </c>
      <c r="I514" s="78">
        <v>84.05</v>
      </c>
      <c r="J514" s="78">
        <v>84.81</v>
      </c>
      <c r="K514" s="78">
        <v>82.74</v>
      </c>
      <c r="L514" s="78">
        <v>83.5</v>
      </c>
      <c r="M514" s="78">
        <v>1667995</v>
      </c>
      <c r="N514" s="78" t="s">
        <v>505</v>
      </c>
      <c r="O514" s="25">
        <f t="shared" si="13"/>
        <v>6.5868263473054522E-3</v>
      </c>
    </row>
    <row r="515" spans="1:15">
      <c r="A515" s="77">
        <v>504.45102598259126</v>
      </c>
      <c r="B515" s="77">
        <v>508.35891114961618</v>
      </c>
      <c r="C515" s="77">
        <v>499.87546194280833</v>
      </c>
      <c r="D515" s="77">
        <v>507.52431255866861</v>
      </c>
      <c r="E515" s="77">
        <v>8749082.2884208206</v>
      </c>
      <c r="F515" s="77" t="s">
        <v>506</v>
      </c>
      <c r="G515" s="25">
        <f t="shared" si="12"/>
        <v>-6.0554470003288952E-3</v>
      </c>
      <c r="I515" s="78">
        <v>84.2</v>
      </c>
      <c r="J515" s="78">
        <v>85.83</v>
      </c>
      <c r="K515" s="78">
        <v>81.510000000000005</v>
      </c>
      <c r="L515" s="78">
        <v>84.63</v>
      </c>
      <c r="M515" s="78">
        <v>1805371</v>
      </c>
      <c r="N515" s="78" t="s">
        <v>506</v>
      </c>
      <c r="O515" s="25">
        <f t="shared" si="13"/>
        <v>-5.0809405648114536E-3</v>
      </c>
    </row>
    <row r="516" spans="1:15">
      <c r="A516" s="77">
        <v>502.01596185841487</v>
      </c>
      <c r="B516" s="77">
        <v>508.15261801554783</v>
      </c>
      <c r="C516" s="77">
        <v>498.33390925129345</v>
      </c>
      <c r="D516" s="77">
        <v>505.01069797887374</v>
      </c>
      <c r="E516" s="77">
        <v>11415759.62785084</v>
      </c>
      <c r="F516" s="77" t="s">
        <v>507</v>
      </c>
      <c r="G516" s="25">
        <f t="shared" si="12"/>
        <v>-5.9300449127993593E-3</v>
      </c>
      <c r="I516" s="78">
        <v>84.52</v>
      </c>
      <c r="J516" s="78">
        <v>92.9</v>
      </c>
      <c r="K516" s="78">
        <v>83.09</v>
      </c>
      <c r="L516" s="78">
        <v>88.5</v>
      </c>
      <c r="M516" s="78">
        <v>3720899</v>
      </c>
      <c r="N516" s="78" t="s">
        <v>507</v>
      </c>
      <c r="O516" s="25">
        <f t="shared" si="13"/>
        <v>-4.4971751412429373E-2</v>
      </c>
    </row>
    <row r="517" spans="1:15">
      <c r="A517" s="77">
        <v>506.16931719924793</v>
      </c>
      <c r="B517" s="77">
        <v>514.21092009320125</v>
      </c>
      <c r="C517" s="77">
        <v>501.57411554556035</v>
      </c>
      <c r="D517" s="77">
        <v>512.44353484178282</v>
      </c>
      <c r="E517" s="77">
        <v>11383145.685896903</v>
      </c>
      <c r="F517" s="77" t="s">
        <v>508</v>
      </c>
      <c r="G517" s="25">
        <f t="shared" si="12"/>
        <v>-1.2243724851504045E-2</v>
      </c>
      <c r="I517" s="78">
        <v>85.97</v>
      </c>
      <c r="J517" s="78">
        <v>89</v>
      </c>
      <c r="K517" s="78">
        <v>85</v>
      </c>
      <c r="L517" s="78">
        <v>86.17</v>
      </c>
      <c r="M517" s="78">
        <v>2989145</v>
      </c>
      <c r="N517" s="78" t="s">
        <v>508</v>
      </c>
      <c r="O517" s="25">
        <f t="shared" si="13"/>
        <v>-2.3209933851688902E-3</v>
      </c>
    </row>
    <row r="518" spans="1:15">
      <c r="A518" s="77">
        <v>519.91564693250132</v>
      </c>
      <c r="B518" s="77">
        <v>521.26082348496971</v>
      </c>
      <c r="C518" s="77">
        <v>510.70560601122156</v>
      </c>
      <c r="D518" s="77">
        <v>515.38917692747998</v>
      </c>
      <c r="E518" s="77">
        <v>7443144.6055371407</v>
      </c>
      <c r="F518" s="77" t="s">
        <v>509</v>
      </c>
      <c r="G518" s="25">
        <f t="shared" si="12"/>
        <v>8.782625261954724E-3</v>
      </c>
      <c r="I518" s="78">
        <v>86.62</v>
      </c>
      <c r="J518" s="78">
        <v>87.62</v>
      </c>
      <c r="K518" s="78">
        <v>83.39</v>
      </c>
      <c r="L518" s="78">
        <v>84.61</v>
      </c>
      <c r="M518" s="78">
        <v>3237602</v>
      </c>
      <c r="N518" s="78" t="s">
        <v>509</v>
      </c>
      <c r="O518" s="25">
        <f t="shared" si="13"/>
        <v>2.3756057203640379E-2</v>
      </c>
    </row>
    <row r="519" spans="1:15">
      <c r="A519" s="77">
        <v>517.12710575804135</v>
      </c>
      <c r="B519" s="77">
        <v>523.76461925781223</v>
      </c>
      <c r="C519" s="77">
        <v>514.72149805472202</v>
      </c>
      <c r="D519" s="77">
        <v>519.60144511002704</v>
      </c>
      <c r="E519" s="77">
        <v>7362326.2328108912</v>
      </c>
      <c r="F519" s="77" t="s">
        <v>510</v>
      </c>
      <c r="G519" s="25">
        <f t="shared" si="12"/>
        <v>-4.7619947466884804E-3</v>
      </c>
      <c r="I519" s="78">
        <v>84.65</v>
      </c>
      <c r="J519" s="78">
        <v>87.8</v>
      </c>
      <c r="K519" s="78">
        <v>84.46</v>
      </c>
      <c r="L519" s="78">
        <v>84.52</v>
      </c>
      <c r="M519" s="78">
        <v>2320144</v>
      </c>
      <c r="N519" s="78" t="s">
        <v>510</v>
      </c>
      <c r="O519" s="25">
        <f t="shared" si="13"/>
        <v>1.5380974917180712E-3</v>
      </c>
    </row>
    <row r="520" spans="1:15">
      <c r="A520" s="77">
        <v>526.68080492265244</v>
      </c>
      <c r="B520" s="77">
        <v>528.04571727709504</v>
      </c>
      <c r="C520" s="77">
        <v>517.38239473880174</v>
      </c>
      <c r="D520" s="77">
        <v>520.64223864697328</v>
      </c>
      <c r="E520" s="77">
        <v>6336559.0445053661</v>
      </c>
      <c r="F520" s="77" t="s">
        <v>511</v>
      </c>
      <c r="G520" s="25">
        <f t="shared" si="12"/>
        <v>1.1598302687411577E-2</v>
      </c>
      <c r="I520" s="78">
        <v>85.69</v>
      </c>
      <c r="J520" s="78">
        <v>86.82</v>
      </c>
      <c r="K520" s="78">
        <v>84.09</v>
      </c>
      <c r="L520" s="78">
        <v>85</v>
      </c>
      <c r="M520" s="78">
        <v>2204927</v>
      </c>
      <c r="N520" s="78" t="s">
        <v>511</v>
      </c>
      <c r="O520" s="25">
        <f t="shared" si="13"/>
        <v>8.1176470588235627E-3</v>
      </c>
    </row>
    <row r="521" spans="1:15">
      <c r="A521" s="77">
        <v>520.83861478601978</v>
      </c>
      <c r="B521" s="77">
        <v>528.52664244161986</v>
      </c>
      <c r="C521" s="77">
        <v>516.62634660347283</v>
      </c>
      <c r="D521" s="77">
        <v>523.4013234005763</v>
      </c>
      <c r="E521" s="77">
        <v>10670782.153956339</v>
      </c>
      <c r="F521" s="77" t="s">
        <v>512</v>
      </c>
      <c r="G521" s="25">
        <f t="shared" si="12"/>
        <v>-4.8962593329081594E-3</v>
      </c>
      <c r="I521" s="78">
        <v>84.89</v>
      </c>
      <c r="J521" s="78">
        <v>85.77</v>
      </c>
      <c r="K521" s="78">
        <v>80.180000000000007</v>
      </c>
      <c r="L521" s="78">
        <v>80.739999999999995</v>
      </c>
      <c r="M521" s="78">
        <v>4210104</v>
      </c>
      <c r="N521" s="78" t="s">
        <v>512</v>
      </c>
      <c r="O521" s="25">
        <f t="shared" si="13"/>
        <v>5.1399554124349933E-2</v>
      </c>
    </row>
    <row r="522" spans="1:15">
      <c r="A522" s="77">
        <v>527.19138288417332</v>
      </c>
      <c r="B522" s="77">
        <v>539.33724708419788</v>
      </c>
      <c r="C522" s="77">
        <v>523.58886261336568</v>
      </c>
      <c r="D522" s="77">
        <v>538.2669971263947</v>
      </c>
      <c r="E522" s="77">
        <v>7424525.2354967985</v>
      </c>
      <c r="F522" s="77" t="s">
        <v>513</v>
      </c>
      <c r="G522" s="25">
        <f t="shared" si="12"/>
        <v>-2.0576431959139052E-2</v>
      </c>
      <c r="I522" s="78">
        <v>84.2</v>
      </c>
      <c r="J522" s="78">
        <v>88.814999999999998</v>
      </c>
      <c r="K522" s="78">
        <v>83.79</v>
      </c>
      <c r="L522" s="78">
        <v>88.7</v>
      </c>
      <c r="M522" s="78">
        <v>2478751</v>
      </c>
      <c r="N522" s="78" t="s">
        <v>513</v>
      </c>
      <c r="O522" s="25">
        <f t="shared" si="13"/>
        <v>-5.0732807215332576E-2</v>
      </c>
    </row>
    <row r="523" spans="1:15">
      <c r="A523" s="77">
        <v>536.43088022631014</v>
      </c>
      <c r="B523" s="77">
        <v>536.9807334156402</v>
      </c>
      <c r="C523" s="77">
        <v>525.87566275256199</v>
      </c>
      <c r="D523" s="77">
        <v>528.66420392702184</v>
      </c>
      <c r="E523" s="77">
        <v>7463280.4530958105</v>
      </c>
      <c r="F523" s="77" t="s">
        <v>514</v>
      </c>
      <c r="G523" s="25">
        <f t="shared" si="12"/>
        <v>1.4691133315998917E-2</v>
      </c>
      <c r="I523" s="78">
        <v>88.74</v>
      </c>
      <c r="J523" s="78">
        <v>90.259900000000002</v>
      </c>
      <c r="K523" s="78">
        <v>87.501000000000005</v>
      </c>
      <c r="L523" s="78">
        <v>87.77</v>
      </c>
      <c r="M523" s="78">
        <v>3069049</v>
      </c>
      <c r="N523" s="78" t="s">
        <v>514</v>
      </c>
      <c r="O523" s="25">
        <f t="shared" si="13"/>
        <v>1.1051612168166747E-2</v>
      </c>
    </row>
    <row r="524" spans="1:15">
      <c r="A524" s="77">
        <v>528.22235761416732</v>
      </c>
      <c r="B524" s="77">
        <v>539.91655669438501</v>
      </c>
      <c r="C524" s="77">
        <v>527.8590617569314</v>
      </c>
      <c r="D524" s="77">
        <v>538.88558196439112</v>
      </c>
      <c r="E524" s="77">
        <v>5623240.2030200129</v>
      </c>
      <c r="F524" s="77" t="s">
        <v>515</v>
      </c>
      <c r="G524" s="25">
        <f t="shared" si="12"/>
        <v>-1.9787548056775406E-2</v>
      </c>
      <c r="I524" s="78">
        <v>88.97</v>
      </c>
      <c r="J524" s="78">
        <v>93.67</v>
      </c>
      <c r="K524" s="78">
        <v>88.75</v>
      </c>
      <c r="L524" s="78">
        <v>93.48</v>
      </c>
      <c r="M524" s="78">
        <v>2272399</v>
      </c>
      <c r="N524" s="78" t="s">
        <v>515</v>
      </c>
      <c r="O524" s="25">
        <f t="shared" si="13"/>
        <v>-4.8245614035087758E-2</v>
      </c>
    </row>
    <row r="525" spans="1:15">
      <c r="A525" s="77">
        <v>536.84327011830771</v>
      </c>
      <c r="B525" s="77">
        <v>541.35501191290052</v>
      </c>
      <c r="C525" s="77">
        <v>534.38856838022673</v>
      </c>
      <c r="D525" s="77">
        <v>538.08043979430045</v>
      </c>
      <c r="E525" s="77">
        <v>4257954.1692797067</v>
      </c>
      <c r="F525" s="77" t="s">
        <v>516</v>
      </c>
      <c r="G525" s="25">
        <f t="shared" si="12"/>
        <v>-2.2992281162751427E-3</v>
      </c>
      <c r="I525" s="78">
        <v>94.05</v>
      </c>
      <c r="J525" s="78">
        <v>96.88</v>
      </c>
      <c r="K525" s="78">
        <v>93.21</v>
      </c>
      <c r="L525" s="78">
        <v>95.62</v>
      </c>
      <c r="M525" s="78">
        <v>1841886</v>
      </c>
      <c r="N525" s="78" t="s">
        <v>516</v>
      </c>
      <c r="O525" s="25">
        <f t="shared" si="13"/>
        <v>-1.6419159171721431E-2</v>
      </c>
    </row>
    <row r="526" spans="1:15">
      <c r="A526" s="77">
        <v>536.50943068192862</v>
      </c>
      <c r="B526" s="77">
        <v>539.80854981790947</v>
      </c>
      <c r="C526" s="77">
        <v>532.34468552503097</v>
      </c>
      <c r="D526" s="77">
        <v>539.22924020772234</v>
      </c>
      <c r="E526" s="77">
        <v>5592832.2317206748</v>
      </c>
      <c r="F526" s="77" t="s">
        <v>517</v>
      </c>
      <c r="G526" s="25">
        <f t="shared" si="12"/>
        <v>-5.0438836082887795E-3</v>
      </c>
      <c r="I526" s="78">
        <v>95.76</v>
      </c>
      <c r="J526" s="78">
        <v>95.93</v>
      </c>
      <c r="K526" s="78">
        <v>91.92</v>
      </c>
      <c r="L526" s="78">
        <v>93.48</v>
      </c>
      <c r="M526" s="78">
        <v>3622887</v>
      </c>
      <c r="N526" s="78" t="s">
        <v>517</v>
      </c>
      <c r="O526" s="25">
        <f t="shared" si="13"/>
        <v>2.4390243902439046E-2</v>
      </c>
    </row>
    <row r="527" spans="1:15">
      <c r="A527" s="77">
        <v>539.18996497991304</v>
      </c>
      <c r="B527" s="77">
        <v>544.46266431331105</v>
      </c>
      <c r="C527" s="77">
        <v>538.57462034821094</v>
      </c>
      <c r="D527" s="77">
        <v>543.57897168760189</v>
      </c>
      <c r="E527" s="77">
        <v>4860320.6307773711</v>
      </c>
      <c r="F527" s="77" t="s">
        <v>518</v>
      </c>
      <c r="G527" s="25">
        <f t="shared" si="12"/>
        <v>-8.0742761149547038E-3</v>
      </c>
      <c r="I527" s="78">
        <v>93.96</v>
      </c>
      <c r="J527" s="78">
        <v>95.54</v>
      </c>
      <c r="K527" s="78">
        <v>92.2</v>
      </c>
      <c r="L527" s="78">
        <v>94.05</v>
      </c>
      <c r="M527" s="78">
        <v>3253953</v>
      </c>
      <c r="N527" s="78" t="s">
        <v>518</v>
      </c>
      <c r="O527" s="25">
        <f t="shared" si="13"/>
        <v>-9.5693779904304499E-4</v>
      </c>
    </row>
    <row r="528" spans="1:15">
      <c r="A528" s="77">
        <v>541.75267359446968</v>
      </c>
      <c r="B528" s="77">
        <v>551.03144616441568</v>
      </c>
      <c r="C528" s="77">
        <v>541.27646145728193</v>
      </c>
      <c r="D528" s="77">
        <v>550.93325809489249</v>
      </c>
      <c r="E528" s="77">
        <v>6262159.9852767801</v>
      </c>
      <c r="F528" s="77" t="s">
        <v>519</v>
      </c>
      <c r="G528" s="25">
        <f t="shared" si="12"/>
        <v>-1.6663696310817988E-2</v>
      </c>
      <c r="I528" s="78">
        <v>94.2</v>
      </c>
      <c r="J528" s="78">
        <v>98.7</v>
      </c>
      <c r="K528" s="78">
        <v>93.5</v>
      </c>
      <c r="L528" s="78">
        <v>97.91</v>
      </c>
      <c r="M528" s="78">
        <v>4226504</v>
      </c>
      <c r="N528" s="78" t="s">
        <v>519</v>
      </c>
      <c r="O528" s="25">
        <f t="shared" si="13"/>
        <v>-3.7891941579001109E-2</v>
      </c>
    </row>
    <row r="529" spans="1:15">
      <c r="A529" s="77">
        <v>551.12963423393887</v>
      </c>
      <c r="B529" s="77">
        <v>552.29267191744168</v>
      </c>
      <c r="C529" s="77">
        <v>548.10544169262323</v>
      </c>
      <c r="D529" s="77">
        <v>552.19988419174217</v>
      </c>
      <c r="E529" s="77">
        <v>4528841.4586331742</v>
      </c>
      <c r="F529" s="77" t="s">
        <v>520</v>
      </c>
      <c r="G529" s="25">
        <f t="shared" si="12"/>
        <v>-1.9381567951065604E-3</v>
      </c>
      <c r="I529" s="78">
        <v>97.2</v>
      </c>
      <c r="J529" s="78">
        <v>105.67</v>
      </c>
      <c r="K529" s="78">
        <v>95.23</v>
      </c>
      <c r="L529" s="78">
        <v>102.86</v>
      </c>
      <c r="M529" s="78">
        <v>5945249</v>
      </c>
      <c r="N529" s="78" t="s">
        <v>520</v>
      </c>
      <c r="O529" s="25">
        <f t="shared" si="13"/>
        <v>-5.5026249270853533E-2</v>
      </c>
    </row>
    <row r="530" spans="1:15">
      <c r="A530" s="77">
        <v>553.45669148163961</v>
      </c>
      <c r="B530" s="77">
        <v>553.70216165544775</v>
      </c>
      <c r="C530" s="77">
        <v>550.3745679793052</v>
      </c>
      <c r="D530" s="77">
        <v>550.8547076392739</v>
      </c>
      <c r="E530" s="77">
        <v>3928747.1672788206</v>
      </c>
      <c r="F530" s="77" t="s">
        <v>521</v>
      </c>
      <c r="G530" s="25">
        <f t="shared" si="12"/>
        <v>4.7235392677620336E-3</v>
      </c>
      <c r="I530" s="78">
        <v>103</v>
      </c>
      <c r="J530" s="78">
        <v>103.12</v>
      </c>
      <c r="K530" s="78">
        <v>99.95</v>
      </c>
      <c r="L530" s="78">
        <v>100.2</v>
      </c>
      <c r="M530" s="78">
        <v>2884482</v>
      </c>
      <c r="N530" s="78" t="s">
        <v>521</v>
      </c>
      <c r="O530" s="25">
        <f t="shared" si="13"/>
        <v>2.7944111776447178E-2</v>
      </c>
    </row>
    <row r="531" spans="1:15">
      <c r="A531" s="77">
        <v>552.12133373612357</v>
      </c>
      <c r="B531" s="77">
        <v>552.12133373612357</v>
      </c>
      <c r="C531" s="77">
        <v>549.35243017556832</v>
      </c>
      <c r="D531" s="77">
        <v>551.62057458155505</v>
      </c>
      <c r="E531" s="77">
        <v>3915857.6175998701</v>
      </c>
      <c r="F531" s="77" t="s">
        <v>522</v>
      </c>
      <c r="G531" s="25">
        <f t="shared" si="12"/>
        <v>9.077963688144397E-4</v>
      </c>
      <c r="I531" s="78">
        <v>101.09</v>
      </c>
      <c r="J531" s="78">
        <v>103.04</v>
      </c>
      <c r="K531" s="78">
        <v>99.33</v>
      </c>
      <c r="L531" s="78">
        <v>100</v>
      </c>
      <c r="M531" s="78">
        <v>2919548</v>
      </c>
      <c r="N531" s="78" t="s">
        <v>522</v>
      </c>
      <c r="O531" s="25">
        <f t="shared" si="13"/>
        <v>1.0900000000000132E-2</v>
      </c>
    </row>
    <row r="532" spans="1:15">
      <c r="A532" s="77">
        <v>550.53068700984727</v>
      </c>
      <c r="B532" s="77">
        <v>551.67948742326905</v>
      </c>
      <c r="C532" s="77">
        <v>549.92192097880309</v>
      </c>
      <c r="D532" s="77">
        <v>550.736881955846</v>
      </c>
      <c r="E532" s="77">
        <v>3442953.9315872807</v>
      </c>
      <c r="F532" s="77" t="s">
        <v>523</v>
      </c>
      <c r="G532" s="25">
        <f t="shared" si="12"/>
        <v>-3.7439828846486112E-4</v>
      </c>
      <c r="I532" s="78">
        <v>100.24</v>
      </c>
      <c r="J532" s="78">
        <v>103.69</v>
      </c>
      <c r="K532" s="78">
        <v>99.96</v>
      </c>
      <c r="L532" s="78">
        <v>102.16500000000001</v>
      </c>
      <c r="M532" s="78">
        <v>3142086</v>
      </c>
      <c r="N532" s="78" t="s">
        <v>523</v>
      </c>
      <c r="O532" s="25">
        <f t="shared" si="13"/>
        <v>-1.8842069201781553E-2</v>
      </c>
    </row>
    <row r="533" spans="1:15">
      <c r="A533" s="77">
        <v>550.51104939594245</v>
      </c>
      <c r="B533" s="77">
        <v>550.7172443419413</v>
      </c>
      <c r="C533" s="77">
        <v>544.64431224192901</v>
      </c>
      <c r="D533" s="77">
        <v>545.79802205882709</v>
      </c>
      <c r="E533" s="77">
        <v>3451028.232302729</v>
      </c>
      <c r="F533" s="77" t="s">
        <v>524</v>
      </c>
      <c r="G533" s="25">
        <f t="shared" si="12"/>
        <v>8.6351125263099959E-3</v>
      </c>
      <c r="I533" s="78">
        <v>101.78</v>
      </c>
      <c r="J533" s="78">
        <v>104.35</v>
      </c>
      <c r="K533" s="78">
        <v>101.1</v>
      </c>
      <c r="L533" s="78">
        <v>103.03</v>
      </c>
      <c r="M533" s="78">
        <v>2763224</v>
      </c>
      <c r="N533" s="78" t="s">
        <v>524</v>
      </c>
      <c r="O533" s="25">
        <f t="shared" si="13"/>
        <v>-1.2132388624672474E-2</v>
      </c>
    </row>
    <row r="534" spans="1:15">
      <c r="A534" s="77">
        <v>544.75722852188073</v>
      </c>
      <c r="B534" s="77">
        <v>545.84220669011245</v>
      </c>
      <c r="C534" s="77">
        <v>540.41731584895354</v>
      </c>
      <c r="D534" s="77">
        <v>541.01626307304537</v>
      </c>
      <c r="E534" s="77">
        <v>3645537.6069419757</v>
      </c>
      <c r="F534" s="77" t="s">
        <v>525</v>
      </c>
      <c r="G534" s="25">
        <f t="shared" si="12"/>
        <v>6.9147005444645249E-3</v>
      </c>
      <c r="I534" s="78">
        <v>103.57</v>
      </c>
      <c r="J534" s="78">
        <v>103.8</v>
      </c>
      <c r="K534" s="78">
        <v>99.35</v>
      </c>
      <c r="L534" s="78">
        <v>99.61</v>
      </c>
      <c r="M534" s="78">
        <v>3984008</v>
      </c>
      <c r="N534" s="78" t="s">
        <v>525</v>
      </c>
      <c r="O534" s="25">
        <f t="shared" si="13"/>
        <v>3.9755044674229412E-2</v>
      </c>
    </row>
    <row r="535" spans="1:15">
      <c r="A535" s="77">
        <v>546.56388900110835</v>
      </c>
      <c r="B535" s="77">
        <v>547.0204635243914</v>
      </c>
      <c r="C535" s="77">
        <v>543.95208635179017</v>
      </c>
      <c r="D535" s="77">
        <v>544.06009322826571</v>
      </c>
      <c r="E535" s="77">
        <v>2803724.5394140785</v>
      </c>
      <c r="F535" s="77" t="s">
        <v>526</v>
      </c>
      <c r="G535" s="25">
        <f t="shared" si="12"/>
        <v>4.6020573903629014E-3</v>
      </c>
      <c r="I535" s="78">
        <v>100.68</v>
      </c>
      <c r="J535" s="78">
        <v>105.68</v>
      </c>
      <c r="K535" s="78">
        <v>100.41500000000001</v>
      </c>
      <c r="L535" s="78">
        <v>103.7</v>
      </c>
      <c r="M535" s="78">
        <v>4267735</v>
      </c>
      <c r="N535" s="78" t="s">
        <v>526</v>
      </c>
      <c r="O535" s="25">
        <f t="shared" si="13"/>
        <v>-2.9122468659594891E-2</v>
      </c>
    </row>
    <row r="536" spans="1:15">
      <c r="A536" s="77">
        <v>546.07294865349206</v>
      </c>
      <c r="B536" s="77">
        <v>546.68711502835993</v>
      </c>
      <c r="C536" s="77">
        <v>544.19755652559832</v>
      </c>
      <c r="D536" s="77">
        <v>545.37581335987716</v>
      </c>
      <c r="E536" s="77">
        <v>3582463.7525514048</v>
      </c>
      <c r="F536" s="77" t="s">
        <v>527</v>
      </c>
      <c r="G536" s="25">
        <f t="shared" si="12"/>
        <v>1.2782658793026869E-3</v>
      </c>
      <c r="I536" s="78">
        <v>104.99</v>
      </c>
      <c r="J536" s="78">
        <v>106.1</v>
      </c>
      <c r="K536" s="78">
        <v>101.91</v>
      </c>
      <c r="L536" s="78">
        <v>105.69</v>
      </c>
      <c r="M536" s="78">
        <v>8530349</v>
      </c>
      <c r="N536" s="78" t="s">
        <v>527</v>
      </c>
      <c r="O536" s="25">
        <f t="shared" si="13"/>
        <v>-6.6231431545085151E-3</v>
      </c>
    </row>
    <row r="537" spans="1:15">
      <c r="A537" s="77">
        <v>542.19451990732421</v>
      </c>
      <c r="B537" s="77">
        <v>549.06768477395099</v>
      </c>
      <c r="C537" s="77">
        <v>541.79685822575505</v>
      </c>
      <c r="D537" s="77">
        <v>547.98761600919534</v>
      </c>
      <c r="E537" s="77">
        <v>10349071.989438603</v>
      </c>
      <c r="F537" s="77" t="s">
        <v>528</v>
      </c>
      <c r="G537" s="25">
        <f t="shared" si="12"/>
        <v>-1.0571582153735992E-2</v>
      </c>
      <c r="I537" s="78">
        <v>111.06</v>
      </c>
      <c r="J537" s="78">
        <v>115.16</v>
      </c>
      <c r="K537" s="78">
        <v>108.81</v>
      </c>
      <c r="L537" s="78">
        <v>111.3</v>
      </c>
      <c r="M537" s="78">
        <v>5434417</v>
      </c>
      <c r="N537" s="78" t="s">
        <v>528</v>
      </c>
      <c r="O537" s="25">
        <f t="shared" si="13"/>
        <v>-2.1563342318058343E-3</v>
      </c>
    </row>
    <row r="538" spans="1:15">
      <c r="A538" s="77">
        <v>547.51631327548375</v>
      </c>
      <c r="B538" s="77">
        <v>547.5457696963407</v>
      </c>
      <c r="C538" s="77">
        <v>544.14846249083666</v>
      </c>
      <c r="D538" s="77">
        <v>547.19229264605701</v>
      </c>
      <c r="E538" s="77">
        <v>3672848.4606232909</v>
      </c>
      <c r="F538" s="77" t="s">
        <v>529</v>
      </c>
      <c r="G538" s="25">
        <f t="shared" si="12"/>
        <v>5.9215130363021728E-4</v>
      </c>
      <c r="I538" s="78">
        <v>122.8</v>
      </c>
      <c r="J538" s="78">
        <v>126.39</v>
      </c>
      <c r="K538" s="78">
        <v>121.64</v>
      </c>
      <c r="L538" s="78">
        <v>125.49</v>
      </c>
      <c r="M538" s="78">
        <v>2154901</v>
      </c>
      <c r="N538" s="78" t="s">
        <v>529</v>
      </c>
      <c r="O538" s="25">
        <f t="shared" si="13"/>
        <v>-2.1435970993704645E-2</v>
      </c>
    </row>
    <row r="539" spans="1:15">
      <c r="A539" s="77">
        <v>545.55255188501894</v>
      </c>
      <c r="B539" s="77">
        <v>545.6605587614946</v>
      </c>
      <c r="C539" s="77">
        <v>540.43695346285824</v>
      </c>
      <c r="D539" s="77">
        <v>542.33198320465681</v>
      </c>
      <c r="E539" s="77">
        <v>3487372.7700589728</v>
      </c>
      <c r="F539" s="77" t="s">
        <v>530</v>
      </c>
      <c r="G539" s="25">
        <f t="shared" si="12"/>
        <v>5.9383712930438648E-3</v>
      </c>
      <c r="I539" s="78">
        <v>124.68</v>
      </c>
      <c r="J539" s="78">
        <v>128.01</v>
      </c>
      <c r="K539" s="78">
        <v>124.25</v>
      </c>
      <c r="L539" s="78">
        <v>125</v>
      </c>
      <c r="M539" s="78">
        <v>2465030</v>
      </c>
      <c r="N539" s="78" t="s">
        <v>530</v>
      </c>
      <c r="O539" s="25">
        <f t="shared" si="13"/>
        <v>-2.5599999999998957E-3</v>
      </c>
    </row>
    <row r="540" spans="1:15">
      <c r="A540" s="77">
        <v>543.32368270684151</v>
      </c>
      <c r="B540" s="77">
        <v>543.79498544055309</v>
      </c>
      <c r="C540" s="77">
        <v>539.27833424248399</v>
      </c>
      <c r="D540" s="77">
        <v>539.73981816924334</v>
      </c>
      <c r="E540" s="77">
        <v>4258575.4260199219</v>
      </c>
      <c r="F540" s="77" t="s">
        <v>531</v>
      </c>
      <c r="G540" s="25">
        <f t="shared" si="12"/>
        <v>6.6399854466072661E-3</v>
      </c>
      <c r="I540" s="78">
        <v>124.2</v>
      </c>
      <c r="J540" s="78">
        <v>129.2407</v>
      </c>
      <c r="K540" s="78">
        <v>122.22</v>
      </c>
      <c r="L540" s="78">
        <v>125.17</v>
      </c>
      <c r="M540" s="78">
        <v>4432458</v>
      </c>
      <c r="N540" s="78" t="s">
        <v>531</v>
      </c>
      <c r="O540" s="25">
        <f t="shared" si="13"/>
        <v>-7.7494607334025467E-3</v>
      </c>
    </row>
    <row r="541" spans="1:15">
      <c r="A541" s="77">
        <v>539.73981816924334</v>
      </c>
      <c r="B541" s="77">
        <v>541.95877035239891</v>
      </c>
      <c r="C541" s="77">
        <v>533.14157989728164</v>
      </c>
      <c r="D541" s="77">
        <v>535.11516009469869</v>
      </c>
      <c r="E541" s="77">
        <v>7968419.2162961727</v>
      </c>
      <c r="F541" s="77" t="s">
        <v>532</v>
      </c>
      <c r="G541" s="25">
        <f t="shared" si="12"/>
        <v>8.6423604102829898E-3</v>
      </c>
      <c r="I541" s="78">
        <v>131.1</v>
      </c>
      <c r="J541" s="78">
        <v>132.41</v>
      </c>
      <c r="K541" s="78">
        <v>128.51</v>
      </c>
      <c r="L541" s="78">
        <v>129.18</v>
      </c>
      <c r="M541" s="78">
        <v>1530201</v>
      </c>
      <c r="N541" s="78" t="s">
        <v>532</v>
      </c>
      <c r="O541" s="25">
        <f t="shared" si="13"/>
        <v>1.4862981885740645E-2</v>
      </c>
    </row>
    <row r="542" spans="1:15">
      <c r="A542" s="77">
        <v>543.3040450929368</v>
      </c>
      <c r="B542" s="77">
        <v>550.72706314889365</v>
      </c>
      <c r="C542" s="77">
        <v>542.69527906189273</v>
      </c>
      <c r="D542" s="77">
        <v>548.4981939707161</v>
      </c>
      <c r="E542" s="77">
        <v>6358534.2193965409</v>
      </c>
      <c r="F542" s="77" t="s">
        <v>533</v>
      </c>
      <c r="G542" s="25">
        <f t="shared" si="12"/>
        <v>-9.4697647774872884E-3</v>
      </c>
      <c r="I542" s="78">
        <v>132.74</v>
      </c>
      <c r="J542" s="78">
        <v>135.67500000000001</v>
      </c>
      <c r="K542" s="78">
        <v>131.875</v>
      </c>
      <c r="L542" s="78">
        <v>132.94</v>
      </c>
      <c r="M542" s="78">
        <v>1254776</v>
      </c>
      <c r="N542" s="78" t="s">
        <v>533</v>
      </c>
      <c r="O542" s="25">
        <f t="shared" si="13"/>
        <v>-1.5044380923724399E-3</v>
      </c>
    </row>
    <row r="543" spans="1:15">
      <c r="A543" s="77">
        <v>546.2202307577769</v>
      </c>
      <c r="B543" s="77">
        <v>547.67341418672095</v>
      </c>
      <c r="C543" s="77">
        <v>542.37125843246599</v>
      </c>
      <c r="D543" s="77">
        <v>545.30708171121091</v>
      </c>
      <c r="E543" s="77">
        <v>4375824.9050645754</v>
      </c>
      <c r="F543" s="77" t="s">
        <v>534</v>
      </c>
      <c r="G543" s="25">
        <f t="shared" si="12"/>
        <v>1.6745593028069106E-3</v>
      </c>
      <c r="I543" s="78">
        <v>133.01</v>
      </c>
      <c r="J543" s="78">
        <v>136.82</v>
      </c>
      <c r="K543" s="78">
        <v>132</v>
      </c>
      <c r="L543" s="78">
        <v>132</v>
      </c>
      <c r="M543" s="78">
        <v>1352274</v>
      </c>
      <c r="N543" s="78" t="s">
        <v>534</v>
      </c>
      <c r="O543" s="25">
        <f t="shared" si="13"/>
        <v>7.6515151515150759E-3</v>
      </c>
    </row>
    <row r="544" spans="1:15">
      <c r="A544" s="77">
        <v>543.3825955485554</v>
      </c>
      <c r="B544" s="77">
        <v>545.43472620159105</v>
      </c>
      <c r="C544" s="77">
        <v>540.98690484025792</v>
      </c>
      <c r="D544" s="77">
        <v>545.11070557216431</v>
      </c>
      <c r="E544" s="77">
        <v>4251505.3206255417</v>
      </c>
      <c r="F544" s="77" t="s">
        <v>535</v>
      </c>
      <c r="G544" s="25">
        <f t="shared" si="12"/>
        <v>-3.1702001188823603E-3</v>
      </c>
      <c r="I544" s="78">
        <v>131.72</v>
      </c>
      <c r="J544" s="78">
        <v>133.19999999999999</v>
      </c>
      <c r="K544" s="78">
        <v>129.4</v>
      </c>
      <c r="L544" s="78">
        <v>133</v>
      </c>
      <c r="M544" s="78">
        <v>2424977</v>
      </c>
      <c r="N544" s="78" t="s">
        <v>535</v>
      </c>
      <c r="O544" s="25">
        <f t="shared" si="13"/>
        <v>-9.6240601503759793E-3</v>
      </c>
    </row>
    <row r="545" spans="1:15">
      <c r="A545" s="77">
        <v>545.77838444492249</v>
      </c>
      <c r="B545" s="77">
        <v>546.56388900110835</v>
      </c>
      <c r="C545" s="77">
        <v>539.26851543553175</v>
      </c>
      <c r="D545" s="77">
        <v>542.2927079768474</v>
      </c>
      <c r="E545" s="77">
        <v>4241527.5299962219</v>
      </c>
      <c r="F545" s="77" t="s">
        <v>536</v>
      </c>
      <c r="G545" s="25">
        <f t="shared" si="12"/>
        <v>6.4276661234838883E-3</v>
      </c>
      <c r="I545" s="78">
        <v>133.61000000000001</v>
      </c>
      <c r="J545" s="78">
        <v>139.4</v>
      </c>
      <c r="K545" s="78">
        <v>133.09</v>
      </c>
      <c r="L545" s="78">
        <v>137.88999999999999</v>
      </c>
      <c r="M545" s="78">
        <v>1687981</v>
      </c>
      <c r="N545" s="78" t="s">
        <v>536</v>
      </c>
      <c r="O545" s="25">
        <f t="shared" si="13"/>
        <v>-3.103923417216603E-2</v>
      </c>
    </row>
    <row r="546" spans="1:15">
      <c r="A546" s="77">
        <v>541.2420956329488</v>
      </c>
      <c r="B546" s="77">
        <v>541.399196544186</v>
      </c>
      <c r="C546" s="77">
        <v>536.92182057392631</v>
      </c>
      <c r="D546" s="77">
        <v>537.0200086434495</v>
      </c>
      <c r="E546" s="77">
        <v>7757953.7279701289</v>
      </c>
      <c r="F546" s="77" t="s">
        <v>537</v>
      </c>
      <c r="G546" s="25">
        <f t="shared" si="12"/>
        <v>7.8620664436035437E-3</v>
      </c>
      <c r="I546" s="78">
        <v>138.05000000000001</v>
      </c>
      <c r="J546" s="78">
        <v>138.21</v>
      </c>
      <c r="K546" s="78">
        <v>134.84</v>
      </c>
      <c r="L546" s="78">
        <v>135.53</v>
      </c>
      <c r="M546" s="78">
        <v>1273011</v>
      </c>
      <c r="N546" s="78" t="s">
        <v>537</v>
      </c>
      <c r="O546" s="25">
        <f t="shared" si="13"/>
        <v>1.8593669298310411E-2</v>
      </c>
    </row>
    <row r="547" spans="1:15">
      <c r="A547" s="77">
        <v>548.88112744185673</v>
      </c>
      <c r="B547" s="77">
        <v>551.48311128422256</v>
      </c>
      <c r="C547" s="77">
        <v>547.90906555357674</v>
      </c>
      <c r="D547" s="77">
        <v>550.5994186585134</v>
      </c>
      <c r="E547" s="77">
        <v>3678798.2669779393</v>
      </c>
      <c r="F547" s="77" t="s">
        <v>538</v>
      </c>
      <c r="G547" s="25">
        <f t="shared" si="12"/>
        <v>-3.1207646765104569E-3</v>
      </c>
      <c r="I547" s="78">
        <v>136.22</v>
      </c>
      <c r="J547" s="78">
        <v>137.34</v>
      </c>
      <c r="K547" s="78">
        <v>133.93</v>
      </c>
      <c r="L547" s="78">
        <v>134.69999999999999</v>
      </c>
      <c r="M547" s="78">
        <v>1363470</v>
      </c>
      <c r="N547" s="78" t="s">
        <v>538</v>
      </c>
      <c r="O547" s="25">
        <f t="shared" si="13"/>
        <v>1.128433556050501E-2</v>
      </c>
    </row>
    <row r="548" spans="1:15">
      <c r="A548" s="77">
        <v>550.54050581679951</v>
      </c>
      <c r="B548" s="77">
        <v>550.54050581679951</v>
      </c>
      <c r="C548" s="77">
        <v>546.71117110539319</v>
      </c>
      <c r="D548" s="77">
        <v>546.94682247224887</v>
      </c>
      <c r="E548" s="77">
        <v>6332620.6841538725</v>
      </c>
      <c r="F548" s="77" t="s">
        <v>539</v>
      </c>
      <c r="G548" s="25">
        <f t="shared" si="12"/>
        <v>6.5704437742353239E-3</v>
      </c>
      <c r="I548" s="78">
        <v>134.76</v>
      </c>
      <c r="J548" s="78">
        <v>139.35499999999999</v>
      </c>
      <c r="K548" s="78">
        <v>131.38380000000001</v>
      </c>
      <c r="L548" s="78">
        <v>139.05000000000001</v>
      </c>
      <c r="M548" s="78">
        <v>2472701</v>
      </c>
      <c r="N548" s="78" t="s">
        <v>539</v>
      </c>
      <c r="O548" s="25">
        <f t="shared" si="13"/>
        <v>-3.0852211434735821E-2</v>
      </c>
    </row>
    <row r="549" spans="1:15">
      <c r="A549" s="77">
        <v>547.5064944685314</v>
      </c>
      <c r="B549" s="77">
        <v>548.80247879816864</v>
      </c>
      <c r="C549" s="77">
        <v>546.64243945672695</v>
      </c>
      <c r="D549" s="77">
        <v>547.09410457653382</v>
      </c>
      <c r="E549" s="77">
        <v>4868245.2188029652</v>
      </c>
      <c r="F549" s="77" t="s">
        <v>540</v>
      </c>
      <c r="G549" s="25">
        <f t="shared" si="12"/>
        <v>7.5378237226075839E-4</v>
      </c>
      <c r="I549" s="78">
        <v>140.36000000000001</v>
      </c>
      <c r="J549" s="78">
        <v>145.66999999999999</v>
      </c>
      <c r="K549" s="78">
        <v>138.76499999999999</v>
      </c>
      <c r="L549" s="78">
        <v>139.5</v>
      </c>
      <c r="M549" s="78">
        <v>1916668</v>
      </c>
      <c r="N549" s="78" t="s">
        <v>540</v>
      </c>
      <c r="O549" s="25">
        <f t="shared" si="13"/>
        <v>6.1648745519713444E-3</v>
      </c>
    </row>
    <row r="550" spans="1:15">
      <c r="A550" s="77">
        <v>544.4135702785494</v>
      </c>
      <c r="B550" s="77">
        <v>544.4135702785494</v>
      </c>
      <c r="C550" s="77">
        <v>540.52532272542919</v>
      </c>
      <c r="D550" s="77">
        <v>542.3123455907521</v>
      </c>
      <c r="E550" s="77">
        <v>5399513.4294245616</v>
      </c>
      <c r="F550" s="77" t="s">
        <v>541</v>
      </c>
      <c r="G550" s="25">
        <f t="shared" si="12"/>
        <v>3.8745654692931009E-3</v>
      </c>
      <c r="I550" s="78">
        <v>141.31</v>
      </c>
      <c r="J550" s="78">
        <v>141.86000000000001</v>
      </c>
      <c r="K550" s="78">
        <v>137.595</v>
      </c>
      <c r="L550" s="78">
        <v>137.96</v>
      </c>
      <c r="M550" s="78">
        <v>1148219</v>
      </c>
      <c r="N550" s="78" t="s">
        <v>541</v>
      </c>
      <c r="O550" s="25">
        <f t="shared" si="13"/>
        <v>2.4282400695853745E-2</v>
      </c>
    </row>
    <row r="551" spans="1:15">
      <c r="A551" s="77">
        <v>539.50416680238754</v>
      </c>
      <c r="B551" s="77">
        <v>541.13408875647326</v>
      </c>
      <c r="C551" s="77">
        <v>537.75641916487382</v>
      </c>
      <c r="D551" s="77">
        <v>538.97395122696196</v>
      </c>
      <c r="E551" s="77">
        <v>6679682.1974870656</v>
      </c>
      <c r="F551" s="77" t="s">
        <v>542</v>
      </c>
      <c r="G551" s="25">
        <f t="shared" si="12"/>
        <v>9.83749908912257E-4</v>
      </c>
      <c r="I551" s="78">
        <v>136.66999999999999</v>
      </c>
      <c r="J551" s="78">
        <v>140.33000000000001</v>
      </c>
      <c r="K551" s="78">
        <v>136.49</v>
      </c>
      <c r="L551" s="78">
        <v>139.38</v>
      </c>
      <c r="M551" s="78">
        <v>1247279</v>
      </c>
      <c r="N551" s="78" t="s">
        <v>542</v>
      </c>
      <c r="O551" s="25">
        <f t="shared" si="13"/>
        <v>-1.9443248672693425E-2</v>
      </c>
    </row>
    <row r="552" spans="1:15">
      <c r="A552" s="77">
        <v>534.37874957327438</v>
      </c>
      <c r="B552" s="77">
        <v>536.60761875145192</v>
      </c>
      <c r="C552" s="77">
        <v>533.54415098232687</v>
      </c>
      <c r="D552" s="77">
        <v>536.45051784021473</v>
      </c>
      <c r="E552" s="77">
        <v>3699789.6156214951</v>
      </c>
      <c r="F552" s="77" t="s">
        <v>543</v>
      </c>
      <c r="G552" s="25">
        <f t="shared" si="12"/>
        <v>-3.861993227784466E-3</v>
      </c>
      <c r="I552" s="78">
        <v>137.37</v>
      </c>
      <c r="J552" s="78">
        <v>138</v>
      </c>
      <c r="K552" s="78">
        <v>131.75</v>
      </c>
      <c r="L552" s="78">
        <v>135.81</v>
      </c>
      <c r="M552" s="78">
        <v>1291874</v>
      </c>
      <c r="N552" s="78" t="s">
        <v>543</v>
      </c>
      <c r="O552" s="25">
        <f t="shared" si="13"/>
        <v>1.1486635741108975E-2</v>
      </c>
    </row>
    <row r="553" spans="1:15">
      <c r="A553" s="77">
        <v>535.17407293641259</v>
      </c>
      <c r="B553" s="77">
        <v>536.23450408726364</v>
      </c>
      <c r="C553" s="77">
        <v>531.9436854490981</v>
      </c>
      <c r="D553" s="77">
        <v>533.00411659994904</v>
      </c>
      <c r="E553" s="77">
        <v>5405257.5081373686</v>
      </c>
      <c r="F553" s="77" t="s">
        <v>544</v>
      </c>
      <c r="G553" s="25">
        <f t="shared" si="12"/>
        <v>4.0711811951956722E-3</v>
      </c>
      <c r="I553" s="78">
        <v>136.19</v>
      </c>
      <c r="J553" s="78">
        <v>140.595</v>
      </c>
      <c r="K553" s="78">
        <v>132.18</v>
      </c>
      <c r="L553" s="78">
        <v>139.01</v>
      </c>
      <c r="M553" s="78">
        <v>1676938</v>
      </c>
      <c r="N553" s="78" t="s">
        <v>544</v>
      </c>
      <c r="O553" s="25">
        <f t="shared" si="13"/>
        <v>-2.0286310337385705E-2</v>
      </c>
    </row>
    <row r="554" spans="1:15">
      <c r="A554" s="77">
        <v>525.56146093008761</v>
      </c>
      <c r="B554" s="77">
        <v>528.15991000195049</v>
      </c>
      <c r="C554" s="77">
        <v>522.17878374694249</v>
      </c>
      <c r="D554" s="77">
        <v>527.58413516226631</v>
      </c>
      <c r="E554" s="77">
        <v>8982764.4466647971</v>
      </c>
      <c r="F554" s="77" t="s">
        <v>545</v>
      </c>
      <c r="G554" s="25">
        <f t="shared" si="12"/>
        <v>-3.8338420308196008E-3</v>
      </c>
      <c r="I554" s="78">
        <v>136.47999999999999</v>
      </c>
      <c r="J554" s="78">
        <v>153.06</v>
      </c>
      <c r="K554" s="78">
        <v>136.19</v>
      </c>
      <c r="L554" s="78">
        <v>145.25</v>
      </c>
      <c r="M554" s="78">
        <v>2938795</v>
      </c>
      <c r="N554" s="78" t="s">
        <v>545</v>
      </c>
      <c r="O554" s="25">
        <f t="shared" si="13"/>
        <v>-6.0378657487091258E-2</v>
      </c>
    </row>
    <row r="555" spans="1:15">
      <c r="A555" s="77">
        <v>524.89378205732953</v>
      </c>
      <c r="B555" s="77">
        <v>525.21780268675616</v>
      </c>
      <c r="C555" s="77">
        <v>519.4345253918375</v>
      </c>
      <c r="D555" s="77">
        <v>519.80764005602578</v>
      </c>
      <c r="E555" s="77">
        <v>5724739.2960197106</v>
      </c>
      <c r="F555" s="77" t="s">
        <v>546</v>
      </c>
      <c r="G555" s="25">
        <f t="shared" si="12"/>
        <v>9.7846618813750563E-3</v>
      </c>
      <c r="I555" s="78">
        <v>144.22</v>
      </c>
      <c r="J555" s="78">
        <v>144.59</v>
      </c>
      <c r="K555" s="78">
        <v>136.49</v>
      </c>
      <c r="L555" s="78">
        <v>137</v>
      </c>
      <c r="M555" s="78">
        <v>2777607</v>
      </c>
      <c r="N555" s="78" t="s">
        <v>546</v>
      </c>
      <c r="O555" s="25">
        <f t="shared" si="13"/>
        <v>5.270072992700725E-2</v>
      </c>
    </row>
    <row r="556" spans="1:15">
      <c r="A556" s="77">
        <v>524.21628437761922</v>
      </c>
      <c r="B556" s="77">
        <v>528.98822455644859</v>
      </c>
      <c r="C556" s="77">
        <v>522.36052986362995</v>
      </c>
      <c r="D556" s="77">
        <v>528.94894932863929</v>
      </c>
      <c r="E556" s="77">
        <v>8081635.6187977921</v>
      </c>
      <c r="F556" s="77" t="s">
        <v>547</v>
      </c>
      <c r="G556" s="25">
        <f t="shared" si="12"/>
        <v>-8.9473000315567486E-3</v>
      </c>
      <c r="I556" s="78">
        <v>136.69</v>
      </c>
      <c r="J556" s="78">
        <v>137.18</v>
      </c>
      <c r="K556" s="78">
        <v>133.9845</v>
      </c>
      <c r="L556" s="78">
        <v>136.13</v>
      </c>
      <c r="M556" s="78">
        <v>1601390</v>
      </c>
      <c r="N556" s="78" t="s">
        <v>547</v>
      </c>
      <c r="O556" s="25">
        <f t="shared" si="13"/>
        <v>4.1137148314112082E-3</v>
      </c>
    </row>
    <row r="557" spans="1:15">
      <c r="A557" s="77">
        <v>532.31680011328638</v>
      </c>
      <c r="B557" s="77">
        <v>533.16121751118624</v>
      </c>
      <c r="C557" s="77">
        <v>528.33036449064298</v>
      </c>
      <c r="D557" s="77">
        <v>531.51165794319593</v>
      </c>
      <c r="E557" s="77">
        <v>4396663.4856572589</v>
      </c>
      <c r="F557" s="77" t="s">
        <v>548</v>
      </c>
      <c r="G557" s="25">
        <f t="shared" si="12"/>
        <v>1.514815635852873E-3</v>
      </c>
      <c r="I557" s="78">
        <v>139.68</v>
      </c>
      <c r="J557" s="78">
        <v>139.69999999999999</v>
      </c>
      <c r="K557" s="78">
        <v>136.94</v>
      </c>
      <c r="L557" s="78">
        <v>138.54</v>
      </c>
      <c r="M557" s="78">
        <v>1342775</v>
      </c>
      <c r="N557" s="78" t="s">
        <v>548</v>
      </c>
      <c r="O557" s="25">
        <f t="shared" si="13"/>
        <v>8.2286704200953409E-3</v>
      </c>
    </row>
    <row r="558" spans="1:15">
      <c r="A558" s="77">
        <v>531.60002720576676</v>
      </c>
      <c r="B558" s="77">
        <v>539.64163009972003</v>
      </c>
      <c r="C558" s="77">
        <v>529.78354791958679</v>
      </c>
      <c r="D558" s="77">
        <v>539.36670350505494</v>
      </c>
      <c r="E558" s="77">
        <v>5482575.4555912921</v>
      </c>
      <c r="F558" s="77" t="s">
        <v>549</v>
      </c>
      <c r="G558" s="25">
        <f t="shared" si="12"/>
        <v>-1.439962135003281E-2</v>
      </c>
      <c r="I558" s="78">
        <v>139.08000000000001</v>
      </c>
      <c r="J558" s="78">
        <v>142.49639999999999</v>
      </c>
      <c r="K558" s="78">
        <v>138.11000000000001</v>
      </c>
      <c r="L558" s="78">
        <v>139.82</v>
      </c>
      <c r="M558" s="78">
        <v>1340205</v>
      </c>
      <c r="N558" s="78" t="s">
        <v>549</v>
      </c>
      <c r="O558" s="25">
        <f t="shared" si="13"/>
        <v>-5.2925189529393624E-3</v>
      </c>
    </row>
    <row r="559" spans="1:15">
      <c r="A559" s="77">
        <v>537.64841228839828</v>
      </c>
      <c r="B559" s="77">
        <v>541.43847177199518</v>
      </c>
      <c r="C559" s="77">
        <v>535.93012107174161</v>
      </c>
      <c r="D559" s="77">
        <v>538.34554758201318</v>
      </c>
      <c r="E559" s="77">
        <v>6093851.3498158418</v>
      </c>
      <c r="F559" s="77" t="s">
        <v>550</v>
      </c>
      <c r="G559" s="25">
        <f t="shared" si="12"/>
        <v>-1.2949587801851514E-3</v>
      </c>
      <c r="I559" s="78">
        <v>138.65</v>
      </c>
      <c r="J559" s="78">
        <v>140</v>
      </c>
      <c r="K559" s="78">
        <v>136.08000000000001</v>
      </c>
      <c r="L559" s="78">
        <v>136.08000000000001</v>
      </c>
      <c r="M559" s="78">
        <v>1611113</v>
      </c>
      <c r="N559" s="78" t="s">
        <v>550</v>
      </c>
      <c r="O559" s="25">
        <f t="shared" si="13"/>
        <v>1.8885949441505012E-2</v>
      </c>
    </row>
    <row r="560" spans="1:15">
      <c r="A560" s="77">
        <v>534.53585048451157</v>
      </c>
      <c r="B560" s="77">
        <v>535.00715321822315</v>
      </c>
      <c r="C560" s="77">
        <v>529.43007086930322</v>
      </c>
      <c r="D560" s="77">
        <v>530.40213275758333</v>
      </c>
      <c r="E560" s="77">
        <v>6538129.3584559401</v>
      </c>
      <c r="F560" s="77" t="s">
        <v>551</v>
      </c>
      <c r="G560" s="25">
        <f t="shared" si="12"/>
        <v>7.7935541198466129E-3</v>
      </c>
      <c r="I560" s="78">
        <v>136.01</v>
      </c>
      <c r="J560" s="78">
        <v>137.29</v>
      </c>
      <c r="K560" s="78">
        <v>130.80000000000001</v>
      </c>
      <c r="L560" s="78">
        <v>131.69</v>
      </c>
      <c r="M560" s="78">
        <v>1372844</v>
      </c>
      <c r="N560" s="78" t="s">
        <v>551</v>
      </c>
      <c r="O560" s="25">
        <f t="shared" si="13"/>
        <v>3.2804313159693121E-2</v>
      </c>
    </row>
    <row r="561" spans="1:15">
      <c r="A561" s="77">
        <v>527.72159845959891</v>
      </c>
      <c r="B561" s="77">
        <v>533.69133489854221</v>
      </c>
      <c r="C561" s="77">
        <v>524.12300571157209</v>
      </c>
      <c r="D561" s="77">
        <v>532.19897442985848</v>
      </c>
      <c r="E561" s="77">
        <v>7274507.0095399907</v>
      </c>
      <c r="F561" s="77" t="s">
        <v>552</v>
      </c>
      <c r="G561" s="25">
        <f t="shared" si="12"/>
        <v>-8.4129736910074637E-3</v>
      </c>
      <c r="I561" s="78">
        <v>130.93</v>
      </c>
      <c r="J561" s="78">
        <v>134.34</v>
      </c>
      <c r="K561" s="78">
        <v>130.19999999999999</v>
      </c>
      <c r="L561" s="78">
        <v>134</v>
      </c>
      <c r="M561" s="78">
        <v>1363587</v>
      </c>
      <c r="N561" s="78" t="s">
        <v>552</v>
      </c>
      <c r="O561" s="25">
        <f t="shared" si="13"/>
        <v>-2.2910447761193997E-2</v>
      </c>
    </row>
    <row r="562" spans="1:15">
      <c r="A562" s="77">
        <v>529.04713739816248</v>
      </c>
      <c r="B562" s="77">
        <v>533.22513794444592</v>
      </c>
      <c r="C562" s="77">
        <v>527.6627838059544</v>
      </c>
      <c r="D562" s="77">
        <v>532.62118312880852</v>
      </c>
      <c r="E562" s="77">
        <v>6152224.0220542289</v>
      </c>
      <c r="F562" s="77" t="s">
        <v>553</v>
      </c>
      <c r="G562" s="25">
        <f t="shared" si="12"/>
        <v>-6.7102958798048729E-3</v>
      </c>
      <c r="I562" s="78">
        <v>133.63</v>
      </c>
      <c r="J562" s="78">
        <v>135.41</v>
      </c>
      <c r="K562" s="78">
        <v>133.13</v>
      </c>
      <c r="L562" s="78">
        <v>134.01</v>
      </c>
      <c r="M562" s="78">
        <v>765625</v>
      </c>
      <c r="N562" s="78" t="s">
        <v>553</v>
      </c>
      <c r="O562" s="25">
        <f t="shared" si="13"/>
        <v>-2.8356092828892843E-3</v>
      </c>
    </row>
    <row r="563" spans="1:15">
      <c r="A563" s="77">
        <v>531.18763731376919</v>
      </c>
      <c r="B563" s="77">
        <v>534.23146746898954</v>
      </c>
      <c r="C563" s="77">
        <v>527.6626856178849</v>
      </c>
      <c r="D563" s="77">
        <v>530.76542861481914</v>
      </c>
      <c r="E563" s="77">
        <v>6625131.7818815084</v>
      </c>
      <c r="F563" s="77" t="s">
        <v>554</v>
      </c>
      <c r="G563" s="25">
        <f t="shared" si="12"/>
        <v>7.9547136303115273E-4</v>
      </c>
      <c r="I563" s="78">
        <v>133.57</v>
      </c>
      <c r="J563" s="78">
        <v>134.77000000000001</v>
      </c>
      <c r="K563" s="78">
        <v>131.85</v>
      </c>
      <c r="L563" s="78">
        <v>133.22999999999999</v>
      </c>
      <c r="M563" s="78">
        <v>903192</v>
      </c>
      <c r="N563" s="78" t="s">
        <v>554</v>
      </c>
      <c r="O563" s="25">
        <f t="shared" si="13"/>
        <v>2.5519777827816004E-3</v>
      </c>
    </row>
    <row r="564" spans="1:15">
      <c r="A564" s="77">
        <v>537.16729074773446</v>
      </c>
      <c r="B564" s="77">
        <v>539.66126771362462</v>
      </c>
      <c r="C564" s="77">
        <v>533.35769183830223</v>
      </c>
      <c r="D564" s="77">
        <v>539.41579753981659</v>
      </c>
      <c r="E564" s="77">
        <v>7207734.1314109601</v>
      </c>
      <c r="F564" s="77" t="s">
        <v>555</v>
      </c>
      <c r="G564" s="25">
        <f t="shared" si="12"/>
        <v>-4.1684110890656267E-3</v>
      </c>
      <c r="I564" s="78">
        <v>135.27000000000001</v>
      </c>
      <c r="J564" s="78">
        <v>136.125</v>
      </c>
      <c r="K564" s="78">
        <v>133.79</v>
      </c>
      <c r="L564" s="78">
        <v>134.36000000000001</v>
      </c>
      <c r="M564" s="78">
        <v>1290620</v>
      </c>
      <c r="N564" s="78" t="s">
        <v>555</v>
      </c>
      <c r="O564" s="25">
        <f t="shared" si="13"/>
        <v>6.7728490622209758E-3</v>
      </c>
    </row>
    <row r="565" spans="1:15">
      <c r="A565" s="77">
        <v>542.79346713141592</v>
      </c>
      <c r="B565" s="77">
        <v>543.93244873788558</v>
      </c>
      <c r="C565" s="77">
        <v>539.95593011026392</v>
      </c>
      <c r="D565" s="77">
        <v>541.21263921209186</v>
      </c>
      <c r="E565" s="77">
        <v>4579240.6570696896</v>
      </c>
      <c r="F565" s="77" t="s">
        <v>556</v>
      </c>
      <c r="G565" s="25">
        <f t="shared" si="12"/>
        <v>2.9208998548619913E-3</v>
      </c>
      <c r="I565" s="78">
        <v>134.96</v>
      </c>
      <c r="J565" s="78">
        <v>135.68780000000001</v>
      </c>
      <c r="K565" s="78">
        <v>133.5</v>
      </c>
      <c r="L565" s="78">
        <v>133.99</v>
      </c>
      <c r="M565" s="78">
        <v>695118</v>
      </c>
      <c r="N565" s="78" t="s">
        <v>556</v>
      </c>
      <c r="O565" s="25">
        <f t="shared" si="13"/>
        <v>7.2393462198672154E-3</v>
      </c>
    </row>
    <row r="566" spans="1:15">
      <c r="A566" s="77">
        <v>542.80328593836839</v>
      </c>
      <c r="B566" s="77">
        <v>542.88183639398687</v>
      </c>
      <c r="C566" s="77">
        <v>537.61895586754122</v>
      </c>
      <c r="D566" s="77">
        <v>538.1295338290621</v>
      </c>
      <c r="E566" s="77">
        <v>3502716.793088608</v>
      </c>
      <c r="F566" s="77" t="s">
        <v>557</v>
      </c>
      <c r="G566" s="25">
        <f t="shared" si="12"/>
        <v>8.6851804546950184E-3</v>
      </c>
      <c r="I566" s="78">
        <v>135.21</v>
      </c>
      <c r="J566" s="78">
        <v>136.1</v>
      </c>
      <c r="K566" s="78">
        <v>134.44999999999999</v>
      </c>
      <c r="L566" s="78">
        <v>134.9</v>
      </c>
      <c r="M566" s="78">
        <v>527972</v>
      </c>
      <c r="N566" s="78" t="s">
        <v>557</v>
      </c>
      <c r="O566" s="25">
        <f t="shared" si="13"/>
        <v>2.2979985174202966E-3</v>
      </c>
    </row>
    <row r="567" spans="1:15">
      <c r="A567" s="77">
        <v>537.27529762421</v>
      </c>
      <c r="B567" s="77">
        <v>537.44221734239943</v>
      </c>
      <c r="C567" s="77">
        <v>530.52977724796347</v>
      </c>
      <c r="D567" s="77">
        <v>533.46560052670827</v>
      </c>
      <c r="E567" s="77">
        <v>7193699.839804139</v>
      </c>
      <c r="F567" s="77" t="s">
        <v>558</v>
      </c>
      <c r="G567" s="25">
        <f t="shared" si="12"/>
        <v>7.1414109808398685E-3</v>
      </c>
      <c r="I567" s="78">
        <v>134.99</v>
      </c>
      <c r="J567" s="78">
        <v>136.99</v>
      </c>
      <c r="K567" s="78">
        <v>133.31</v>
      </c>
      <c r="L567" s="78">
        <v>135.4</v>
      </c>
      <c r="M567" s="78">
        <v>1530426</v>
      </c>
      <c r="N567" s="78" t="s">
        <v>558</v>
      </c>
      <c r="O567" s="25">
        <f t="shared" si="13"/>
        <v>-3.0280649926144321E-3</v>
      </c>
    </row>
    <row r="568" spans="1:15">
      <c r="A568" s="77">
        <v>533.45725451530132</v>
      </c>
      <c r="B568" s="77">
        <v>537.86162418600225</v>
      </c>
      <c r="C568" s="77">
        <v>524.46255289891428</v>
      </c>
      <c r="D568" s="77">
        <v>525.20640199885486</v>
      </c>
      <c r="E568" s="77">
        <v>9593281.5951108411</v>
      </c>
      <c r="F568" s="77" t="s">
        <v>559</v>
      </c>
      <c r="G568" s="25">
        <f t="shared" si="12"/>
        <v>1.5709733325879105E-2</v>
      </c>
      <c r="I568" s="78">
        <v>136.02000000000001</v>
      </c>
      <c r="J568" s="78">
        <v>137.69</v>
      </c>
      <c r="K568" s="78">
        <v>133.08000000000001</v>
      </c>
      <c r="L568" s="78">
        <v>133.44999999999999</v>
      </c>
      <c r="M568" s="78">
        <v>14354308</v>
      </c>
      <c r="N568" s="78" t="s">
        <v>559</v>
      </c>
      <c r="O568" s="25">
        <f t="shared" si="13"/>
        <v>1.9258149119520507E-2</v>
      </c>
    </row>
    <row r="569" spans="1:15">
      <c r="A569" s="77">
        <v>527.48688673946231</v>
      </c>
      <c r="B569" s="77">
        <v>533.51597944424395</v>
      </c>
      <c r="C569" s="77">
        <v>527.20304958290592</v>
      </c>
      <c r="D569" s="77">
        <v>532.13594361409105</v>
      </c>
      <c r="E569" s="77">
        <v>17156725.740501631</v>
      </c>
      <c r="F569" s="77" t="s">
        <v>560</v>
      </c>
      <c r="G569" s="25">
        <f t="shared" si="12"/>
        <v>-8.7365962221117588E-3</v>
      </c>
      <c r="I569" s="78">
        <v>134</v>
      </c>
      <c r="J569" s="78">
        <v>135.24</v>
      </c>
      <c r="K569" s="78">
        <v>130.31</v>
      </c>
      <c r="L569" s="78">
        <v>134.06</v>
      </c>
      <c r="M569" s="78">
        <v>2027242</v>
      </c>
      <c r="N569" s="78" t="s">
        <v>560</v>
      </c>
      <c r="O569" s="25">
        <f t="shared" si="13"/>
        <v>-4.4756079367447299E-4</v>
      </c>
    </row>
    <row r="570" spans="1:15">
      <c r="A570" s="77">
        <v>527.68263650260451</v>
      </c>
      <c r="B570" s="77">
        <v>545.68182722353572</v>
      </c>
      <c r="C570" s="77">
        <v>527.08559972502053</v>
      </c>
      <c r="D570" s="77">
        <v>543.49921736449949</v>
      </c>
      <c r="E570" s="77">
        <v>25118732.820261329</v>
      </c>
      <c r="F570" s="77" t="s">
        <v>561</v>
      </c>
      <c r="G570" s="25">
        <f t="shared" si="12"/>
        <v>-2.9101386637853333E-2</v>
      </c>
      <c r="I570" s="78">
        <v>134.03</v>
      </c>
      <c r="J570" s="78">
        <v>143.41999999999999</v>
      </c>
      <c r="K570" s="78">
        <v>133.19999999999999</v>
      </c>
      <c r="L570" s="78">
        <v>143.18</v>
      </c>
      <c r="M570" s="78">
        <v>2147134</v>
      </c>
      <c r="N570" s="78" t="s">
        <v>561</v>
      </c>
      <c r="O570" s="25">
        <f t="shared" si="13"/>
        <v>-6.3905573404106741E-2</v>
      </c>
    </row>
    <row r="571" spans="1:15">
      <c r="A571" s="77">
        <v>543.6460296868562</v>
      </c>
      <c r="B571" s="77">
        <v>544.56115982954634</v>
      </c>
      <c r="C571" s="77">
        <v>542.51068106063099</v>
      </c>
      <c r="D571" s="77">
        <v>543.66560466317048</v>
      </c>
      <c r="E571" s="77">
        <v>6243563.1102744061</v>
      </c>
      <c r="F571" s="77" t="s">
        <v>562</v>
      </c>
      <c r="G571" s="25">
        <f t="shared" si="12"/>
        <v>-3.6005544854056382E-5</v>
      </c>
      <c r="I571" s="78">
        <v>143.12</v>
      </c>
      <c r="J571" s="78">
        <v>145.78</v>
      </c>
      <c r="K571" s="78">
        <v>140.61000000000001</v>
      </c>
      <c r="L571" s="78">
        <v>144.4</v>
      </c>
      <c r="M571" s="78">
        <v>1775226</v>
      </c>
      <c r="N571" s="78" t="s">
        <v>562</v>
      </c>
      <c r="O571" s="25">
        <f t="shared" si="13"/>
        <v>-8.8642659279778435E-3</v>
      </c>
    </row>
    <row r="572" spans="1:15">
      <c r="A572" s="77">
        <v>545.93630191562067</v>
      </c>
      <c r="B572" s="77">
        <v>546.92317434650249</v>
      </c>
      <c r="C572" s="77">
        <v>544.59052229401755</v>
      </c>
      <c r="D572" s="77">
        <v>545.2903276972512</v>
      </c>
      <c r="E572" s="77">
        <v>23342842.037970304</v>
      </c>
      <c r="F572" s="77" t="s">
        <v>563</v>
      </c>
      <c r="G572" s="25">
        <f t="shared" ref="G572:G635" si="14">A572/D572-1</f>
        <v>1.1846427225243872E-3</v>
      </c>
      <c r="I572" s="78">
        <v>144.4</v>
      </c>
      <c r="J572" s="78">
        <v>148.51</v>
      </c>
      <c r="K572" s="78">
        <v>142.94999999999999</v>
      </c>
      <c r="L572" s="78">
        <v>144.5</v>
      </c>
      <c r="M572" s="78">
        <v>1864383</v>
      </c>
      <c r="N572" s="78" t="s">
        <v>563</v>
      </c>
      <c r="O572" s="25">
        <f t="shared" ref="O572:O635" si="15">I572/L572-1</f>
        <v>-6.9204152249136008E-4</v>
      </c>
    </row>
    <row r="573" spans="1:15">
      <c r="A573" s="77">
        <v>543.80262949737005</v>
      </c>
      <c r="B573" s="77">
        <v>546.29843897743388</v>
      </c>
      <c r="C573" s="77">
        <v>542.42690016200618</v>
      </c>
      <c r="D573" s="77">
        <v>545.66225224722155</v>
      </c>
      <c r="E573" s="77">
        <v>4768192.7426990131</v>
      </c>
      <c r="F573" s="77" t="s">
        <v>564</v>
      </c>
      <c r="G573" s="25">
        <f t="shared" si="14"/>
        <v>-3.4080106186435977E-3</v>
      </c>
      <c r="I573" s="78">
        <v>143.87</v>
      </c>
      <c r="J573" s="78">
        <v>146.465</v>
      </c>
      <c r="K573" s="78">
        <v>140.29320000000001</v>
      </c>
      <c r="L573" s="78">
        <v>146.43</v>
      </c>
      <c r="M573" s="78">
        <v>1808556</v>
      </c>
      <c r="N573" s="78" t="s">
        <v>564</v>
      </c>
      <c r="O573" s="25">
        <f t="shared" si="15"/>
        <v>-1.7482756265792543E-2</v>
      </c>
    </row>
    <row r="574" spans="1:15">
      <c r="A574" s="77">
        <v>543.8417794499984</v>
      </c>
      <c r="B574" s="77">
        <v>546.33758893006245</v>
      </c>
      <c r="C574" s="77">
        <v>543.81241698552719</v>
      </c>
      <c r="D574" s="77">
        <v>545.81885205773528</v>
      </c>
      <c r="E574" s="77">
        <v>4136507.6871715989</v>
      </c>
      <c r="F574" s="77" t="s">
        <v>565</v>
      </c>
      <c r="G574" s="25">
        <f t="shared" si="14"/>
        <v>-3.6222138540714655E-3</v>
      </c>
      <c r="I574" s="78">
        <v>146.43</v>
      </c>
      <c r="J574" s="78">
        <v>148.41499999999999</v>
      </c>
      <c r="K574" s="78">
        <v>144.92269999999999</v>
      </c>
      <c r="L574" s="78">
        <v>145.65</v>
      </c>
      <c r="M574" s="78">
        <v>1193335</v>
      </c>
      <c r="N574" s="78" t="s">
        <v>565</v>
      </c>
      <c r="O574" s="25">
        <f t="shared" si="15"/>
        <v>5.3553038105047523E-3</v>
      </c>
    </row>
    <row r="575" spans="1:15">
      <c r="A575" s="77">
        <v>546.66057603924708</v>
      </c>
      <c r="B575" s="77">
        <v>547.50230002075887</v>
      </c>
      <c r="C575" s="77">
        <v>544.8303157538669</v>
      </c>
      <c r="D575" s="77">
        <v>545.08479044595185</v>
      </c>
      <c r="E575" s="77">
        <v>3590724.1404382423</v>
      </c>
      <c r="F575" s="77" t="s">
        <v>566</v>
      </c>
      <c r="G575" s="25">
        <f t="shared" si="14"/>
        <v>2.8908999497234689E-3</v>
      </c>
      <c r="I575" s="78">
        <v>147.63999999999999</v>
      </c>
      <c r="J575" s="78">
        <v>148.6</v>
      </c>
      <c r="K575" s="78">
        <v>140.66999999999999</v>
      </c>
      <c r="L575" s="78">
        <v>146.01</v>
      </c>
      <c r="M575" s="78">
        <v>1863852</v>
      </c>
      <c r="N575" s="78" t="s">
        <v>566</v>
      </c>
      <c r="O575" s="25">
        <f t="shared" si="15"/>
        <v>1.1163618930210228E-2</v>
      </c>
    </row>
    <row r="576" spans="1:15">
      <c r="A576" s="77">
        <v>542.54983101325956</v>
      </c>
      <c r="B576" s="77">
        <v>545.04564049332339</v>
      </c>
      <c r="C576" s="77">
        <v>541.80598191331899</v>
      </c>
      <c r="D576" s="77">
        <v>544.75201584861009</v>
      </c>
      <c r="E576" s="77">
        <v>4199354.2510831943</v>
      </c>
      <c r="F576" s="77" t="s">
        <v>567</v>
      </c>
      <c r="G576" s="25">
        <f t="shared" si="14"/>
        <v>-4.0425455460132431E-3</v>
      </c>
      <c r="I576" s="78">
        <v>148.53</v>
      </c>
      <c r="J576" s="78">
        <v>151.74959999999999</v>
      </c>
      <c r="K576" s="78">
        <v>147.54499999999999</v>
      </c>
      <c r="L576" s="78">
        <v>148.35</v>
      </c>
      <c r="M576" s="78">
        <v>1764361</v>
      </c>
      <c r="N576" s="78" t="s">
        <v>567</v>
      </c>
      <c r="O576" s="25">
        <f t="shared" si="15"/>
        <v>1.2133468149646554E-3</v>
      </c>
    </row>
    <row r="577" spans="1:15">
      <c r="A577" s="77">
        <v>544.09625414208335</v>
      </c>
      <c r="B577" s="77">
        <v>546.98845689251038</v>
      </c>
      <c r="C577" s="77">
        <v>543.57751726975641</v>
      </c>
      <c r="D577" s="77">
        <v>546.83675082607522</v>
      </c>
      <c r="E577" s="77">
        <v>4508077.9962868057</v>
      </c>
      <c r="F577" s="77" t="s">
        <v>568</v>
      </c>
      <c r="G577" s="25">
        <f t="shared" si="14"/>
        <v>-5.0115444506096951E-3</v>
      </c>
      <c r="I577" s="78">
        <v>147.53</v>
      </c>
      <c r="J577" s="78">
        <v>149.9374</v>
      </c>
      <c r="K577" s="78">
        <v>140.52000000000001</v>
      </c>
      <c r="L577" s="78">
        <v>140.57</v>
      </c>
      <c r="M577" s="78">
        <v>2119908</v>
      </c>
      <c r="N577" s="78" t="s">
        <v>568</v>
      </c>
      <c r="O577" s="25">
        <f t="shared" si="15"/>
        <v>4.9512698299779556E-2</v>
      </c>
    </row>
    <row r="578" spans="1:15">
      <c r="A578" s="77">
        <v>546.94441319580346</v>
      </c>
      <c r="B578" s="77">
        <v>548.06018684571427</v>
      </c>
      <c r="C578" s="77">
        <v>546.22013907217706</v>
      </c>
      <c r="D578" s="77">
        <v>546.60185111030444</v>
      </c>
      <c r="E578" s="77">
        <v>5246371.6099294769</v>
      </c>
      <c r="F578" s="77" t="s">
        <v>569</v>
      </c>
      <c r="G578" s="25">
        <f t="shared" si="14"/>
        <v>6.2671226744503983E-4</v>
      </c>
      <c r="I578" s="78">
        <v>141.09</v>
      </c>
      <c r="J578" s="78">
        <v>142.27279999999999</v>
      </c>
      <c r="K578" s="78">
        <v>139.655</v>
      </c>
      <c r="L578" s="78">
        <v>140.02000000000001</v>
      </c>
      <c r="M578" s="78">
        <v>1106683</v>
      </c>
      <c r="N578" s="78" t="s">
        <v>569</v>
      </c>
      <c r="O578" s="25">
        <f t="shared" si="15"/>
        <v>7.6417654620768438E-3</v>
      </c>
    </row>
    <row r="579" spans="1:15">
      <c r="A579" s="77">
        <v>545.85800201036386</v>
      </c>
      <c r="B579" s="77">
        <v>547.52187499707304</v>
      </c>
      <c r="C579" s="77">
        <v>545.61331480643605</v>
      </c>
      <c r="D579" s="77">
        <v>546.75845092081818</v>
      </c>
      <c r="E579" s="77">
        <v>3087166.9538665209</v>
      </c>
      <c r="F579" s="77" t="s">
        <v>570</v>
      </c>
      <c r="G579" s="25">
        <f t="shared" si="14"/>
        <v>-1.6468861321444761E-3</v>
      </c>
      <c r="I579" s="78">
        <v>139.91</v>
      </c>
      <c r="J579" s="78">
        <v>144</v>
      </c>
      <c r="K579" s="78">
        <v>139.34</v>
      </c>
      <c r="L579" s="78">
        <v>142.21</v>
      </c>
      <c r="M579" s="78">
        <v>1393316</v>
      </c>
      <c r="N579" s="78" t="s">
        <v>570</v>
      </c>
      <c r="O579" s="25">
        <f t="shared" si="15"/>
        <v>-1.6173264889951522E-2</v>
      </c>
    </row>
    <row r="580" spans="1:15">
      <c r="A580" s="77">
        <v>546.76823840897532</v>
      </c>
      <c r="B580" s="77">
        <v>547.0031381247461</v>
      </c>
      <c r="C580" s="77">
        <v>544.35170758298409</v>
      </c>
      <c r="D580" s="77">
        <v>544.9967030525379</v>
      </c>
      <c r="E580" s="77">
        <v>5609530.159185729</v>
      </c>
      <c r="F580" s="77" t="s">
        <v>571</v>
      </c>
      <c r="G580" s="25">
        <f t="shared" si="14"/>
        <v>3.2505432537757173E-3</v>
      </c>
      <c r="I580" s="78">
        <v>142.5</v>
      </c>
      <c r="J580" s="78">
        <v>142.68</v>
      </c>
      <c r="K580" s="78">
        <v>138.88</v>
      </c>
      <c r="L580" s="78">
        <v>140.79</v>
      </c>
      <c r="M580" s="78">
        <v>1410469</v>
      </c>
      <c r="N580" s="78" t="s">
        <v>571</v>
      </c>
      <c r="O580" s="25">
        <f t="shared" si="15"/>
        <v>1.2145748987854255E-2</v>
      </c>
    </row>
    <row r="581" spans="1:15">
      <c r="A581" s="77">
        <v>543.34261755398563</v>
      </c>
      <c r="B581" s="77">
        <v>543.62655258542361</v>
      </c>
      <c r="C581" s="77">
        <v>542.02130665277537</v>
      </c>
      <c r="D581" s="77">
        <v>543.00984295664375</v>
      </c>
      <c r="E581" s="77">
        <v>4294162.0286359675</v>
      </c>
      <c r="F581" s="77" t="s">
        <v>572</v>
      </c>
      <c r="G581" s="25">
        <f t="shared" si="14"/>
        <v>6.1283345349671947E-4</v>
      </c>
      <c r="I581" s="78">
        <v>140.6</v>
      </c>
      <c r="J581" s="78">
        <v>144.77000000000001</v>
      </c>
      <c r="K581" s="78">
        <v>139.32</v>
      </c>
      <c r="L581" s="78">
        <v>144.44999999999999</v>
      </c>
      <c r="M581" s="78">
        <v>2084196</v>
      </c>
      <c r="N581" s="78" t="s">
        <v>572</v>
      </c>
      <c r="O581" s="25">
        <f t="shared" si="15"/>
        <v>-2.6652821045344388E-2</v>
      </c>
    </row>
    <row r="582" spans="1:15">
      <c r="A582" s="77">
        <v>543.21538020794321</v>
      </c>
      <c r="B582" s="77">
        <v>543.76347954474159</v>
      </c>
      <c r="C582" s="77">
        <v>542.11918153434658</v>
      </c>
      <c r="D582" s="77">
        <v>542.57919347773088</v>
      </c>
      <c r="E582" s="77">
        <v>5559149.5107410485</v>
      </c>
      <c r="F582" s="77" t="s">
        <v>573</v>
      </c>
      <c r="G582" s="25">
        <f t="shared" si="14"/>
        <v>1.1725232700772192E-3</v>
      </c>
      <c r="I582" s="78">
        <v>145.15</v>
      </c>
      <c r="J582" s="78">
        <v>145.37</v>
      </c>
      <c r="K582" s="78">
        <v>140.55000000000001</v>
      </c>
      <c r="L582" s="78">
        <v>142.91</v>
      </c>
      <c r="M582" s="78">
        <v>1524901</v>
      </c>
      <c r="N582" s="78" t="s">
        <v>573</v>
      </c>
      <c r="O582" s="25">
        <f t="shared" si="15"/>
        <v>1.5674200545798156E-2</v>
      </c>
    </row>
    <row r="583" spans="1:15">
      <c r="A583" s="77">
        <v>541.6885320554336</v>
      </c>
      <c r="B583" s="77">
        <v>542.91196807507276</v>
      </c>
      <c r="C583" s="77">
        <v>539.35910987404066</v>
      </c>
      <c r="D583" s="77">
        <v>539.57443461349703</v>
      </c>
      <c r="E583" s="77">
        <v>4075332.645078205</v>
      </c>
      <c r="F583" s="77" t="s">
        <v>574</v>
      </c>
      <c r="G583" s="25">
        <f t="shared" si="14"/>
        <v>3.9180830415934675E-3</v>
      </c>
      <c r="I583" s="78">
        <v>144.15</v>
      </c>
      <c r="J583" s="78">
        <v>145.26400000000001</v>
      </c>
      <c r="K583" s="78">
        <v>141.51</v>
      </c>
      <c r="L583" s="78">
        <v>144.05000000000001</v>
      </c>
      <c r="M583" s="78">
        <v>757872</v>
      </c>
      <c r="N583" s="78" t="s">
        <v>574</v>
      </c>
      <c r="O583" s="25">
        <f t="shared" si="15"/>
        <v>6.9420340159664917E-4</v>
      </c>
    </row>
    <row r="584" spans="1:15">
      <c r="A584" s="77">
        <v>538.85016048987063</v>
      </c>
      <c r="B584" s="77">
        <v>540.64127082262246</v>
      </c>
      <c r="C584" s="77">
        <v>537.44076219524641</v>
      </c>
      <c r="D584" s="77">
        <v>540.30849622528058</v>
      </c>
      <c r="E584" s="77">
        <v>3384135.8955747751</v>
      </c>
      <c r="F584" s="77" t="s">
        <v>575</v>
      </c>
      <c r="G584" s="25">
        <f t="shared" si="14"/>
        <v>-2.6990797768279284E-3</v>
      </c>
      <c r="I584" s="78">
        <v>144.36000000000001</v>
      </c>
      <c r="J584" s="78">
        <v>146.30000000000001</v>
      </c>
      <c r="K584" s="78">
        <v>143.25</v>
      </c>
      <c r="L584" s="78">
        <v>144.11000000000001</v>
      </c>
      <c r="M584" s="78">
        <v>1308844</v>
      </c>
      <c r="N584" s="78" t="s">
        <v>575</v>
      </c>
      <c r="O584" s="25">
        <f t="shared" si="15"/>
        <v>1.7347859274166044E-3</v>
      </c>
    </row>
    <row r="585" spans="1:15">
      <c r="A585" s="77">
        <v>540.57275840552256</v>
      </c>
      <c r="B585" s="77">
        <v>541.07182242665385</v>
      </c>
      <c r="C585" s="77">
        <v>538.16503631887281</v>
      </c>
      <c r="D585" s="77">
        <v>538.80122304908514</v>
      </c>
      <c r="E585" s="77">
        <v>4534946.9943155665</v>
      </c>
      <c r="F585" s="77" t="s">
        <v>576</v>
      </c>
      <c r="G585" s="25">
        <f t="shared" si="14"/>
        <v>3.2879200726609881E-3</v>
      </c>
      <c r="I585" s="78">
        <v>142.94999999999999</v>
      </c>
      <c r="J585" s="78">
        <v>143.41999999999999</v>
      </c>
      <c r="K585" s="78">
        <v>140.56</v>
      </c>
      <c r="L585" s="78">
        <v>143.08000000000001</v>
      </c>
      <c r="M585" s="78">
        <v>2440705</v>
      </c>
      <c r="N585" s="78" t="s">
        <v>576</v>
      </c>
      <c r="O585" s="25">
        <f t="shared" si="15"/>
        <v>-9.0858261112680694E-4</v>
      </c>
    </row>
    <row r="586" spans="1:15">
      <c r="A586" s="77">
        <v>537.5582120531318</v>
      </c>
      <c r="B586" s="77">
        <v>540.64127082262246</v>
      </c>
      <c r="C586" s="77">
        <v>535.57125408235618</v>
      </c>
      <c r="D586" s="77">
        <v>539.48634722008308</v>
      </c>
      <c r="E586" s="77">
        <v>4398473.7768201027</v>
      </c>
      <c r="F586" s="77" t="s">
        <v>577</v>
      </c>
      <c r="G586" s="25">
        <f t="shared" si="14"/>
        <v>-3.5740203193033171E-3</v>
      </c>
      <c r="I586" s="78">
        <v>143.82</v>
      </c>
      <c r="J586" s="78">
        <v>145.21</v>
      </c>
      <c r="K586" s="78">
        <v>140.78</v>
      </c>
      <c r="L586" s="78">
        <v>141.56</v>
      </c>
      <c r="M586" s="78">
        <v>2324886</v>
      </c>
      <c r="N586" s="78" t="s">
        <v>577</v>
      </c>
      <c r="O586" s="25">
        <f t="shared" si="15"/>
        <v>1.5964961853630832E-2</v>
      </c>
    </row>
    <row r="587" spans="1:15">
      <c r="A587" s="77">
        <v>535.83561413747987</v>
      </c>
      <c r="B587" s="77">
        <v>536.40289695106617</v>
      </c>
      <c r="C587" s="77">
        <v>533.78024162448605</v>
      </c>
      <c r="D587" s="77">
        <v>534.22067859155618</v>
      </c>
      <c r="E587" s="77">
        <v>5695626.8150869235</v>
      </c>
      <c r="F587" s="77" t="s">
        <v>578</v>
      </c>
      <c r="G587" s="25">
        <f t="shared" si="14"/>
        <v>3.0229746070133956E-3</v>
      </c>
      <c r="I587" s="78">
        <v>140.13999999999999</v>
      </c>
      <c r="J587" s="78">
        <v>141.4</v>
      </c>
      <c r="K587" s="78">
        <v>136.05000000000001</v>
      </c>
      <c r="L587" s="78">
        <v>137.77000000000001</v>
      </c>
      <c r="M587" s="78">
        <v>2047303</v>
      </c>
      <c r="N587" s="78" t="s">
        <v>578</v>
      </c>
      <c r="O587" s="25">
        <f t="shared" si="15"/>
        <v>1.7202584016839495E-2</v>
      </c>
    </row>
    <row r="588" spans="1:15">
      <c r="A588" s="77">
        <v>534.04450380472804</v>
      </c>
      <c r="B588" s="77">
        <v>535.44411461119535</v>
      </c>
      <c r="C588" s="77">
        <v>528.56351043674465</v>
      </c>
      <c r="D588" s="77">
        <v>533.98577887578551</v>
      </c>
      <c r="E588" s="77">
        <v>4628990.5308414372</v>
      </c>
      <c r="F588" s="77" t="s">
        <v>579</v>
      </c>
      <c r="G588" s="25">
        <f t="shared" si="14"/>
        <v>1.0997470581730617E-4</v>
      </c>
      <c r="I588" s="78">
        <v>136.99</v>
      </c>
      <c r="J588" s="78">
        <v>137.19</v>
      </c>
      <c r="K588" s="78">
        <v>130.11000000000001</v>
      </c>
      <c r="L588" s="78">
        <v>131.35</v>
      </c>
      <c r="M588" s="78">
        <v>2026178</v>
      </c>
      <c r="N588" s="78" t="s">
        <v>579</v>
      </c>
      <c r="O588" s="25">
        <f t="shared" si="15"/>
        <v>4.2938713361248659E-2</v>
      </c>
    </row>
    <row r="589" spans="1:15">
      <c r="A589" s="77">
        <v>531.36273204967904</v>
      </c>
      <c r="B589" s="77">
        <v>531.52911934835004</v>
      </c>
      <c r="C589" s="77">
        <v>526.01876351589533</v>
      </c>
      <c r="D589" s="77">
        <v>531.24528219179365</v>
      </c>
      <c r="E589" s="77">
        <v>4034804.3712624442</v>
      </c>
      <c r="F589" s="77" t="s">
        <v>580</v>
      </c>
      <c r="G589" s="25">
        <f t="shared" si="14"/>
        <v>2.2108404878595778E-4</v>
      </c>
      <c r="I589" s="78">
        <v>131.68</v>
      </c>
      <c r="J589" s="78">
        <v>134.28</v>
      </c>
      <c r="K589" s="78">
        <v>129.72</v>
      </c>
      <c r="L589" s="78">
        <v>133.99</v>
      </c>
      <c r="M589" s="78">
        <v>3065399</v>
      </c>
      <c r="N589" s="78" t="s">
        <v>580</v>
      </c>
      <c r="O589" s="25">
        <f t="shared" si="15"/>
        <v>-1.7240092544219765E-2</v>
      </c>
    </row>
    <row r="590" spans="1:15">
      <c r="A590" s="77">
        <v>531.16698228653684</v>
      </c>
      <c r="B590" s="77">
        <v>531.82274399306334</v>
      </c>
      <c r="C590" s="77">
        <v>525.49023915541113</v>
      </c>
      <c r="D590" s="77">
        <v>526.07748844483785</v>
      </c>
      <c r="E590" s="77">
        <v>7129891.6412259666</v>
      </c>
      <c r="F590" s="77" t="s">
        <v>581</v>
      </c>
      <c r="G590" s="25">
        <f t="shared" si="14"/>
        <v>9.674418604651347E-3</v>
      </c>
      <c r="I590" s="78">
        <v>135</v>
      </c>
      <c r="J590" s="78">
        <v>135.0575</v>
      </c>
      <c r="K590" s="78">
        <v>129.15</v>
      </c>
      <c r="L590" s="78">
        <v>130.11000000000001</v>
      </c>
      <c r="M590" s="78">
        <v>3125400</v>
      </c>
      <c r="N590" s="78" t="s">
        <v>581</v>
      </c>
      <c r="O590" s="25">
        <f t="shared" si="15"/>
        <v>3.7583583121973518E-2</v>
      </c>
    </row>
    <row r="591" spans="1:15">
      <c r="A591" s="77">
        <v>529.23884711958556</v>
      </c>
      <c r="B591" s="77">
        <v>530.413345698439</v>
      </c>
      <c r="C591" s="77">
        <v>526.70878143097173</v>
      </c>
      <c r="D591" s="77">
        <v>527.4673117631479</v>
      </c>
      <c r="E591" s="77">
        <v>4602044.9043674646</v>
      </c>
      <c r="F591" s="77" t="s">
        <v>582</v>
      </c>
      <c r="G591" s="25">
        <f t="shared" si="14"/>
        <v>3.3585689898318893E-3</v>
      </c>
      <c r="I591" s="78">
        <v>130.74</v>
      </c>
      <c r="J591" s="78">
        <v>135.52500000000001</v>
      </c>
      <c r="K591" s="78">
        <v>129.71</v>
      </c>
      <c r="L591" s="78">
        <v>135</v>
      </c>
      <c r="M591" s="78">
        <v>2551651</v>
      </c>
      <c r="N591" s="78" t="s">
        <v>582</v>
      </c>
      <c r="O591" s="25">
        <f t="shared" si="15"/>
        <v>-3.1555555555555448E-2</v>
      </c>
    </row>
    <row r="592" spans="1:15">
      <c r="A592" s="77">
        <v>527.05623726054921</v>
      </c>
      <c r="B592" s="77">
        <v>531.03974494049442</v>
      </c>
      <c r="C592" s="77">
        <v>525.34342683305442</v>
      </c>
      <c r="D592" s="77">
        <v>530.60909546158132</v>
      </c>
      <c r="E592" s="77">
        <v>7519921.2319361856</v>
      </c>
      <c r="F592" s="77" t="s">
        <v>583</v>
      </c>
      <c r="G592" s="25">
        <f t="shared" si="14"/>
        <v>-6.6958109678489919E-3</v>
      </c>
      <c r="I592" s="78">
        <v>135.05000000000001</v>
      </c>
      <c r="J592" s="78">
        <v>140.35</v>
      </c>
      <c r="K592" s="78">
        <v>133.41999999999999</v>
      </c>
      <c r="L592" s="78">
        <v>140.35</v>
      </c>
      <c r="M592" s="78">
        <v>4741753</v>
      </c>
      <c r="N592" s="78" t="s">
        <v>583</v>
      </c>
      <c r="O592" s="25">
        <f t="shared" si="15"/>
        <v>-3.7762736017100007E-2</v>
      </c>
    </row>
    <row r="593" spans="1:15">
      <c r="A593" s="77">
        <v>533.94662892315694</v>
      </c>
      <c r="B593" s="77">
        <v>537.89098665047368</v>
      </c>
      <c r="C593" s="77">
        <v>533.30065470478746</v>
      </c>
      <c r="D593" s="77">
        <v>537.43097470708926</v>
      </c>
      <c r="E593" s="77">
        <v>4025835.7780349567</v>
      </c>
      <c r="F593" s="77" t="s">
        <v>584</v>
      </c>
      <c r="G593" s="25">
        <f t="shared" si="14"/>
        <v>-6.4833363686032097E-3</v>
      </c>
      <c r="I593" s="78">
        <v>142.24</v>
      </c>
      <c r="J593" s="78">
        <v>145.63</v>
      </c>
      <c r="K593" s="78">
        <v>141.86000000000001</v>
      </c>
      <c r="L593" s="78">
        <v>145.57</v>
      </c>
      <c r="M593" s="78">
        <v>2262983</v>
      </c>
      <c r="N593" s="78" t="s">
        <v>584</v>
      </c>
      <c r="O593" s="25">
        <f t="shared" si="15"/>
        <v>-2.2875592498454278E-2</v>
      </c>
    </row>
    <row r="594" spans="1:15">
      <c r="A594" s="77">
        <v>537.36246228998948</v>
      </c>
      <c r="B594" s="77">
        <v>539.17314759905548</v>
      </c>
      <c r="C594" s="77">
        <v>535.34623972962413</v>
      </c>
      <c r="D594" s="77">
        <v>537.4896996360319</v>
      </c>
      <c r="E594" s="77">
        <v>3781940.7191923968</v>
      </c>
      <c r="F594" s="77" t="s">
        <v>585</v>
      </c>
      <c r="G594" s="25">
        <f t="shared" si="14"/>
        <v>-2.3672518027528788E-4</v>
      </c>
      <c r="I594" s="78">
        <v>146.16999999999999</v>
      </c>
      <c r="J594" s="78">
        <v>148.15</v>
      </c>
      <c r="K594" s="78">
        <v>145.22</v>
      </c>
      <c r="L594" s="78">
        <v>147.69999999999999</v>
      </c>
      <c r="M594" s="78">
        <v>1802793</v>
      </c>
      <c r="N594" s="78" t="s">
        <v>585</v>
      </c>
      <c r="O594" s="25">
        <f t="shared" si="15"/>
        <v>-1.0358835477318862E-2</v>
      </c>
    </row>
    <row r="595" spans="1:15">
      <c r="A595" s="77">
        <v>537.08841262159035</v>
      </c>
      <c r="B595" s="77">
        <v>539.23187252799823</v>
      </c>
      <c r="C595" s="77">
        <v>534.81771536914005</v>
      </c>
      <c r="D595" s="77">
        <v>538.69356067935689</v>
      </c>
      <c r="E595" s="77">
        <v>4923237.6301757991</v>
      </c>
      <c r="F595" s="77" t="s">
        <v>586</v>
      </c>
      <c r="G595" s="25">
        <f t="shared" si="14"/>
        <v>-2.9797052998782325E-3</v>
      </c>
      <c r="I595" s="78">
        <v>147.62</v>
      </c>
      <c r="J595" s="78">
        <v>151.69999999999999</v>
      </c>
      <c r="K595" s="78">
        <v>146.07</v>
      </c>
      <c r="L595" s="78">
        <v>151.31</v>
      </c>
      <c r="M595" s="78">
        <v>2119077</v>
      </c>
      <c r="N595" s="78" t="s">
        <v>586</v>
      </c>
      <c r="O595" s="25">
        <f t="shared" si="15"/>
        <v>-2.4387020025113948E-2</v>
      </c>
    </row>
    <row r="596" spans="1:15">
      <c r="A596" s="77">
        <v>538.70334816751404</v>
      </c>
      <c r="B596" s="77">
        <v>540.00508409241013</v>
      </c>
      <c r="C596" s="77">
        <v>537.18628750316145</v>
      </c>
      <c r="D596" s="77">
        <v>539.7114594476966</v>
      </c>
      <c r="E596" s="77">
        <v>4999371.5664869696</v>
      </c>
      <c r="F596" s="77" t="s">
        <v>587</v>
      </c>
      <c r="G596" s="25">
        <f t="shared" si="14"/>
        <v>-1.8678708086246054E-3</v>
      </c>
      <c r="I596" s="78">
        <v>151.5</v>
      </c>
      <c r="J596" s="78">
        <v>152.63999999999999</v>
      </c>
      <c r="K596" s="78">
        <v>149.5951</v>
      </c>
      <c r="L596" s="78">
        <v>151.26</v>
      </c>
      <c r="M596" s="78">
        <v>1496370</v>
      </c>
      <c r="N596" s="78" t="s">
        <v>587</v>
      </c>
      <c r="O596" s="25">
        <f t="shared" si="15"/>
        <v>1.5866719555732711E-3</v>
      </c>
    </row>
    <row r="597" spans="1:15">
      <c r="A597" s="77">
        <v>538.26291120044391</v>
      </c>
      <c r="B597" s="77">
        <v>539.52549717271154</v>
      </c>
      <c r="C597" s="77">
        <v>536.41307593874944</v>
      </c>
      <c r="D597" s="77">
        <v>536.4228634269067</v>
      </c>
      <c r="E597" s="77">
        <v>6945577.7528164135</v>
      </c>
      <c r="F597" s="77" t="s">
        <v>588</v>
      </c>
      <c r="G597" s="25">
        <f t="shared" si="14"/>
        <v>3.4302187676755747E-3</v>
      </c>
      <c r="I597" s="78">
        <v>151.09</v>
      </c>
      <c r="J597" s="78">
        <v>154.43</v>
      </c>
      <c r="K597" s="78">
        <v>149.05000000000001</v>
      </c>
      <c r="L597" s="78">
        <v>154.29</v>
      </c>
      <c r="M597" s="78">
        <v>2209599</v>
      </c>
      <c r="N597" s="78" t="s">
        <v>588</v>
      </c>
      <c r="O597" s="25">
        <f t="shared" si="15"/>
        <v>-2.0740164625056678E-2</v>
      </c>
    </row>
    <row r="598" spans="1:15">
      <c r="A598" s="77">
        <v>535.8943390664225</v>
      </c>
      <c r="B598" s="77">
        <v>536.81925669726968</v>
      </c>
      <c r="C598" s="77">
        <v>533.56491688502956</v>
      </c>
      <c r="D598" s="77">
        <v>533.63342930212934</v>
      </c>
      <c r="E598" s="77">
        <v>6182664.9522963744</v>
      </c>
      <c r="F598" s="77" t="s">
        <v>589</v>
      </c>
      <c r="G598" s="25">
        <f t="shared" si="14"/>
        <v>4.23682183338836E-3</v>
      </c>
      <c r="I598" s="78">
        <v>155.15</v>
      </c>
      <c r="J598" s="78">
        <v>155.99</v>
      </c>
      <c r="K598" s="78">
        <v>152.41</v>
      </c>
      <c r="L598" s="78">
        <v>152.46</v>
      </c>
      <c r="M598" s="78">
        <v>2162929</v>
      </c>
      <c r="N598" s="78" t="s">
        <v>589</v>
      </c>
      <c r="O598" s="25">
        <f t="shared" si="15"/>
        <v>1.7643972189426815E-2</v>
      </c>
    </row>
    <row r="599" spans="1:15">
      <c r="A599" s="77">
        <v>531.75423157596356</v>
      </c>
      <c r="B599" s="77">
        <v>532.57638058116106</v>
      </c>
      <c r="C599" s="77">
        <v>526.73325015136447</v>
      </c>
      <c r="D599" s="77">
        <v>530.13929603003987</v>
      </c>
      <c r="E599" s="77">
        <v>7645819.7239925414</v>
      </c>
      <c r="F599" s="77" t="s">
        <v>590</v>
      </c>
      <c r="G599" s="25">
        <f t="shared" si="14"/>
        <v>3.0462475768484598E-3</v>
      </c>
      <c r="I599" s="78">
        <v>151.83000000000001</v>
      </c>
      <c r="J599" s="78">
        <v>156.51</v>
      </c>
      <c r="K599" s="78">
        <v>147.87</v>
      </c>
      <c r="L599" s="78">
        <v>156.13999999999999</v>
      </c>
      <c r="M599" s="78">
        <v>2834477</v>
      </c>
      <c r="N599" s="78" t="s">
        <v>590</v>
      </c>
      <c r="O599" s="25">
        <f t="shared" si="15"/>
        <v>-2.7603432816702744E-2</v>
      </c>
    </row>
    <row r="600" spans="1:15">
      <c r="A600" s="77">
        <v>518.83474720857407</v>
      </c>
      <c r="B600" s="77">
        <v>518.90325962567385</v>
      </c>
      <c r="C600" s="77">
        <v>513.3341788642764</v>
      </c>
      <c r="D600" s="77">
        <v>513.56907858004718</v>
      </c>
      <c r="E600" s="77">
        <v>3371936.647097195</v>
      </c>
      <c r="F600" s="77" t="s">
        <v>591</v>
      </c>
      <c r="G600" s="25">
        <f t="shared" si="14"/>
        <v>1.0253087360878155E-2</v>
      </c>
      <c r="I600" s="78">
        <v>154.96</v>
      </c>
      <c r="J600" s="78">
        <v>156.66</v>
      </c>
      <c r="K600" s="78">
        <v>147.1</v>
      </c>
      <c r="L600" s="78">
        <v>148.13</v>
      </c>
      <c r="M600" s="78">
        <v>3493125</v>
      </c>
      <c r="N600" s="78" t="s">
        <v>591</v>
      </c>
      <c r="O600" s="25">
        <f t="shared" si="15"/>
        <v>4.6108148248160452E-2</v>
      </c>
    </row>
    <row r="601" spans="1:15">
      <c r="A601" s="77">
        <v>512.66862966959263</v>
      </c>
      <c r="B601" s="77">
        <v>515.09592673255679</v>
      </c>
      <c r="C601" s="77">
        <v>510.9363421406652</v>
      </c>
      <c r="D601" s="77">
        <v>513.90185317738894</v>
      </c>
      <c r="E601" s="77">
        <v>3761395.1004624418</v>
      </c>
      <c r="F601" s="77" t="s">
        <v>592</v>
      </c>
      <c r="G601" s="25">
        <f t="shared" si="14"/>
        <v>-2.3997257456291887E-3</v>
      </c>
      <c r="I601" s="78">
        <v>153.49</v>
      </c>
      <c r="J601" s="78">
        <v>155.37</v>
      </c>
      <c r="K601" s="78">
        <v>149.22</v>
      </c>
      <c r="L601" s="78">
        <v>149.76</v>
      </c>
      <c r="M601" s="78">
        <v>4167553</v>
      </c>
      <c r="N601" s="78" t="s">
        <v>592</v>
      </c>
      <c r="O601" s="25">
        <f t="shared" si="15"/>
        <v>2.4906517094017255E-2</v>
      </c>
    </row>
    <row r="602" spans="1:15">
      <c r="A602" s="77">
        <v>513.78440331950367</v>
      </c>
      <c r="B602" s="77">
        <v>517.83642341654854</v>
      </c>
      <c r="C602" s="77">
        <v>513.39300166810074</v>
      </c>
      <c r="D602" s="77">
        <v>513.99972805896016</v>
      </c>
      <c r="E602" s="77">
        <v>6239539.6060445309</v>
      </c>
      <c r="F602" s="77" t="s">
        <v>593</v>
      </c>
      <c r="G602" s="25">
        <f t="shared" si="14"/>
        <v>-4.1891994820630885E-4</v>
      </c>
      <c r="I602" s="78">
        <v>149.76</v>
      </c>
      <c r="J602" s="78">
        <v>149.94999999999999</v>
      </c>
      <c r="K602" s="78">
        <v>143.99</v>
      </c>
      <c r="L602" s="78">
        <v>144.69999999999999</v>
      </c>
      <c r="M602" s="78">
        <v>1714148</v>
      </c>
      <c r="N602" s="78" t="s">
        <v>593</v>
      </c>
      <c r="O602" s="25">
        <f t="shared" si="15"/>
        <v>3.4968901174844413E-2</v>
      </c>
    </row>
    <row r="603" spans="1:15">
      <c r="A603" s="77">
        <v>511.56264350783891</v>
      </c>
      <c r="B603" s="77">
        <v>517.98323573890525</v>
      </c>
      <c r="C603" s="77">
        <v>511.40604369732512</v>
      </c>
      <c r="D603" s="77">
        <v>517.84621090470569</v>
      </c>
      <c r="E603" s="77">
        <v>8145883.6751752477</v>
      </c>
      <c r="F603" s="77" t="s">
        <v>594</v>
      </c>
      <c r="G603" s="25">
        <f t="shared" si="14"/>
        <v>-1.213404146742536E-2</v>
      </c>
      <c r="I603" s="78">
        <v>144.13999999999999</v>
      </c>
      <c r="J603" s="78">
        <v>146.095</v>
      </c>
      <c r="K603" s="78">
        <v>142.91</v>
      </c>
      <c r="L603" s="78">
        <v>145.69999999999999</v>
      </c>
      <c r="M603" s="78">
        <v>1499004</v>
      </c>
      <c r="N603" s="78" t="s">
        <v>594</v>
      </c>
      <c r="O603" s="25">
        <f t="shared" si="15"/>
        <v>-1.0706932052161999E-2</v>
      </c>
    </row>
    <row r="604" spans="1:15">
      <c r="A604" s="77">
        <v>521.82971858465066</v>
      </c>
      <c r="B604" s="77">
        <v>524.80511498441319</v>
      </c>
      <c r="C604" s="77">
        <v>521.27183175969537</v>
      </c>
      <c r="D604" s="77">
        <v>522.99442967534719</v>
      </c>
      <c r="E604" s="77">
        <v>3133607.8785147569</v>
      </c>
      <c r="F604" s="77" t="s">
        <v>595</v>
      </c>
      <c r="G604" s="25">
        <f t="shared" si="14"/>
        <v>-2.2270047721532071E-3</v>
      </c>
      <c r="I604" s="78">
        <v>147.66</v>
      </c>
      <c r="J604" s="78">
        <v>148.8999</v>
      </c>
      <c r="K604" s="78">
        <v>144.94</v>
      </c>
      <c r="L604" s="78">
        <v>144.94</v>
      </c>
      <c r="M604" s="78">
        <v>1176085</v>
      </c>
      <c r="N604" s="78" t="s">
        <v>595</v>
      </c>
      <c r="O604" s="25">
        <f t="shared" si="15"/>
        <v>1.8766386090796283E-2</v>
      </c>
    </row>
    <row r="605" spans="1:15">
      <c r="A605" s="77">
        <v>523.405504177946</v>
      </c>
      <c r="B605" s="77">
        <v>524.43319043444296</v>
      </c>
      <c r="C605" s="77">
        <v>520.44968275449776</v>
      </c>
      <c r="D605" s="77">
        <v>521.79056863202231</v>
      </c>
      <c r="E605" s="77">
        <v>3093348.3151135361</v>
      </c>
      <c r="F605" s="77" t="s">
        <v>596</v>
      </c>
      <c r="G605" s="25">
        <f t="shared" si="14"/>
        <v>3.0949879951980286E-3</v>
      </c>
      <c r="I605" s="78">
        <v>146</v>
      </c>
      <c r="J605" s="78">
        <v>146.68559999999999</v>
      </c>
      <c r="K605" s="78">
        <v>142.97999999999999</v>
      </c>
      <c r="L605" s="78">
        <v>143.69999999999999</v>
      </c>
      <c r="M605" s="78">
        <v>1328079</v>
      </c>
      <c r="N605" s="78" t="s">
        <v>596</v>
      </c>
      <c r="O605" s="25">
        <f t="shared" si="15"/>
        <v>1.6005567153792644E-2</v>
      </c>
    </row>
    <row r="606" spans="1:15">
      <c r="A606" s="77">
        <v>522.57356768459135</v>
      </c>
      <c r="B606" s="77">
        <v>524.18850323051504</v>
      </c>
      <c r="C606" s="77">
        <v>522.32966347971603</v>
      </c>
      <c r="D606" s="77">
        <v>524.14935327788658</v>
      </c>
      <c r="E606" s="77">
        <v>3481966.9207192706</v>
      </c>
      <c r="F606" s="77" t="s">
        <v>597</v>
      </c>
      <c r="G606" s="25">
        <f t="shared" si="14"/>
        <v>-3.0063675237614884E-3</v>
      </c>
      <c r="I606" s="78">
        <v>144.03</v>
      </c>
      <c r="J606" s="78">
        <v>145</v>
      </c>
      <c r="K606" s="78">
        <v>142.83000000000001</v>
      </c>
      <c r="L606" s="78">
        <v>143.21</v>
      </c>
      <c r="M606" s="78">
        <v>853609</v>
      </c>
      <c r="N606" s="78" t="s">
        <v>597</v>
      </c>
      <c r="O606" s="25">
        <f t="shared" si="15"/>
        <v>5.725857132881762E-3</v>
      </c>
    </row>
    <row r="607" spans="1:15">
      <c r="A607" s="77">
        <v>520.94884465051052</v>
      </c>
      <c r="B607" s="77">
        <v>525.84268660394866</v>
      </c>
      <c r="C607" s="77">
        <v>520.12082315241878</v>
      </c>
      <c r="D607" s="77">
        <v>523.28805432006061</v>
      </c>
      <c r="E607" s="77">
        <v>4421144.5577639071</v>
      </c>
      <c r="F607" s="77" t="s">
        <v>598</v>
      </c>
      <c r="G607" s="25">
        <f t="shared" si="14"/>
        <v>-4.4702141587955602E-3</v>
      </c>
      <c r="I607" s="78">
        <v>141.94999999999999</v>
      </c>
      <c r="J607" s="78">
        <v>143.31</v>
      </c>
      <c r="K607" s="78">
        <v>140.69999999999999</v>
      </c>
      <c r="L607" s="78">
        <v>141.78</v>
      </c>
      <c r="M607" s="78">
        <v>969770</v>
      </c>
      <c r="N607" s="78" t="s">
        <v>598</v>
      </c>
      <c r="O607" s="25">
        <f t="shared" si="15"/>
        <v>1.1990407673860837E-3</v>
      </c>
    </row>
    <row r="608" spans="1:15">
      <c r="A608" s="77">
        <v>521.15438190180998</v>
      </c>
      <c r="B608" s="77">
        <v>521.84929356096495</v>
      </c>
      <c r="C608" s="77">
        <v>518.77602227963132</v>
      </c>
      <c r="D608" s="77">
        <v>521.83950607280781</v>
      </c>
      <c r="E608" s="77">
        <v>4574985.8677945798</v>
      </c>
      <c r="F608" s="77" t="s">
        <v>599</v>
      </c>
      <c r="G608" s="25">
        <f t="shared" si="14"/>
        <v>-1.3129020762606691E-3</v>
      </c>
      <c r="I608" s="78">
        <v>141.38999999999999</v>
      </c>
      <c r="J608" s="78">
        <v>144.16999999999999</v>
      </c>
      <c r="K608" s="78">
        <v>140.87</v>
      </c>
      <c r="L608" s="78">
        <v>144.16999999999999</v>
      </c>
      <c r="M608" s="78">
        <v>848039</v>
      </c>
      <c r="N608" s="78" t="s">
        <v>599</v>
      </c>
      <c r="O608" s="25">
        <f t="shared" si="15"/>
        <v>-1.9282791149337619E-2</v>
      </c>
    </row>
    <row r="609" spans="1:15">
      <c r="A609" s="77">
        <v>519.97988332295631</v>
      </c>
      <c r="B609" s="77">
        <v>523.35656673716039</v>
      </c>
      <c r="C609" s="77">
        <v>516.79894967189455</v>
      </c>
      <c r="D609" s="77">
        <v>522.92591725824741</v>
      </c>
      <c r="E609" s="77">
        <v>5341262.1462030783</v>
      </c>
      <c r="F609" s="77" t="s">
        <v>600</v>
      </c>
      <c r="G609" s="25">
        <f t="shared" si="14"/>
        <v>-5.6337500935839113E-3</v>
      </c>
      <c r="I609" s="78">
        <v>142.94</v>
      </c>
      <c r="J609" s="78">
        <v>144.87</v>
      </c>
      <c r="K609" s="78">
        <v>141.38</v>
      </c>
      <c r="L609" s="78">
        <v>142.63</v>
      </c>
      <c r="M609" s="78">
        <v>1067712</v>
      </c>
      <c r="N609" s="78" t="s">
        <v>600</v>
      </c>
      <c r="O609" s="25">
        <f t="shared" si="15"/>
        <v>2.173455794713508E-3</v>
      </c>
    </row>
    <row r="610" spans="1:15">
      <c r="A610" s="77">
        <v>524.76596503178473</v>
      </c>
      <c r="B610" s="77">
        <v>525.86216370538136</v>
      </c>
      <c r="C610" s="77">
        <v>522.13313071752123</v>
      </c>
      <c r="D610" s="77">
        <v>522.75952995957653</v>
      </c>
      <c r="E610" s="77">
        <v>3439692.5400653039</v>
      </c>
      <c r="F610" s="77" t="s">
        <v>601</v>
      </c>
      <c r="G610" s="25">
        <f t="shared" si="14"/>
        <v>3.8381606785118372E-3</v>
      </c>
      <c r="I610" s="78">
        <v>144.06</v>
      </c>
      <c r="J610" s="78">
        <v>144.47</v>
      </c>
      <c r="K610" s="78">
        <v>142.30000000000001</v>
      </c>
      <c r="L610" s="78">
        <v>143.35</v>
      </c>
      <c r="M610" s="78">
        <v>1090586</v>
      </c>
      <c r="N610" s="78" t="s">
        <v>601</v>
      </c>
      <c r="O610" s="25">
        <f t="shared" si="15"/>
        <v>4.9529124520404366E-3</v>
      </c>
    </row>
    <row r="611" spans="1:15">
      <c r="A611" s="77">
        <v>525.12810209359793</v>
      </c>
      <c r="B611" s="77">
        <v>526.18515081456621</v>
      </c>
      <c r="C611" s="77">
        <v>522.36803043329201</v>
      </c>
      <c r="D611" s="77">
        <v>525.3140643685831</v>
      </c>
      <c r="E611" s="77">
        <v>3751147.3230562331</v>
      </c>
      <c r="F611" s="77" t="s">
        <v>602</v>
      </c>
      <c r="G611" s="25">
        <f t="shared" si="14"/>
        <v>-3.5400208674918332E-4</v>
      </c>
      <c r="I611" s="78">
        <v>145.21</v>
      </c>
      <c r="J611" s="78">
        <v>145.83000000000001</v>
      </c>
      <c r="K611" s="78">
        <v>143.49</v>
      </c>
      <c r="L611" s="78">
        <v>144.66</v>
      </c>
      <c r="M611" s="78">
        <v>1170266</v>
      </c>
      <c r="N611" s="78" t="s">
        <v>602</v>
      </c>
      <c r="O611" s="25">
        <f t="shared" si="15"/>
        <v>3.8020185261995465E-3</v>
      </c>
    </row>
    <row r="612" spans="1:15">
      <c r="A612" s="77">
        <v>525.94046361063829</v>
      </c>
      <c r="B612" s="77">
        <v>526.66473773426469</v>
      </c>
      <c r="C612" s="77">
        <v>524.17871574235789</v>
      </c>
      <c r="D612" s="77">
        <v>525.49023915541113</v>
      </c>
      <c r="E612" s="77">
        <v>5180503.8418513658</v>
      </c>
      <c r="F612" s="77" t="s">
        <v>603</v>
      </c>
      <c r="G612" s="25">
        <f t="shared" si="14"/>
        <v>8.5677034829556575E-4</v>
      </c>
      <c r="I612" s="78">
        <v>146.07</v>
      </c>
      <c r="J612" s="78">
        <v>146.27000000000001</v>
      </c>
      <c r="K612" s="78">
        <v>142.9</v>
      </c>
      <c r="L612" s="78">
        <v>143.52000000000001</v>
      </c>
      <c r="M612" s="78">
        <v>1746216</v>
      </c>
      <c r="N612" s="78" t="s">
        <v>603</v>
      </c>
      <c r="O612" s="25">
        <f t="shared" si="15"/>
        <v>1.776755852842804E-2</v>
      </c>
    </row>
    <row r="613" spans="1:15">
      <c r="A613" s="77">
        <v>523.92424105027294</v>
      </c>
      <c r="B613" s="77">
        <v>527.31071195263416</v>
      </c>
      <c r="C613" s="77">
        <v>523.77742872791623</v>
      </c>
      <c r="D613" s="77">
        <v>527.1736871184346</v>
      </c>
      <c r="E613" s="77">
        <v>3295326.5927131134</v>
      </c>
      <c r="F613" s="77" t="s">
        <v>604</v>
      </c>
      <c r="G613" s="25">
        <f t="shared" si="14"/>
        <v>-6.1639003379007073E-3</v>
      </c>
      <c r="I613" s="78">
        <v>143.52000000000001</v>
      </c>
      <c r="J613" s="78">
        <v>147.69</v>
      </c>
      <c r="K613" s="78">
        <v>142.69999999999999</v>
      </c>
      <c r="L613" s="78">
        <v>146.83000000000001</v>
      </c>
      <c r="M613" s="78">
        <v>1591533</v>
      </c>
      <c r="N613" s="78" t="s">
        <v>604</v>
      </c>
      <c r="O613" s="25">
        <f t="shared" si="15"/>
        <v>-2.2543077027855407E-2</v>
      </c>
    </row>
    <row r="614" spans="1:15">
      <c r="A614" s="77">
        <v>523.84594114501613</v>
      </c>
      <c r="B614" s="77">
        <v>524.34510304102889</v>
      </c>
      <c r="C614" s="77">
        <v>520.9048009538036</v>
      </c>
      <c r="D614" s="77">
        <v>521.60460635703714</v>
      </c>
      <c r="E614" s="77">
        <v>3307504.3852260346</v>
      </c>
      <c r="F614" s="77" t="s">
        <v>605</v>
      </c>
      <c r="G614" s="25">
        <f t="shared" si="14"/>
        <v>4.2969996059520899E-3</v>
      </c>
      <c r="I614" s="78">
        <v>143.88999999999999</v>
      </c>
      <c r="J614" s="78">
        <v>148.61359999999999</v>
      </c>
      <c r="K614" s="78">
        <v>143.76</v>
      </c>
      <c r="L614" s="78">
        <v>147.88</v>
      </c>
      <c r="M614" s="78">
        <v>1536023</v>
      </c>
      <c r="N614" s="78" t="s">
        <v>605</v>
      </c>
      <c r="O614" s="25">
        <f t="shared" si="15"/>
        <v>-2.6981336218555696E-2</v>
      </c>
    </row>
    <row r="615" spans="1:15">
      <c r="A615" s="77">
        <v>521.65354379782275</v>
      </c>
      <c r="B615" s="77">
        <v>526.18515081456621</v>
      </c>
      <c r="C615" s="77">
        <v>520.51819517159765</v>
      </c>
      <c r="D615" s="77">
        <v>525.96003858695258</v>
      </c>
      <c r="E615" s="77">
        <v>4915796.497289516</v>
      </c>
      <c r="F615" s="77" t="s">
        <v>606</v>
      </c>
      <c r="G615" s="25">
        <f t="shared" si="14"/>
        <v>-8.1878745022144761E-3</v>
      </c>
      <c r="I615" s="78">
        <v>147.61000000000001</v>
      </c>
      <c r="J615" s="78">
        <v>151.4</v>
      </c>
      <c r="K615" s="78">
        <v>145.58000000000001</v>
      </c>
      <c r="L615" s="78">
        <v>148.74</v>
      </c>
      <c r="M615" s="78">
        <v>2342498</v>
      </c>
      <c r="N615" s="78" t="s">
        <v>606</v>
      </c>
      <c r="O615" s="25">
        <f t="shared" si="15"/>
        <v>-7.5971493881941132E-3</v>
      </c>
    </row>
    <row r="616" spans="1:15">
      <c r="A616" s="77">
        <v>525.65662645408213</v>
      </c>
      <c r="B616" s="77">
        <v>526.5472878763793</v>
      </c>
      <c r="C616" s="77">
        <v>522.62250512537696</v>
      </c>
      <c r="D616" s="77">
        <v>522.89655479377609</v>
      </c>
      <c r="E616" s="77">
        <v>2696227.0172271961</v>
      </c>
      <c r="F616" s="77" t="s">
        <v>607</v>
      </c>
      <c r="G616" s="25">
        <f t="shared" si="14"/>
        <v>5.2784277023867343E-3</v>
      </c>
      <c r="I616" s="78">
        <v>149.07</v>
      </c>
      <c r="J616" s="78">
        <v>150.80000000000001</v>
      </c>
      <c r="K616" s="78">
        <v>145.10040000000001</v>
      </c>
      <c r="L616" s="78">
        <v>146</v>
      </c>
      <c r="M616" s="78">
        <v>2071216</v>
      </c>
      <c r="N616" s="78" t="s">
        <v>607</v>
      </c>
      <c r="O616" s="25">
        <f t="shared" si="15"/>
        <v>2.1027397260273917E-2</v>
      </c>
    </row>
    <row r="617" spans="1:15">
      <c r="A617" s="77">
        <v>521.38928161758065</v>
      </c>
      <c r="B617" s="77">
        <v>522.09398076489276</v>
      </c>
      <c r="C617" s="77">
        <v>518.13983554941899</v>
      </c>
      <c r="D617" s="77">
        <v>518.24749791914724</v>
      </c>
      <c r="E617" s="77">
        <v>5547049.3683859408</v>
      </c>
      <c r="F617" s="77" t="s">
        <v>608</v>
      </c>
      <c r="G617" s="25">
        <f t="shared" si="14"/>
        <v>6.0623229461758132E-3</v>
      </c>
      <c r="I617" s="78">
        <v>145.54</v>
      </c>
      <c r="J617" s="78">
        <v>145.94</v>
      </c>
      <c r="K617" s="78">
        <v>142.06</v>
      </c>
      <c r="L617" s="78">
        <v>143.74</v>
      </c>
      <c r="M617" s="78">
        <v>1650192</v>
      </c>
      <c r="N617" s="78" t="s">
        <v>608</v>
      </c>
      <c r="O617" s="25">
        <f t="shared" si="15"/>
        <v>1.2522610268540291E-2</v>
      </c>
    </row>
    <row r="618" spans="1:15">
      <c r="A618" s="77">
        <v>518.30622284808987</v>
      </c>
      <c r="B618" s="77">
        <v>519.61774626114311</v>
      </c>
      <c r="C618" s="77">
        <v>516.86746208899433</v>
      </c>
      <c r="D618" s="77">
        <v>518.02238569153371</v>
      </c>
      <c r="E618" s="77">
        <v>3716615.4805063787</v>
      </c>
      <c r="F618" s="77" t="s">
        <v>609</v>
      </c>
      <c r="G618" s="25">
        <f t="shared" si="14"/>
        <v>5.4792449978258162E-4</v>
      </c>
      <c r="I618" s="78">
        <v>143.76</v>
      </c>
      <c r="J618" s="78">
        <v>146</v>
      </c>
      <c r="K618" s="78">
        <v>137.7116</v>
      </c>
      <c r="L618" s="78">
        <v>139.035</v>
      </c>
      <c r="M618" s="78">
        <v>2297021</v>
      </c>
      <c r="N618" s="78" t="s">
        <v>609</v>
      </c>
      <c r="O618" s="25">
        <f t="shared" si="15"/>
        <v>3.398424857050375E-2</v>
      </c>
    </row>
    <row r="619" spans="1:15">
      <c r="A619" s="77">
        <v>519.1773092940731</v>
      </c>
      <c r="B619" s="77">
        <v>519.74498360718565</v>
      </c>
      <c r="C619" s="77">
        <v>515.12528919702811</v>
      </c>
      <c r="D619" s="77">
        <v>515.67338853382648</v>
      </c>
      <c r="E619" s="77">
        <v>3005658.8092645565</v>
      </c>
      <c r="F619" s="77" t="s">
        <v>610</v>
      </c>
      <c r="G619" s="25">
        <f t="shared" si="14"/>
        <v>6.7948450281853923E-3</v>
      </c>
      <c r="I619" s="78">
        <v>140</v>
      </c>
      <c r="J619" s="78">
        <v>143.32499999999999</v>
      </c>
      <c r="K619" s="78">
        <v>134.13999999999999</v>
      </c>
      <c r="L619" s="78">
        <v>139.66999999999999</v>
      </c>
      <c r="M619" s="78">
        <v>3246392</v>
      </c>
      <c r="N619" s="78" t="s">
        <v>610</v>
      </c>
      <c r="O619" s="25">
        <f t="shared" si="15"/>
        <v>2.362712107109699E-3</v>
      </c>
    </row>
    <row r="620" spans="1:15">
      <c r="A620" s="77">
        <v>515.65381355751231</v>
      </c>
      <c r="B620" s="77">
        <v>516.17255042983925</v>
      </c>
      <c r="C620" s="77">
        <v>512.37500502487933</v>
      </c>
      <c r="D620" s="77">
        <v>513.17757905376266</v>
      </c>
      <c r="E620" s="77">
        <v>2683698.7772915103</v>
      </c>
      <c r="F620" s="77" t="s">
        <v>611</v>
      </c>
      <c r="G620" s="25">
        <f t="shared" si="14"/>
        <v>4.8252975282270238E-3</v>
      </c>
      <c r="I620" s="78">
        <v>139.66</v>
      </c>
      <c r="J620" s="78">
        <v>142.79</v>
      </c>
      <c r="K620" s="78">
        <v>139.34</v>
      </c>
      <c r="L620" s="78">
        <v>140.66</v>
      </c>
      <c r="M620" s="78">
        <v>2268962</v>
      </c>
      <c r="N620" s="78" t="s">
        <v>611</v>
      </c>
      <c r="O620" s="25">
        <f t="shared" si="15"/>
        <v>-7.1093416749609117E-3</v>
      </c>
    </row>
    <row r="621" spans="1:15">
      <c r="A621" s="77">
        <v>510.81879440789828</v>
      </c>
      <c r="B621" s="77">
        <v>514.54792527064001</v>
      </c>
      <c r="C621" s="77">
        <v>509.74217071061582</v>
      </c>
      <c r="D621" s="77">
        <v>513.98015308264587</v>
      </c>
      <c r="E621" s="77">
        <v>4056714.9980297568</v>
      </c>
      <c r="F621" s="77" t="s">
        <v>612</v>
      </c>
      <c r="G621" s="25">
        <f t="shared" si="14"/>
        <v>-6.15074075484634E-3</v>
      </c>
      <c r="I621" s="78">
        <v>140.66</v>
      </c>
      <c r="J621" s="78">
        <v>141.41</v>
      </c>
      <c r="K621" s="78">
        <v>138.16</v>
      </c>
      <c r="L621" s="78">
        <v>140.75</v>
      </c>
      <c r="M621" s="78">
        <v>2197776</v>
      </c>
      <c r="N621" s="78" t="s">
        <v>612</v>
      </c>
      <c r="O621" s="25">
        <f t="shared" si="15"/>
        <v>-6.3943161634105739E-4</v>
      </c>
    </row>
    <row r="622" spans="1:15">
      <c r="A622" s="77">
        <v>515.45806379436999</v>
      </c>
      <c r="B622" s="77">
        <v>515.82020085618319</v>
      </c>
      <c r="C622" s="77">
        <v>511.20050644602571</v>
      </c>
      <c r="D622" s="77">
        <v>514.9784768746714</v>
      </c>
      <c r="E622" s="77">
        <v>5474514.9255744778</v>
      </c>
      <c r="F622" s="77" t="s">
        <v>613</v>
      </c>
      <c r="G622" s="25">
        <f t="shared" si="14"/>
        <v>9.312756575947656E-4</v>
      </c>
      <c r="I622" s="78">
        <v>141.43</v>
      </c>
      <c r="J622" s="78">
        <v>141.88</v>
      </c>
      <c r="K622" s="78">
        <v>136.11089999999999</v>
      </c>
      <c r="L622" s="78">
        <v>138.72999999999999</v>
      </c>
      <c r="M622" s="78">
        <v>2985612</v>
      </c>
      <c r="N622" s="78" t="s">
        <v>613</v>
      </c>
      <c r="O622" s="25">
        <f t="shared" si="15"/>
        <v>1.9462264830966802E-2</v>
      </c>
    </row>
    <row r="623" spans="1:15">
      <c r="A623" s="77">
        <v>510.75028199079856</v>
      </c>
      <c r="B623" s="77">
        <v>512.62458597288571</v>
      </c>
      <c r="C623" s="77">
        <v>508.77320938306173</v>
      </c>
      <c r="D623" s="77">
        <v>510.47623232239931</v>
      </c>
      <c r="E623" s="77">
        <v>4094975.0698672738</v>
      </c>
      <c r="F623" s="77" t="s">
        <v>614</v>
      </c>
      <c r="G623" s="25">
        <f t="shared" si="14"/>
        <v>5.3685098550526611E-4</v>
      </c>
      <c r="I623" s="78">
        <v>136.36000000000001</v>
      </c>
      <c r="J623" s="78">
        <v>139.13</v>
      </c>
      <c r="K623" s="78">
        <v>134.83000000000001</v>
      </c>
      <c r="L623" s="78">
        <v>138.21</v>
      </c>
      <c r="M623" s="78">
        <v>1663046</v>
      </c>
      <c r="N623" s="78" t="s">
        <v>614</v>
      </c>
      <c r="O623" s="25">
        <f t="shared" si="15"/>
        <v>-1.3385427971926767E-2</v>
      </c>
    </row>
    <row r="624" spans="1:15">
      <c r="A624" s="77">
        <v>511.71924331835277</v>
      </c>
      <c r="B624" s="77">
        <v>512.71756711037835</v>
      </c>
      <c r="C624" s="77">
        <v>508.53840754217254</v>
      </c>
      <c r="D624" s="77">
        <v>510.76006947895564</v>
      </c>
      <c r="E624" s="77">
        <v>3341595.869644077</v>
      </c>
      <c r="F624" s="77" t="s">
        <v>615</v>
      </c>
      <c r="G624" s="25">
        <f t="shared" si="14"/>
        <v>1.877934272300541E-3</v>
      </c>
      <c r="I624" s="78">
        <v>139.02000000000001</v>
      </c>
      <c r="J624" s="78">
        <v>139.39500000000001</v>
      </c>
      <c r="K624" s="78">
        <v>127.01</v>
      </c>
      <c r="L624" s="78">
        <v>127.86</v>
      </c>
      <c r="M624" s="78">
        <v>2619941</v>
      </c>
      <c r="N624" s="78" t="s">
        <v>615</v>
      </c>
      <c r="O624" s="25">
        <f t="shared" si="15"/>
        <v>8.7282965743782359E-2</v>
      </c>
    </row>
    <row r="625" spans="1:15">
      <c r="A625" s="77">
        <v>511.63115592493875</v>
      </c>
      <c r="B625" s="77">
        <v>515.89850076144012</v>
      </c>
      <c r="C625" s="77">
        <v>509.17449639750333</v>
      </c>
      <c r="D625" s="77">
        <v>515.83977583249737</v>
      </c>
      <c r="E625" s="77">
        <v>9398383.7858487554</v>
      </c>
      <c r="F625" s="77" t="s">
        <v>616</v>
      </c>
      <c r="G625" s="25">
        <f t="shared" si="14"/>
        <v>-8.15877352762584E-3</v>
      </c>
      <c r="I625" s="78">
        <v>128.97999999999999</v>
      </c>
      <c r="J625" s="78">
        <v>130.37</v>
      </c>
      <c r="K625" s="78">
        <v>125.05549999999999</v>
      </c>
      <c r="L625" s="78">
        <v>130.18</v>
      </c>
      <c r="M625" s="78">
        <v>1303419</v>
      </c>
      <c r="N625" s="78" t="s">
        <v>616</v>
      </c>
      <c r="O625" s="25">
        <f t="shared" si="15"/>
        <v>-9.218005838070531E-3</v>
      </c>
    </row>
    <row r="626" spans="1:15">
      <c r="A626" s="77">
        <v>516.45638758639552</v>
      </c>
      <c r="B626" s="77">
        <v>516.73533099887334</v>
      </c>
      <c r="C626" s="77">
        <v>511.09284407629752</v>
      </c>
      <c r="D626" s="77">
        <v>513.17757905376266</v>
      </c>
      <c r="E626" s="77">
        <v>8191426.5144456113</v>
      </c>
      <c r="F626" s="77" t="s">
        <v>617</v>
      </c>
      <c r="G626" s="25">
        <f t="shared" si="14"/>
        <v>6.3892279523953821E-3</v>
      </c>
      <c r="I626" s="78">
        <v>130.41</v>
      </c>
      <c r="J626" s="78">
        <v>131.13999999999999</v>
      </c>
      <c r="K626" s="78">
        <v>128.03</v>
      </c>
      <c r="L626" s="78">
        <v>130.12</v>
      </c>
      <c r="M626" s="78">
        <v>1085839</v>
      </c>
      <c r="N626" s="78" t="s">
        <v>617</v>
      </c>
      <c r="O626" s="25">
        <f t="shared" si="15"/>
        <v>2.2287119581922976E-3</v>
      </c>
    </row>
    <row r="627" spans="1:15">
      <c r="A627" s="77">
        <v>514.21505279841665</v>
      </c>
      <c r="B627" s="77">
        <v>516.55426246796662</v>
      </c>
      <c r="C627" s="77">
        <v>513.17757905376266</v>
      </c>
      <c r="D627" s="77">
        <v>515.88871327328297</v>
      </c>
      <c r="E627" s="77">
        <v>5720154.0478300387</v>
      </c>
      <c r="F627" s="77" t="s">
        <v>618</v>
      </c>
      <c r="G627" s="25">
        <f t="shared" si="14"/>
        <v>-3.2442277409928666E-3</v>
      </c>
      <c r="I627" s="78">
        <v>130.12</v>
      </c>
      <c r="J627" s="78">
        <v>134.51499999999999</v>
      </c>
      <c r="K627" s="78">
        <v>129.93</v>
      </c>
      <c r="L627" s="78">
        <v>133.5</v>
      </c>
      <c r="M627" s="78">
        <v>1603409</v>
      </c>
      <c r="N627" s="78" t="s">
        <v>618</v>
      </c>
      <c r="O627" s="25">
        <f t="shared" si="15"/>
        <v>-2.5318352059925053E-2</v>
      </c>
    </row>
    <row r="628" spans="1:15">
      <c r="A628" s="77">
        <v>514.88197223832992</v>
      </c>
      <c r="B628" s="77">
        <v>517.04804761898004</v>
      </c>
      <c r="C628" s="77">
        <v>512.72565395398897</v>
      </c>
      <c r="D628" s="77">
        <v>516.80412021124914</v>
      </c>
      <c r="E628" s="77">
        <v>5405209.5345295509</v>
      </c>
      <c r="F628" s="77" t="s">
        <v>619</v>
      </c>
      <c r="G628" s="25">
        <f t="shared" si="14"/>
        <v>-3.7192969207240356E-3</v>
      </c>
      <c r="I628" s="78">
        <v>132.27000000000001</v>
      </c>
      <c r="J628" s="78">
        <v>132.37</v>
      </c>
      <c r="K628" s="78">
        <v>127.735</v>
      </c>
      <c r="L628" s="78">
        <v>128.04</v>
      </c>
      <c r="M628" s="78">
        <v>1621718</v>
      </c>
      <c r="N628" s="78" t="s">
        <v>619</v>
      </c>
      <c r="O628" s="25">
        <f t="shared" si="15"/>
        <v>3.3036551077788356E-2</v>
      </c>
    </row>
    <row r="629" spans="1:15">
      <c r="A629" s="77">
        <v>512.84273910969978</v>
      </c>
      <c r="B629" s="77">
        <v>514.4916883859604</v>
      </c>
      <c r="C629" s="77">
        <v>511.90605786401318</v>
      </c>
      <c r="D629" s="77">
        <v>513.81844874062324</v>
      </c>
      <c r="E629" s="77">
        <v>36299784.154510416</v>
      </c>
      <c r="F629" s="77" t="s">
        <v>620</v>
      </c>
      <c r="G629" s="25">
        <f t="shared" si="14"/>
        <v>-1.8989384933820741E-3</v>
      </c>
      <c r="I629" s="78">
        <v>126.15</v>
      </c>
      <c r="J629" s="78">
        <v>129.43</v>
      </c>
      <c r="K629" s="78">
        <v>125.93</v>
      </c>
      <c r="L629" s="78">
        <v>128.58000000000001</v>
      </c>
      <c r="M629" s="78">
        <v>1021680</v>
      </c>
      <c r="N629" s="78" t="s">
        <v>620</v>
      </c>
      <c r="O629" s="25">
        <f t="shared" si="15"/>
        <v>-1.8898740083994503E-2</v>
      </c>
    </row>
    <row r="630" spans="1:15">
      <c r="A630" s="77">
        <v>513.8867484147878</v>
      </c>
      <c r="B630" s="77">
        <v>514.0428619557357</v>
      </c>
      <c r="C630" s="77">
        <v>510.66690663274034</v>
      </c>
      <c r="D630" s="77">
        <v>513.23302296206919</v>
      </c>
      <c r="E630" s="77">
        <v>4766385.2570546558</v>
      </c>
      <c r="F630" s="77" t="s">
        <v>621</v>
      </c>
      <c r="G630" s="25">
        <f t="shared" si="14"/>
        <v>1.2737400429647661E-3</v>
      </c>
      <c r="I630" s="78">
        <v>128.82</v>
      </c>
      <c r="J630" s="78">
        <v>132.12</v>
      </c>
      <c r="K630" s="78">
        <v>128.69999999999999</v>
      </c>
      <c r="L630" s="78">
        <v>130.49</v>
      </c>
      <c r="M630" s="78">
        <v>1025068</v>
      </c>
      <c r="N630" s="78" t="s">
        <v>621</v>
      </c>
      <c r="O630" s="25">
        <f t="shared" si="15"/>
        <v>-1.2797915549084382E-2</v>
      </c>
    </row>
    <row r="631" spans="1:15">
      <c r="A631" s="77">
        <v>512.4134268720934</v>
      </c>
      <c r="B631" s="77">
        <v>513.05739522850297</v>
      </c>
      <c r="C631" s="77">
        <v>511.10597596665599</v>
      </c>
      <c r="D631" s="77">
        <v>512.24755623483645</v>
      </c>
      <c r="E631" s="77">
        <v>30018310.849589702</v>
      </c>
      <c r="F631" s="77" t="s">
        <v>622</v>
      </c>
      <c r="G631" s="25">
        <f t="shared" si="14"/>
        <v>3.2380952380939299E-4</v>
      </c>
      <c r="I631" s="78">
        <v>130.1</v>
      </c>
      <c r="J631" s="78">
        <v>131.375</v>
      </c>
      <c r="K631" s="78">
        <v>128.38</v>
      </c>
      <c r="L631" s="78">
        <v>131.15</v>
      </c>
      <c r="M631" s="78">
        <v>2163273</v>
      </c>
      <c r="N631" s="78" t="s">
        <v>622</v>
      </c>
      <c r="O631" s="25">
        <f t="shared" si="15"/>
        <v>-8.0060998856272825E-3</v>
      </c>
    </row>
    <row r="632" spans="1:15">
      <c r="A632" s="77">
        <v>511.15476144820212</v>
      </c>
      <c r="B632" s="77">
        <v>512.1694994643625</v>
      </c>
      <c r="C632" s="77">
        <v>508.46180286685325</v>
      </c>
      <c r="D632" s="77">
        <v>510.79374888476042</v>
      </c>
      <c r="E632" s="77">
        <v>5752406.0664315317</v>
      </c>
      <c r="F632" s="77" t="s">
        <v>623</v>
      </c>
      <c r="G632" s="25">
        <f t="shared" si="14"/>
        <v>7.0676777903000421E-4</v>
      </c>
      <c r="I632" s="78">
        <v>131.19999999999999</v>
      </c>
      <c r="J632" s="78">
        <v>133.63999999999999</v>
      </c>
      <c r="K632" s="78">
        <v>130.36000000000001</v>
      </c>
      <c r="L632" s="78">
        <v>133.63999999999999</v>
      </c>
      <c r="M632" s="78">
        <v>2659512</v>
      </c>
      <c r="N632" s="78" t="s">
        <v>623</v>
      </c>
      <c r="O632" s="25">
        <f t="shared" si="15"/>
        <v>-1.8258006584854769E-2</v>
      </c>
    </row>
    <row r="633" spans="1:15">
      <c r="A633" s="77">
        <v>512.15974236805323</v>
      </c>
      <c r="B633" s="77">
        <v>513.80869164431408</v>
      </c>
      <c r="C633" s="77">
        <v>509.50581217194144</v>
      </c>
      <c r="D633" s="77">
        <v>512.13047107912564</v>
      </c>
      <c r="E633" s="77">
        <v>5696747.0893354472</v>
      </c>
      <c r="F633" s="77" t="s">
        <v>624</v>
      </c>
      <c r="G633" s="25">
        <f t="shared" si="14"/>
        <v>5.7155921353135852E-5</v>
      </c>
      <c r="I633" s="78">
        <v>134.38999999999999</v>
      </c>
      <c r="J633" s="78">
        <v>136.19</v>
      </c>
      <c r="K633" s="78">
        <v>133.81</v>
      </c>
      <c r="L633" s="78">
        <v>134.91999999999999</v>
      </c>
      <c r="M633" s="78">
        <v>1216032</v>
      </c>
      <c r="N633" s="78" t="s">
        <v>624</v>
      </c>
      <c r="O633" s="25">
        <f t="shared" si="15"/>
        <v>-3.9282537800178208E-3</v>
      </c>
    </row>
    <row r="634" spans="1:15">
      <c r="A634" s="77">
        <v>503.3783556897418</v>
      </c>
      <c r="B634" s="77">
        <v>510.03269537264009</v>
      </c>
      <c r="C634" s="77">
        <v>502.94904345213553</v>
      </c>
      <c r="D634" s="77">
        <v>505.5932165519381</v>
      </c>
      <c r="E634" s="77">
        <v>7093583.7677948205</v>
      </c>
      <c r="F634" s="77" t="s">
        <v>625</v>
      </c>
      <c r="G634" s="25">
        <f t="shared" si="14"/>
        <v>-4.3807171253231747E-3</v>
      </c>
      <c r="I634" s="78">
        <v>130.97</v>
      </c>
      <c r="J634" s="78">
        <v>134.94</v>
      </c>
      <c r="K634" s="78">
        <v>129.69</v>
      </c>
      <c r="L634" s="78">
        <v>130.19</v>
      </c>
      <c r="M634" s="78">
        <v>2220128</v>
      </c>
      <c r="N634" s="78" t="s">
        <v>625</v>
      </c>
      <c r="O634" s="25">
        <f t="shared" si="15"/>
        <v>5.9912435670943509E-3</v>
      </c>
    </row>
    <row r="635" spans="1:15">
      <c r="A635" s="77">
        <v>505.01754786969332</v>
      </c>
      <c r="B635" s="77">
        <v>508.08615465894769</v>
      </c>
      <c r="C635" s="77">
        <v>502.97831474106317</v>
      </c>
      <c r="D635" s="77">
        <v>506.82261068690184</v>
      </c>
      <c r="E635" s="77">
        <v>8352850.8294892609</v>
      </c>
      <c r="F635" s="77" t="s">
        <v>626</v>
      </c>
      <c r="G635" s="25">
        <f t="shared" si="14"/>
        <v>-3.5615277991684069E-3</v>
      </c>
      <c r="I635" s="78">
        <v>130.21</v>
      </c>
      <c r="J635" s="78">
        <v>131.54990000000001</v>
      </c>
      <c r="K635" s="78">
        <v>128.55000000000001</v>
      </c>
      <c r="L635" s="78">
        <v>130.18</v>
      </c>
      <c r="M635" s="78">
        <v>1503025</v>
      </c>
      <c r="N635" s="78" t="s">
        <v>626</v>
      </c>
      <c r="O635" s="25">
        <f t="shared" si="15"/>
        <v>2.3045014595179936E-4</v>
      </c>
    </row>
    <row r="636" spans="1:15">
      <c r="A636" s="77">
        <v>504.7833775582717</v>
      </c>
      <c r="B636" s="77">
        <v>505.01754786969332</v>
      </c>
      <c r="C636" s="77">
        <v>502.14896155477817</v>
      </c>
      <c r="D636" s="77">
        <v>503.79791083103896</v>
      </c>
      <c r="E636" s="77">
        <v>4362212.7578791091</v>
      </c>
      <c r="F636" s="77" t="s">
        <v>627</v>
      </c>
      <c r="G636" s="25">
        <f t="shared" ref="G636:G699" si="16">A636/D636-1</f>
        <v>1.9560754541581016E-3</v>
      </c>
      <c r="I636" s="78">
        <v>129.52000000000001</v>
      </c>
      <c r="J636" s="78">
        <v>131.02889999999999</v>
      </c>
      <c r="K636" s="78">
        <v>127.5</v>
      </c>
      <c r="L636" s="78">
        <v>129.80000000000001</v>
      </c>
      <c r="M636" s="78">
        <v>1510633</v>
      </c>
      <c r="N636" s="78" t="s">
        <v>627</v>
      </c>
      <c r="O636" s="25">
        <f t="shared" ref="O636:O699" si="17">I636/L636-1</f>
        <v>-2.1571648690292822E-3</v>
      </c>
    </row>
    <row r="637" spans="1:15">
      <c r="A637" s="77">
        <v>504.02232404615137</v>
      </c>
      <c r="B637" s="77">
        <v>504.95900529183785</v>
      </c>
      <c r="C637" s="77">
        <v>501.73916350979039</v>
      </c>
      <c r="D637" s="77">
        <v>501.93430543597498</v>
      </c>
      <c r="E637" s="77">
        <v>4526593.6299303519</v>
      </c>
      <c r="F637" s="77" t="s">
        <v>628</v>
      </c>
      <c r="G637" s="25">
        <f t="shared" si="16"/>
        <v>4.1599440157069623E-3</v>
      </c>
      <c r="I637" s="78">
        <v>129.18</v>
      </c>
      <c r="J637" s="78">
        <v>129.71</v>
      </c>
      <c r="K637" s="78">
        <v>126.31</v>
      </c>
      <c r="L637" s="78">
        <v>126.31</v>
      </c>
      <c r="M637" s="78">
        <v>1180194</v>
      </c>
      <c r="N637" s="78" t="s">
        <v>628</v>
      </c>
      <c r="O637" s="25">
        <f t="shared" si="17"/>
        <v>2.2721874752592797E-2</v>
      </c>
    </row>
    <row r="638" spans="1:15">
      <c r="A638" s="77">
        <v>501.3586367537302</v>
      </c>
      <c r="B638" s="77">
        <v>501.65115450108107</v>
      </c>
      <c r="C638" s="77">
        <v>495.71903508699239</v>
      </c>
      <c r="D638" s="77">
        <v>497.69972563776702</v>
      </c>
      <c r="E638" s="77">
        <v>4201596.325455796</v>
      </c>
      <c r="F638" s="77" t="s">
        <v>629</v>
      </c>
      <c r="G638" s="25">
        <f t="shared" si="16"/>
        <v>7.3516438275600393E-3</v>
      </c>
      <c r="I638" s="78">
        <v>126.25</v>
      </c>
      <c r="J638" s="78">
        <v>126.28</v>
      </c>
      <c r="K638" s="78">
        <v>120.51049999999999</v>
      </c>
      <c r="L638" s="78">
        <v>124.26</v>
      </c>
      <c r="M638" s="78">
        <v>1635730</v>
      </c>
      <c r="N638" s="78" t="s">
        <v>629</v>
      </c>
      <c r="O638" s="25">
        <f t="shared" si="17"/>
        <v>1.6014807661355102E-2</v>
      </c>
    </row>
    <row r="639" spans="1:15">
      <c r="A639" s="77">
        <v>497.08502857028526</v>
      </c>
      <c r="B639" s="77">
        <v>498.04122400859029</v>
      </c>
      <c r="C639" s="77">
        <v>484.19590434578583</v>
      </c>
      <c r="D639" s="77">
        <v>492.06012397102927</v>
      </c>
      <c r="E639" s="77">
        <v>5068958.88207932</v>
      </c>
      <c r="F639" s="77" t="s">
        <v>630</v>
      </c>
      <c r="G639" s="25">
        <f t="shared" si="16"/>
        <v>1.0211972794511359E-2</v>
      </c>
      <c r="I639" s="78">
        <v>124.83</v>
      </c>
      <c r="J639" s="78">
        <v>125.855</v>
      </c>
      <c r="K639" s="78">
        <v>122.47</v>
      </c>
      <c r="L639" s="78">
        <v>123.19</v>
      </c>
      <c r="M639" s="78">
        <v>2246373</v>
      </c>
      <c r="N639" s="78" t="s">
        <v>630</v>
      </c>
      <c r="O639" s="25">
        <f t="shared" si="17"/>
        <v>1.3312768893579019E-2</v>
      </c>
    </row>
    <row r="640" spans="1:15">
      <c r="A640" s="77">
        <v>492.05036687472</v>
      </c>
      <c r="B640" s="77">
        <v>492.44552927524398</v>
      </c>
      <c r="C640" s="77">
        <v>487.36666793339793</v>
      </c>
      <c r="D640" s="77">
        <v>491.70886850389678</v>
      </c>
      <c r="E640" s="77">
        <v>3049457.446867499</v>
      </c>
      <c r="F640" s="77" t="s">
        <v>631</v>
      </c>
      <c r="G640" s="25">
        <f t="shared" si="16"/>
        <v>6.9451334457792946E-4</v>
      </c>
      <c r="I640" s="78">
        <v>124.13</v>
      </c>
      <c r="J640" s="78">
        <v>124.78</v>
      </c>
      <c r="K640" s="78">
        <v>121.72499999999999</v>
      </c>
      <c r="L640" s="78">
        <v>122.76</v>
      </c>
      <c r="M640" s="78">
        <v>1126290</v>
      </c>
      <c r="N640" s="78" t="s">
        <v>631</v>
      </c>
      <c r="O640" s="25">
        <f t="shared" si="17"/>
        <v>1.1159986966438495E-2</v>
      </c>
    </row>
    <row r="641" spans="1:15">
      <c r="A641" s="77">
        <v>490.0306479387084</v>
      </c>
      <c r="B641" s="77">
        <v>491.14295691796116</v>
      </c>
      <c r="C641" s="77">
        <v>486.6351784230946</v>
      </c>
      <c r="D641" s="77">
        <v>488.44024124030307</v>
      </c>
      <c r="E641" s="77">
        <v>3747833.2529513761</v>
      </c>
      <c r="F641" s="77" t="s">
        <v>632</v>
      </c>
      <c r="G641" s="25">
        <f t="shared" si="16"/>
        <v>3.2560926887734709E-3</v>
      </c>
      <c r="I641" s="78">
        <v>122.54</v>
      </c>
      <c r="J641" s="78">
        <v>126.67</v>
      </c>
      <c r="K641" s="78">
        <v>121.32</v>
      </c>
      <c r="L641" s="78">
        <v>125</v>
      </c>
      <c r="M641" s="78">
        <v>1972162</v>
      </c>
      <c r="N641" s="78" t="s">
        <v>632</v>
      </c>
      <c r="O641" s="25">
        <f t="shared" si="17"/>
        <v>-1.967999999999992E-2</v>
      </c>
    </row>
    <row r="642" spans="1:15">
      <c r="A642" s="77">
        <v>484.57643110184603</v>
      </c>
      <c r="B642" s="77">
        <v>494.62624030035806</v>
      </c>
      <c r="C642" s="77">
        <v>483.75683501187029</v>
      </c>
      <c r="D642" s="77">
        <v>493.06510489088043</v>
      </c>
      <c r="E642" s="77">
        <v>7595947.3649810739</v>
      </c>
      <c r="F642" s="77" t="s">
        <v>633</v>
      </c>
      <c r="G642" s="25">
        <f t="shared" si="16"/>
        <v>-1.7216131713301941E-2</v>
      </c>
      <c r="I642" s="78">
        <v>124.39</v>
      </c>
      <c r="J642" s="78">
        <v>130.80000000000001</v>
      </c>
      <c r="K642" s="78">
        <v>123.87</v>
      </c>
      <c r="L642" s="78">
        <v>129.87</v>
      </c>
      <c r="M642" s="78">
        <v>1416736</v>
      </c>
      <c r="N642" s="78" t="s">
        <v>633</v>
      </c>
      <c r="O642" s="25">
        <f t="shared" si="17"/>
        <v>-4.2196042196042227E-2</v>
      </c>
    </row>
    <row r="643" spans="1:15">
      <c r="A643" s="77">
        <v>492.78214909791262</v>
      </c>
      <c r="B643" s="77">
        <v>496.57765956220504</v>
      </c>
      <c r="C643" s="77">
        <v>490.62583081357167</v>
      </c>
      <c r="D643" s="77">
        <v>494.06032871442244</v>
      </c>
      <c r="E643" s="77">
        <v>3510848.8134505125</v>
      </c>
      <c r="F643" s="77" t="s">
        <v>634</v>
      </c>
      <c r="G643" s="25">
        <f t="shared" si="16"/>
        <v>-2.5870921873766273E-3</v>
      </c>
      <c r="I643" s="78">
        <v>129.76</v>
      </c>
      <c r="J643" s="78">
        <v>130.84</v>
      </c>
      <c r="K643" s="78">
        <v>128.03</v>
      </c>
      <c r="L643" s="78">
        <v>128.38999999999999</v>
      </c>
      <c r="M643" s="78">
        <v>1253592</v>
      </c>
      <c r="N643" s="78" t="s">
        <v>634</v>
      </c>
      <c r="O643" s="25">
        <f t="shared" si="17"/>
        <v>1.0670612976088512E-2</v>
      </c>
    </row>
    <row r="644" spans="1:15">
      <c r="A644" s="77">
        <v>494.00178613656703</v>
      </c>
      <c r="B644" s="77">
        <v>497.15332824444988</v>
      </c>
      <c r="C644" s="77">
        <v>492.75287780898492</v>
      </c>
      <c r="D644" s="77">
        <v>493.39684616539444</v>
      </c>
      <c r="E644" s="77">
        <v>3691029.4680512091</v>
      </c>
      <c r="F644" s="77" t="s">
        <v>635</v>
      </c>
      <c r="G644" s="25">
        <f t="shared" si="16"/>
        <v>1.2260718240786339E-3</v>
      </c>
      <c r="I644" s="78">
        <v>128.59</v>
      </c>
      <c r="J644" s="78">
        <v>130.75450000000001</v>
      </c>
      <c r="K644" s="78">
        <v>127.36</v>
      </c>
      <c r="L644" s="78">
        <v>128.06</v>
      </c>
      <c r="M644" s="78">
        <v>910327</v>
      </c>
      <c r="N644" s="78" t="s">
        <v>635</v>
      </c>
      <c r="O644" s="25">
        <f t="shared" si="17"/>
        <v>4.1386849914102353E-3</v>
      </c>
    </row>
    <row r="645" spans="1:15">
      <c r="A645" s="77">
        <v>495.2311802715306</v>
      </c>
      <c r="B645" s="77">
        <v>502.9100150668985</v>
      </c>
      <c r="C645" s="77">
        <v>492.83093457945881</v>
      </c>
      <c r="D645" s="77">
        <v>502.60754508131225</v>
      </c>
      <c r="E645" s="77">
        <v>6012486.5165546034</v>
      </c>
      <c r="F645" s="77" t="s">
        <v>636</v>
      </c>
      <c r="G645" s="25">
        <f t="shared" si="16"/>
        <v>-1.4676191955272588E-2</v>
      </c>
      <c r="I645" s="78">
        <v>130.26</v>
      </c>
      <c r="J645" s="78">
        <v>133.66999999999999</v>
      </c>
      <c r="K645" s="78">
        <v>129.77000000000001</v>
      </c>
      <c r="L645" s="78">
        <v>131.30000000000001</v>
      </c>
      <c r="M645" s="78">
        <v>1121846</v>
      </c>
      <c r="N645" s="78" t="s">
        <v>636</v>
      </c>
      <c r="O645" s="25">
        <f t="shared" si="17"/>
        <v>-7.9207920792080388E-3</v>
      </c>
    </row>
    <row r="646" spans="1:15">
      <c r="A646" s="77">
        <v>505.45661720360886</v>
      </c>
      <c r="B646" s="77">
        <v>505.98350040430762</v>
      </c>
      <c r="C646" s="77">
        <v>499.68041618854176</v>
      </c>
      <c r="D646" s="77">
        <v>502.90025797058928</v>
      </c>
      <c r="E646" s="77">
        <v>5778076.6134940758</v>
      </c>
      <c r="F646" s="77" t="s">
        <v>637</v>
      </c>
      <c r="G646" s="25">
        <f t="shared" si="16"/>
        <v>5.0832330914594159E-3</v>
      </c>
      <c r="I646" s="78">
        <v>131.4</v>
      </c>
      <c r="J646" s="78">
        <v>134.09</v>
      </c>
      <c r="K646" s="78">
        <v>130.405</v>
      </c>
      <c r="L646" s="78">
        <v>133.84</v>
      </c>
      <c r="M646" s="78">
        <v>968971</v>
      </c>
      <c r="N646" s="78" t="s">
        <v>637</v>
      </c>
      <c r="O646" s="25">
        <f t="shared" si="17"/>
        <v>-1.8230723251643766E-2</v>
      </c>
    </row>
    <row r="647" spans="1:15">
      <c r="A647" s="77">
        <v>500.74393968624844</v>
      </c>
      <c r="B647" s="77">
        <v>505.5054026851551</v>
      </c>
      <c r="C647" s="77">
        <v>499.69017328485097</v>
      </c>
      <c r="D647" s="77">
        <v>502.48070282929223</v>
      </c>
      <c r="E647" s="77">
        <v>3573957.7528813132</v>
      </c>
      <c r="F647" s="77" t="s">
        <v>638</v>
      </c>
      <c r="G647" s="25">
        <f t="shared" si="16"/>
        <v>-3.4563777937435258E-3</v>
      </c>
      <c r="I647" s="78">
        <v>133.78</v>
      </c>
      <c r="J647" s="78">
        <v>135.21</v>
      </c>
      <c r="K647" s="78">
        <v>131.76</v>
      </c>
      <c r="L647" s="78">
        <v>133.01</v>
      </c>
      <c r="M647" s="78">
        <v>1226107</v>
      </c>
      <c r="N647" s="78" t="s">
        <v>638</v>
      </c>
      <c r="O647" s="25">
        <f t="shared" si="17"/>
        <v>5.7890384181640275E-3</v>
      </c>
    </row>
    <row r="648" spans="1:15">
      <c r="A648" s="77">
        <v>500.66588291577449</v>
      </c>
      <c r="B648" s="77">
        <v>503.69058277163737</v>
      </c>
      <c r="C648" s="77">
        <v>497.76802531193175</v>
      </c>
      <c r="D648" s="77">
        <v>503.2710276303402</v>
      </c>
      <c r="E648" s="77">
        <v>4038525.2693164772</v>
      </c>
      <c r="F648" s="77" t="s">
        <v>639</v>
      </c>
      <c r="G648" s="25">
        <f t="shared" si="16"/>
        <v>-5.1764249709188581E-3</v>
      </c>
      <c r="I648" s="78">
        <v>131.69999999999999</v>
      </c>
      <c r="J648" s="78">
        <v>133.41</v>
      </c>
      <c r="K648" s="78">
        <v>129.94999999999999</v>
      </c>
      <c r="L648" s="78">
        <v>132.71</v>
      </c>
      <c r="M648" s="78">
        <v>1447605</v>
      </c>
      <c r="N648" s="78" t="s">
        <v>639</v>
      </c>
      <c r="O648" s="25">
        <f t="shared" si="17"/>
        <v>-7.610579458970812E-3</v>
      </c>
    </row>
    <row r="649" spans="1:15">
      <c r="A649" s="77">
        <v>503.54422632699885</v>
      </c>
      <c r="B649" s="77">
        <v>504.04183823876986</v>
      </c>
      <c r="C649" s="77">
        <v>500.69515420470219</v>
      </c>
      <c r="D649" s="77">
        <v>501.76843479871803</v>
      </c>
      <c r="E649" s="77">
        <v>3107254.3550999463</v>
      </c>
      <c r="F649" s="77" t="s">
        <v>640</v>
      </c>
      <c r="G649" s="25">
        <f t="shared" si="16"/>
        <v>3.5390658421809995E-3</v>
      </c>
      <c r="I649" s="78">
        <v>130.9</v>
      </c>
      <c r="J649" s="78">
        <v>131.15</v>
      </c>
      <c r="K649" s="78">
        <v>128.44</v>
      </c>
      <c r="L649" s="78">
        <v>129.78</v>
      </c>
      <c r="M649" s="78">
        <v>1378253</v>
      </c>
      <c r="N649" s="78" t="s">
        <v>640</v>
      </c>
      <c r="O649" s="25">
        <f t="shared" si="17"/>
        <v>8.6299892125134559E-3</v>
      </c>
    </row>
    <row r="650" spans="1:15">
      <c r="A650" s="77">
        <v>502.87098668166158</v>
      </c>
      <c r="B650" s="77">
        <v>505.70054461133969</v>
      </c>
      <c r="C650" s="77">
        <v>501.39278659081248</v>
      </c>
      <c r="D650" s="77">
        <v>505.06633335123945</v>
      </c>
      <c r="E650" s="77">
        <v>3483249.4138478744</v>
      </c>
      <c r="F650" s="77" t="s">
        <v>641</v>
      </c>
      <c r="G650" s="25">
        <f t="shared" si="16"/>
        <v>-4.3466501815934144E-3</v>
      </c>
      <c r="I650" s="78">
        <v>130.41999999999999</v>
      </c>
      <c r="J650" s="78">
        <v>132.7199</v>
      </c>
      <c r="K650" s="78">
        <v>130.15</v>
      </c>
      <c r="L650" s="78">
        <v>131.68</v>
      </c>
      <c r="M650" s="78">
        <v>890096</v>
      </c>
      <c r="N650" s="78" t="s">
        <v>641</v>
      </c>
      <c r="O650" s="25">
        <f t="shared" si="17"/>
        <v>-9.5686512758202946E-3</v>
      </c>
    </row>
    <row r="651" spans="1:15">
      <c r="A651" s="77">
        <v>504.11013791293442</v>
      </c>
      <c r="B651" s="77">
        <v>504.97851948445634</v>
      </c>
      <c r="C651" s="77">
        <v>499.80930743078682</v>
      </c>
      <c r="D651" s="77">
        <v>501.83673447288271</v>
      </c>
      <c r="E651" s="77">
        <v>5229825.3889020924</v>
      </c>
      <c r="F651" s="77" t="s">
        <v>642</v>
      </c>
      <c r="G651" s="25">
        <f t="shared" si="16"/>
        <v>4.5301654579743555E-3</v>
      </c>
      <c r="I651" s="78">
        <v>131.38999999999999</v>
      </c>
      <c r="J651" s="78">
        <v>132.62</v>
      </c>
      <c r="K651" s="78">
        <v>129.5</v>
      </c>
      <c r="L651" s="78">
        <v>131.51</v>
      </c>
      <c r="M651" s="78">
        <v>832032</v>
      </c>
      <c r="N651" s="78" t="s">
        <v>642</v>
      </c>
      <c r="O651" s="25">
        <f t="shared" si="17"/>
        <v>-9.1247813854467008E-4</v>
      </c>
    </row>
    <row r="652" spans="1:15">
      <c r="A652" s="77">
        <v>498.71446365392751</v>
      </c>
      <c r="B652" s="77">
        <v>505.05657625493023</v>
      </c>
      <c r="C652" s="77">
        <v>497.70948273407635</v>
      </c>
      <c r="D652" s="77">
        <v>504.49066466899455</v>
      </c>
      <c r="E652" s="77">
        <v>3768628.3741195416</v>
      </c>
      <c r="F652" s="77" t="s">
        <v>643</v>
      </c>
      <c r="G652" s="25">
        <f t="shared" si="16"/>
        <v>-1.1449569674112592E-2</v>
      </c>
      <c r="I652" s="78">
        <v>129.33000000000001</v>
      </c>
      <c r="J652" s="78">
        <v>135.13</v>
      </c>
      <c r="K652" s="78">
        <v>129.18</v>
      </c>
      <c r="L652" s="78">
        <v>133.93</v>
      </c>
      <c r="M652" s="78">
        <v>1042461</v>
      </c>
      <c r="N652" s="78" t="s">
        <v>643</v>
      </c>
      <c r="O652" s="25">
        <f t="shared" si="17"/>
        <v>-3.4346300306130062E-2</v>
      </c>
    </row>
    <row r="653" spans="1:15">
      <c r="A653" s="77">
        <v>502.78317281487847</v>
      </c>
      <c r="B653" s="77">
        <v>504.11004034197134</v>
      </c>
      <c r="C653" s="77">
        <v>500.39268421911595</v>
      </c>
      <c r="D653" s="77">
        <v>501.97333382121201</v>
      </c>
      <c r="E653" s="77">
        <v>3427300.3914442202</v>
      </c>
      <c r="F653" s="77" t="s">
        <v>644</v>
      </c>
      <c r="G653" s="25">
        <f t="shared" si="16"/>
        <v>1.6133107858571361E-3</v>
      </c>
      <c r="I653" s="78">
        <v>132.62</v>
      </c>
      <c r="J653" s="78">
        <v>133.29499999999999</v>
      </c>
      <c r="K653" s="78">
        <v>129.9</v>
      </c>
      <c r="L653" s="78">
        <v>132.55000000000001</v>
      </c>
      <c r="M653" s="78">
        <v>1619501</v>
      </c>
      <c r="N653" s="78" t="s">
        <v>644</v>
      </c>
      <c r="O653" s="25">
        <f t="shared" si="17"/>
        <v>5.2810260279145815E-4</v>
      </c>
    </row>
    <row r="654" spans="1:15">
      <c r="A654" s="77">
        <v>501.02689547921619</v>
      </c>
      <c r="B654" s="77">
        <v>502.95870297748166</v>
      </c>
      <c r="C654" s="77">
        <v>499.80725844056184</v>
      </c>
      <c r="D654" s="77">
        <v>501.43669352420403</v>
      </c>
      <c r="E654" s="77">
        <v>3234549.3986903667</v>
      </c>
      <c r="F654" s="77" t="s">
        <v>645</v>
      </c>
      <c r="G654" s="25">
        <f t="shared" si="16"/>
        <v>-8.1724782067238433E-4</v>
      </c>
      <c r="I654" s="78">
        <v>132.51</v>
      </c>
      <c r="J654" s="78">
        <v>137.18</v>
      </c>
      <c r="K654" s="78">
        <v>132.37</v>
      </c>
      <c r="L654" s="78">
        <v>137.1</v>
      </c>
      <c r="M654" s="78">
        <v>2335448</v>
      </c>
      <c r="N654" s="78" t="s">
        <v>645</v>
      </c>
      <c r="O654" s="25">
        <f t="shared" si="17"/>
        <v>-3.3479212253829327E-2</v>
      </c>
    </row>
    <row r="655" spans="1:15">
      <c r="A655" s="77">
        <v>501.8562486655012</v>
      </c>
      <c r="B655" s="77">
        <v>501.8562486655012</v>
      </c>
      <c r="C655" s="77">
        <v>496.69474471791585</v>
      </c>
      <c r="D655" s="77">
        <v>497.47531242265467</v>
      </c>
      <c r="E655" s="77">
        <v>3899021.6755360523</v>
      </c>
      <c r="F655" s="77" t="s">
        <v>646</v>
      </c>
      <c r="G655" s="25">
        <f t="shared" si="16"/>
        <v>8.8063389950183701E-3</v>
      </c>
      <c r="I655" s="78">
        <v>135.9</v>
      </c>
      <c r="J655" s="78">
        <v>136.30000000000001</v>
      </c>
      <c r="K655" s="78">
        <v>130.04</v>
      </c>
      <c r="L655" s="78">
        <v>130.88</v>
      </c>
      <c r="M655" s="78">
        <v>1921195</v>
      </c>
      <c r="N655" s="78" t="s">
        <v>646</v>
      </c>
      <c r="O655" s="25">
        <f t="shared" si="17"/>
        <v>3.8355745721271539E-2</v>
      </c>
    </row>
    <row r="656" spans="1:15">
      <c r="A656" s="77">
        <v>497.07527147397599</v>
      </c>
      <c r="B656" s="77">
        <v>497.71923983038556</v>
      </c>
      <c r="C656" s="77">
        <v>494.34328450739019</v>
      </c>
      <c r="D656" s="77">
        <v>494.52866933726568</v>
      </c>
      <c r="E656" s="77">
        <v>3535156.2500569872</v>
      </c>
      <c r="F656" s="77" t="s">
        <v>647</v>
      </c>
      <c r="G656" s="25">
        <f t="shared" si="16"/>
        <v>5.149554099913134E-3</v>
      </c>
      <c r="I656" s="78">
        <v>130.31</v>
      </c>
      <c r="J656" s="78">
        <v>132.65</v>
      </c>
      <c r="K656" s="78">
        <v>128.12</v>
      </c>
      <c r="L656" s="78">
        <v>130</v>
      </c>
      <c r="M656" s="78">
        <v>1764874</v>
      </c>
      <c r="N656" s="78" t="s">
        <v>647</v>
      </c>
      <c r="O656" s="25">
        <f t="shared" si="17"/>
        <v>2.3846153846154294E-3</v>
      </c>
    </row>
    <row r="657" spans="1:15">
      <c r="A657" s="77">
        <v>496.03126216888791</v>
      </c>
      <c r="B657" s="77">
        <v>496.23616119138177</v>
      </c>
      <c r="C657" s="77">
        <v>492.23155615318251</v>
      </c>
      <c r="D657" s="77">
        <v>492.82117748314954</v>
      </c>
      <c r="E657" s="77">
        <v>4385477.8761894768</v>
      </c>
      <c r="F657" s="77" t="s">
        <v>648</v>
      </c>
      <c r="G657" s="25">
        <f t="shared" si="16"/>
        <v>6.5136906293929986E-3</v>
      </c>
      <c r="I657" s="78">
        <v>128.80000000000001</v>
      </c>
      <c r="J657" s="78">
        <v>129.33000000000001</v>
      </c>
      <c r="K657" s="78">
        <v>123.56</v>
      </c>
      <c r="L657" s="78">
        <v>123.56</v>
      </c>
      <c r="M657" s="78">
        <v>1991582</v>
      </c>
      <c r="N657" s="78" t="s">
        <v>648</v>
      </c>
      <c r="O657" s="25">
        <f t="shared" si="17"/>
        <v>4.2408546455163565E-2</v>
      </c>
    </row>
    <row r="658" spans="1:15">
      <c r="A658" s="77">
        <v>487.65967353556431</v>
      </c>
      <c r="B658" s="77">
        <v>488.68416864803396</v>
      </c>
      <c r="C658" s="77">
        <v>484.4183661416364</v>
      </c>
      <c r="D658" s="77">
        <v>486.8010490603516</v>
      </c>
      <c r="E658" s="77">
        <v>3792627.3173070112</v>
      </c>
      <c r="F658" s="77" t="s">
        <v>649</v>
      </c>
      <c r="G658" s="25">
        <f t="shared" si="16"/>
        <v>1.7638098292311888E-3</v>
      </c>
      <c r="I658" s="78">
        <v>122.28</v>
      </c>
      <c r="J658" s="78">
        <v>126.565</v>
      </c>
      <c r="K658" s="78">
        <v>122</v>
      </c>
      <c r="L658" s="78">
        <v>122.13</v>
      </c>
      <c r="M658" s="78">
        <v>2177558</v>
      </c>
      <c r="N658" s="78" t="s">
        <v>649</v>
      </c>
      <c r="O658" s="25">
        <f t="shared" si="17"/>
        <v>1.228199459592183E-3</v>
      </c>
    </row>
    <row r="659" spans="1:15">
      <c r="A659" s="77">
        <v>486.1082952223959</v>
      </c>
      <c r="B659" s="77">
        <v>486.2741658596529</v>
      </c>
      <c r="C659" s="77">
        <v>480.94679127481061</v>
      </c>
      <c r="D659" s="77">
        <v>481.16144739361374</v>
      </c>
      <c r="E659" s="77">
        <v>3328743.4058900415</v>
      </c>
      <c r="F659" s="77" t="s">
        <v>650</v>
      </c>
      <c r="G659" s="25">
        <f t="shared" si="16"/>
        <v>1.0281056089548546E-2</v>
      </c>
      <c r="I659" s="78">
        <v>119.72</v>
      </c>
      <c r="J659" s="78">
        <v>128.4999</v>
      </c>
      <c r="K659" s="78">
        <v>113.21</v>
      </c>
      <c r="L659" s="78">
        <v>124.16</v>
      </c>
      <c r="M659" s="78">
        <v>3746455</v>
      </c>
      <c r="N659" s="78" t="s">
        <v>650</v>
      </c>
      <c r="O659" s="25">
        <f t="shared" si="17"/>
        <v>-3.5760309278350499E-2</v>
      </c>
    </row>
    <row r="660" spans="1:15">
      <c r="A660" s="77">
        <v>478.16601882667862</v>
      </c>
      <c r="B660" s="77">
        <v>480.39063678518426</v>
      </c>
      <c r="C660" s="77">
        <v>476.12678569804854</v>
      </c>
      <c r="D660" s="77">
        <v>479.01488620558206</v>
      </c>
      <c r="E660" s="77">
        <v>3667211.9312928552</v>
      </c>
      <c r="F660" s="77" t="s">
        <v>651</v>
      </c>
      <c r="G660" s="25">
        <f t="shared" si="16"/>
        <v>-1.7721106448853607E-3</v>
      </c>
      <c r="I660" s="78">
        <v>124.54</v>
      </c>
      <c r="J660" s="78">
        <v>125.5</v>
      </c>
      <c r="K660" s="78">
        <v>120.5</v>
      </c>
      <c r="L660" s="78">
        <v>123.15</v>
      </c>
      <c r="M660" s="78">
        <v>1281406</v>
      </c>
      <c r="N660" s="78" t="s">
        <v>651</v>
      </c>
      <c r="O660" s="25">
        <f t="shared" si="17"/>
        <v>1.1287048315062886E-2</v>
      </c>
    </row>
    <row r="661" spans="1:15">
      <c r="A661" s="77">
        <v>477.92209141894773</v>
      </c>
      <c r="B661" s="77">
        <v>479.27832780593138</v>
      </c>
      <c r="C661" s="77">
        <v>474.01925289525377</v>
      </c>
      <c r="D661" s="77">
        <v>475.10229058557888</v>
      </c>
      <c r="E661" s="77">
        <v>7852060.4462504266</v>
      </c>
      <c r="F661" s="77" t="s">
        <v>652</v>
      </c>
      <c r="G661" s="25">
        <f t="shared" si="16"/>
        <v>5.9351446819870812E-3</v>
      </c>
      <c r="I661" s="78">
        <v>123.56</v>
      </c>
      <c r="J661" s="78">
        <v>126.66200000000001</v>
      </c>
      <c r="K661" s="78">
        <v>123.3</v>
      </c>
      <c r="L661" s="78">
        <v>126.59</v>
      </c>
      <c r="M661" s="78">
        <v>1860377</v>
      </c>
      <c r="N661" s="78" t="s">
        <v>652</v>
      </c>
      <c r="O661" s="25">
        <f t="shared" si="17"/>
        <v>-2.3935539932064098E-2</v>
      </c>
    </row>
    <row r="662" spans="1:15">
      <c r="A662" s="77">
        <v>475.88285829031764</v>
      </c>
      <c r="B662" s="77">
        <v>476.40974149101635</v>
      </c>
      <c r="C662" s="77">
        <v>467.98936737614656</v>
      </c>
      <c r="D662" s="77">
        <v>469.79443019335503</v>
      </c>
      <c r="E662" s="77">
        <v>4281226.573572197</v>
      </c>
      <c r="F662" s="77" t="s">
        <v>653</v>
      </c>
      <c r="G662" s="25">
        <f t="shared" si="16"/>
        <v>1.295977071174903E-2</v>
      </c>
      <c r="I662" s="78">
        <v>126.7</v>
      </c>
      <c r="J662" s="78">
        <v>126.89</v>
      </c>
      <c r="K662" s="78">
        <v>120.16</v>
      </c>
      <c r="L662" s="78">
        <v>120.85</v>
      </c>
      <c r="M662" s="78">
        <v>2064467</v>
      </c>
      <c r="N662" s="78" t="s">
        <v>653</v>
      </c>
      <c r="O662" s="25">
        <f t="shared" si="17"/>
        <v>4.8407116259826299E-2</v>
      </c>
    </row>
    <row r="663" spans="1:15">
      <c r="A663" s="77">
        <v>465.03296719444836</v>
      </c>
      <c r="B663" s="77">
        <v>476.68294018767494</v>
      </c>
      <c r="C663" s="77">
        <v>464.54511237898663</v>
      </c>
      <c r="D663" s="77">
        <v>473.90216773954296</v>
      </c>
      <c r="E663" s="77">
        <v>6125132.7347701313</v>
      </c>
      <c r="F663" s="77" t="s">
        <v>654</v>
      </c>
      <c r="G663" s="25">
        <f t="shared" si="16"/>
        <v>-1.8715256331068519E-2</v>
      </c>
      <c r="I663" s="78">
        <v>121.1</v>
      </c>
      <c r="J663" s="78">
        <v>129.62</v>
      </c>
      <c r="K663" s="78">
        <v>118.37</v>
      </c>
      <c r="L663" s="78">
        <v>119.81</v>
      </c>
      <c r="M663" s="78">
        <v>4502978</v>
      </c>
      <c r="N663" s="78" t="s">
        <v>654</v>
      </c>
      <c r="O663" s="25">
        <f t="shared" si="17"/>
        <v>1.0767047825724019E-2</v>
      </c>
    </row>
    <row r="664" spans="1:15">
      <c r="A664" s="77">
        <v>468.28208026542359</v>
      </c>
      <c r="B664" s="77">
        <v>475.03399091141421</v>
      </c>
      <c r="C664" s="77">
        <v>464.37924174172963</v>
      </c>
      <c r="D664" s="77">
        <v>465.79402070656869</v>
      </c>
      <c r="E664" s="77">
        <v>8460549.8791548256</v>
      </c>
      <c r="F664" s="77" t="s">
        <v>655</v>
      </c>
      <c r="G664" s="25">
        <f t="shared" si="16"/>
        <v>5.3415446490290286E-3</v>
      </c>
      <c r="I664" s="78">
        <v>116.36</v>
      </c>
      <c r="J664" s="78">
        <v>118.77</v>
      </c>
      <c r="K664" s="78">
        <v>114.01</v>
      </c>
      <c r="L664" s="78">
        <v>115.47</v>
      </c>
      <c r="M664" s="78">
        <v>1800708</v>
      </c>
      <c r="N664" s="78" t="s">
        <v>655</v>
      </c>
      <c r="O664" s="25">
        <f t="shared" si="17"/>
        <v>7.7076296873646033E-3</v>
      </c>
    </row>
    <row r="665" spans="1:15">
      <c r="A665" s="77">
        <v>463.65721661484622</v>
      </c>
      <c r="B665" s="77">
        <v>469.49196020776873</v>
      </c>
      <c r="C665" s="77">
        <v>457.50048884371893</v>
      </c>
      <c r="D665" s="77">
        <v>458.74939717130104</v>
      </c>
      <c r="E665" s="77">
        <v>15623783.466779424</v>
      </c>
      <c r="F665" s="77" t="s">
        <v>656</v>
      </c>
      <c r="G665" s="25">
        <f t="shared" si="16"/>
        <v>1.0698258076865752E-2</v>
      </c>
      <c r="I665" s="78">
        <v>115.47</v>
      </c>
      <c r="J665" s="78">
        <v>118.29</v>
      </c>
      <c r="K665" s="78">
        <v>108.81</v>
      </c>
      <c r="L665" s="78">
        <v>111.45</v>
      </c>
      <c r="M665" s="78">
        <v>2158264</v>
      </c>
      <c r="N665" s="78" t="s">
        <v>656</v>
      </c>
      <c r="O665" s="25">
        <f t="shared" si="17"/>
        <v>3.606998654104987E-2</v>
      </c>
    </row>
    <row r="666" spans="1:15">
      <c r="A666" s="77">
        <v>478.00990528573089</v>
      </c>
      <c r="B666" s="77">
        <v>481.53221705336466</v>
      </c>
      <c r="C666" s="77">
        <v>473.99973870263528</v>
      </c>
      <c r="D666" s="77">
        <v>480.44917936303966</v>
      </c>
      <c r="E666" s="77">
        <v>8774296.9103389438</v>
      </c>
      <c r="F666" s="77" t="s">
        <v>657</v>
      </c>
      <c r="G666" s="25">
        <f t="shared" si="16"/>
        <v>-5.0770699214069959E-3</v>
      </c>
      <c r="I666" s="78">
        <v>117.7</v>
      </c>
      <c r="J666" s="78">
        <v>120.56</v>
      </c>
      <c r="K666" s="78">
        <v>114.71</v>
      </c>
      <c r="L666" s="78">
        <v>120.29</v>
      </c>
      <c r="M666" s="78">
        <v>1824098</v>
      </c>
      <c r="N666" s="78" t="s">
        <v>657</v>
      </c>
      <c r="O666" s="25">
        <f t="shared" si="17"/>
        <v>-2.1531299359880296E-2</v>
      </c>
    </row>
    <row r="667" spans="1:15">
      <c r="A667" s="77">
        <v>486.90837711975314</v>
      </c>
      <c r="B667" s="77">
        <v>497.51434080789159</v>
      </c>
      <c r="C667" s="77">
        <v>483.7080495303241</v>
      </c>
      <c r="D667" s="77">
        <v>495.50437896818914</v>
      </c>
      <c r="E667" s="77">
        <v>7111969.360630489</v>
      </c>
      <c r="F667" s="77" t="s">
        <v>658</v>
      </c>
      <c r="G667" s="25">
        <f t="shared" si="16"/>
        <v>-1.7347983616887164E-2</v>
      </c>
      <c r="I667" s="78">
        <v>122.35</v>
      </c>
      <c r="J667" s="78">
        <v>126</v>
      </c>
      <c r="K667" s="78">
        <v>120.88</v>
      </c>
      <c r="L667" s="78">
        <v>123</v>
      </c>
      <c r="M667" s="78">
        <v>1834192</v>
      </c>
      <c r="N667" s="78" t="s">
        <v>658</v>
      </c>
      <c r="O667" s="25">
        <f t="shared" si="17"/>
        <v>-5.284552845528534E-3</v>
      </c>
    </row>
    <row r="668" spans="1:15">
      <c r="A668" s="77">
        <v>493.64077357312533</v>
      </c>
      <c r="B668" s="77">
        <v>496.29782604005624</v>
      </c>
      <c r="C668" s="77">
        <v>491.07953579195112</v>
      </c>
      <c r="D668" s="77">
        <v>492.22599460828627</v>
      </c>
      <c r="E668" s="77">
        <v>5501213.5064400677</v>
      </c>
      <c r="F668" s="77" t="s">
        <v>659</v>
      </c>
      <c r="G668" s="25">
        <f t="shared" si="16"/>
        <v>2.8742467491278401E-3</v>
      </c>
      <c r="I668" s="78">
        <v>122.6</v>
      </c>
      <c r="J668" s="78">
        <v>125.58</v>
      </c>
      <c r="K668" s="78">
        <v>121.81</v>
      </c>
      <c r="L668" s="78">
        <v>123.56</v>
      </c>
      <c r="M668" s="78">
        <v>1439970</v>
      </c>
      <c r="N668" s="78" t="s">
        <v>659</v>
      </c>
      <c r="O668" s="25">
        <f t="shared" si="17"/>
        <v>-7.7695046940757795E-3</v>
      </c>
    </row>
    <row r="669" spans="1:15">
      <c r="A669" s="77">
        <v>485.98145297037581</v>
      </c>
      <c r="B669" s="77">
        <v>490.79170145082867</v>
      </c>
      <c r="C669" s="77">
        <v>482.89333198850301</v>
      </c>
      <c r="D669" s="77">
        <v>489.85502020514213</v>
      </c>
      <c r="E669" s="77">
        <v>3912844.4354766654</v>
      </c>
      <c r="F669" s="77" t="s">
        <v>660</v>
      </c>
      <c r="G669" s="25">
        <f t="shared" si="16"/>
        <v>-7.9075789264018148E-3</v>
      </c>
      <c r="I669" s="78">
        <v>122.5</v>
      </c>
      <c r="J669" s="78">
        <v>123.41</v>
      </c>
      <c r="K669" s="78">
        <v>121.1</v>
      </c>
      <c r="L669" s="78">
        <v>122.03</v>
      </c>
      <c r="M669" s="78">
        <v>1263393</v>
      </c>
      <c r="N669" s="78" t="s">
        <v>660</v>
      </c>
      <c r="O669" s="25">
        <f t="shared" si="17"/>
        <v>3.8515119232975792E-3</v>
      </c>
    </row>
    <row r="670" spans="1:15">
      <c r="A670" s="77">
        <v>488.53781220339539</v>
      </c>
      <c r="B670" s="77">
        <v>490.55265259125241</v>
      </c>
      <c r="C670" s="77">
        <v>486.65918088001536</v>
      </c>
      <c r="D670" s="77">
        <v>489.63060699002972</v>
      </c>
      <c r="E670" s="77">
        <v>3173257.5982359662</v>
      </c>
      <c r="F670" s="77" t="s">
        <v>661</v>
      </c>
      <c r="G670" s="25">
        <f t="shared" si="16"/>
        <v>-2.2318759714639036E-3</v>
      </c>
      <c r="I670" s="78">
        <v>121.56</v>
      </c>
      <c r="J670" s="78">
        <v>122.57</v>
      </c>
      <c r="K670" s="78">
        <v>119.2423</v>
      </c>
      <c r="L670" s="78">
        <v>120.66</v>
      </c>
      <c r="M670" s="78">
        <v>1106384</v>
      </c>
      <c r="N670" s="78" t="s">
        <v>661</v>
      </c>
      <c r="O670" s="25">
        <f t="shared" si="17"/>
        <v>7.4589756340128766E-3</v>
      </c>
    </row>
    <row r="671" spans="1:15">
      <c r="A671" s="77">
        <v>488.17679963995369</v>
      </c>
      <c r="B671" s="77">
        <v>490.66973774696328</v>
      </c>
      <c r="C671" s="77">
        <v>485.58141202169725</v>
      </c>
      <c r="D671" s="77">
        <v>486.25465166703447</v>
      </c>
      <c r="E671" s="77">
        <v>3726502.1116565005</v>
      </c>
      <c r="F671" s="77" t="s">
        <v>662</v>
      </c>
      <c r="G671" s="25">
        <f t="shared" si="16"/>
        <v>3.9529657275862995E-3</v>
      </c>
      <c r="I671" s="78">
        <v>120.43</v>
      </c>
      <c r="J671" s="78">
        <v>123.87</v>
      </c>
      <c r="K671" s="78">
        <v>117.76</v>
      </c>
      <c r="L671" s="78">
        <v>118.56</v>
      </c>
      <c r="M671" s="78">
        <v>1467725</v>
      </c>
      <c r="N671" s="78" t="s">
        <v>662</v>
      </c>
      <c r="O671" s="25">
        <f t="shared" si="17"/>
        <v>1.5772604588394135E-2</v>
      </c>
    </row>
    <row r="672" spans="1:15">
      <c r="A672" s="77">
        <v>482.76161118832829</v>
      </c>
      <c r="B672" s="77">
        <v>490.91854370284875</v>
      </c>
      <c r="C672" s="77">
        <v>481.92250090573413</v>
      </c>
      <c r="D672" s="77">
        <v>485.46432686598644</v>
      </c>
      <c r="E672" s="77">
        <v>5787173.5822219541</v>
      </c>
      <c r="F672" s="77" t="s">
        <v>663</v>
      </c>
      <c r="G672" s="25">
        <f t="shared" si="16"/>
        <v>-5.5672796703850613E-3</v>
      </c>
      <c r="I672" s="78">
        <v>117.3</v>
      </c>
      <c r="J672" s="78">
        <v>121.62</v>
      </c>
      <c r="K672" s="78">
        <v>115.95</v>
      </c>
      <c r="L672" s="78">
        <v>116.34</v>
      </c>
      <c r="M672" s="78">
        <v>1551824</v>
      </c>
      <c r="N672" s="78" t="s">
        <v>663</v>
      </c>
      <c r="O672" s="25">
        <f t="shared" si="17"/>
        <v>8.2516761217121815E-3</v>
      </c>
    </row>
    <row r="673" spans="1:15">
      <c r="A673" s="77">
        <v>485.21064236194633</v>
      </c>
      <c r="B673" s="77">
        <v>492.44065072708941</v>
      </c>
      <c r="C673" s="77">
        <v>484.48373868690828</v>
      </c>
      <c r="D673" s="77">
        <v>492.17720912674008</v>
      </c>
      <c r="E673" s="77">
        <v>6310691.0138542857</v>
      </c>
      <c r="F673" s="77" t="s">
        <v>664</v>
      </c>
      <c r="G673" s="25">
        <f t="shared" si="16"/>
        <v>-1.4154590329679029E-2</v>
      </c>
      <c r="I673" s="78">
        <v>116.29</v>
      </c>
      <c r="J673" s="78">
        <v>118.54</v>
      </c>
      <c r="K673" s="78">
        <v>113.905</v>
      </c>
      <c r="L673" s="78">
        <v>114.62</v>
      </c>
      <c r="M673" s="78">
        <v>1336996</v>
      </c>
      <c r="N673" s="78" t="s">
        <v>664</v>
      </c>
      <c r="O673" s="25">
        <f t="shared" si="17"/>
        <v>1.456988309195606E-2</v>
      </c>
    </row>
    <row r="674" spans="1:15">
      <c r="A674" s="77">
        <v>496.57765956220504</v>
      </c>
      <c r="B674" s="77">
        <v>499.22183266200767</v>
      </c>
      <c r="C674" s="77">
        <v>496.1385902282895</v>
      </c>
      <c r="D674" s="77">
        <v>497.28017049646996</v>
      </c>
      <c r="E674" s="77">
        <v>3193619.1887853965</v>
      </c>
      <c r="F674" s="77" t="s">
        <v>665</v>
      </c>
      <c r="G674" s="25">
        <f t="shared" si="16"/>
        <v>-1.4127065102225167E-3</v>
      </c>
      <c r="I674" s="78">
        <v>115.6</v>
      </c>
      <c r="J674" s="78">
        <v>119.19</v>
      </c>
      <c r="K674" s="78">
        <v>115.31</v>
      </c>
      <c r="L674" s="78">
        <v>118.8</v>
      </c>
      <c r="M674" s="78">
        <v>1143286</v>
      </c>
      <c r="N674" s="78" t="s">
        <v>665</v>
      </c>
      <c r="O674" s="25">
        <f t="shared" si="17"/>
        <v>-2.6936026936026924E-2</v>
      </c>
    </row>
    <row r="675" spans="1:15">
      <c r="A675" s="77">
        <v>497.40701274849005</v>
      </c>
      <c r="B675" s="77">
        <v>497.92413885287948</v>
      </c>
      <c r="C675" s="77">
        <v>494.13838548489628</v>
      </c>
      <c r="D675" s="77">
        <v>495.92393410948625</v>
      </c>
      <c r="E675" s="77">
        <v>4451046.5638116822</v>
      </c>
      <c r="F675" s="77" t="s">
        <v>666</v>
      </c>
      <c r="G675" s="25">
        <f t="shared" si="16"/>
        <v>2.9905365258624528E-3</v>
      </c>
      <c r="I675" s="78">
        <v>117.61</v>
      </c>
      <c r="J675" s="78">
        <v>118.15</v>
      </c>
      <c r="K675" s="78">
        <v>114.36</v>
      </c>
      <c r="L675" s="78">
        <v>116.21</v>
      </c>
      <c r="M675" s="78">
        <v>1243350</v>
      </c>
      <c r="N675" s="78" t="s">
        <v>666</v>
      </c>
      <c r="O675" s="25">
        <f t="shared" si="17"/>
        <v>1.2047156010670301E-2</v>
      </c>
    </row>
    <row r="676" spans="1:15">
      <c r="A676" s="77">
        <v>492.29429428245089</v>
      </c>
      <c r="B676" s="77">
        <v>496.83134406624515</v>
      </c>
      <c r="C676" s="77">
        <v>491.32834174783665</v>
      </c>
      <c r="D676" s="77">
        <v>495.3092370420045</v>
      </c>
      <c r="E676" s="77">
        <v>4139999.1062676292</v>
      </c>
      <c r="F676" s="77" t="s">
        <v>667</v>
      </c>
      <c r="G676" s="25">
        <f t="shared" si="16"/>
        <v>-6.0869907808682733E-3</v>
      </c>
      <c r="I676" s="78">
        <v>114.49</v>
      </c>
      <c r="J676" s="78">
        <v>116.21</v>
      </c>
      <c r="K676" s="78">
        <v>113.32</v>
      </c>
      <c r="L676" s="78">
        <v>115.43</v>
      </c>
      <c r="M676" s="78">
        <v>1372989</v>
      </c>
      <c r="N676" s="78" t="s">
        <v>667</v>
      </c>
      <c r="O676" s="25">
        <f t="shared" si="17"/>
        <v>-8.1434635709954906E-3</v>
      </c>
    </row>
    <row r="677" spans="1:15">
      <c r="A677" s="77">
        <v>495.60194993128152</v>
      </c>
      <c r="B677" s="77">
        <v>501.70013512455347</v>
      </c>
      <c r="C677" s="77">
        <v>493.58320670490082</v>
      </c>
      <c r="D677" s="77">
        <v>500.7829680714853</v>
      </c>
      <c r="E677" s="77">
        <v>5181715.7889634604</v>
      </c>
      <c r="F677" s="77" t="s">
        <v>668</v>
      </c>
      <c r="G677" s="25">
        <f t="shared" si="16"/>
        <v>-1.0345835362883582E-2</v>
      </c>
      <c r="I677" s="78">
        <v>115.79</v>
      </c>
      <c r="J677" s="78">
        <v>121.51</v>
      </c>
      <c r="K677" s="78">
        <v>115.77</v>
      </c>
      <c r="L677" s="78">
        <v>119.93</v>
      </c>
      <c r="M677" s="78">
        <v>1561239</v>
      </c>
      <c r="N677" s="78" t="s">
        <v>668</v>
      </c>
      <c r="O677" s="25">
        <f t="shared" si="17"/>
        <v>-3.4520136746435393E-2</v>
      </c>
    </row>
    <row r="678" spans="1:15">
      <c r="A678" s="77">
        <v>499.35843201033703</v>
      </c>
      <c r="B678" s="77">
        <v>502.59778798500304</v>
      </c>
      <c r="C678" s="77">
        <v>499.13401879522462</v>
      </c>
      <c r="D678" s="77">
        <v>501.08543805707154</v>
      </c>
      <c r="E678" s="77">
        <v>5108390.6953776935</v>
      </c>
      <c r="F678" s="77" t="s">
        <v>669</v>
      </c>
      <c r="G678" s="25">
        <f t="shared" si="16"/>
        <v>-3.4465301035904172E-3</v>
      </c>
      <c r="I678" s="78">
        <v>119.89</v>
      </c>
      <c r="J678" s="78">
        <v>125.89</v>
      </c>
      <c r="K678" s="78">
        <v>119.87</v>
      </c>
      <c r="L678" s="78">
        <v>124.23</v>
      </c>
      <c r="M678" s="78">
        <v>1948331</v>
      </c>
      <c r="N678" s="78" t="s">
        <v>669</v>
      </c>
      <c r="O678" s="25">
        <f t="shared" si="17"/>
        <v>-3.4935200837156954E-2</v>
      </c>
    </row>
    <row r="679" spans="1:15">
      <c r="A679" s="77">
        <v>506.43232683453232</v>
      </c>
      <c r="B679" s="77">
        <v>506.78358230166481</v>
      </c>
      <c r="C679" s="77">
        <v>504.05159533507907</v>
      </c>
      <c r="D679" s="77">
        <v>504.76386336565321</v>
      </c>
      <c r="E679" s="77">
        <v>4267970.580610686</v>
      </c>
      <c r="F679" s="77" t="s">
        <v>670</v>
      </c>
      <c r="G679" s="25">
        <f t="shared" si="16"/>
        <v>3.3054336690312436E-3</v>
      </c>
      <c r="I679" s="78">
        <v>125.23</v>
      </c>
      <c r="J679" s="78">
        <v>126.29</v>
      </c>
      <c r="K679" s="78">
        <v>116.985</v>
      </c>
      <c r="L679" s="78">
        <v>117</v>
      </c>
      <c r="M679" s="78">
        <v>2571682</v>
      </c>
      <c r="N679" s="78" t="s">
        <v>670</v>
      </c>
      <c r="O679" s="25">
        <f t="shared" si="17"/>
        <v>7.034188034188027E-2</v>
      </c>
    </row>
    <row r="680" spans="1:15">
      <c r="A680" s="77">
        <v>503.57349761592656</v>
      </c>
      <c r="B680" s="77">
        <v>506.51038360500627</v>
      </c>
      <c r="C680" s="77">
        <v>501.84649156919198</v>
      </c>
      <c r="D680" s="77">
        <v>504.03208114246058</v>
      </c>
      <c r="E680" s="77">
        <v>7964996.7097735237</v>
      </c>
      <c r="F680" s="77" t="s">
        <v>671</v>
      </c>
      <c r="G680" s="25">
        <f t="shared" si="16"/>
        <v>-9.0983003600597634E-4</v>
      </c>
      <c r="I680" s="78">
        <v>116.56</v>
      </c>
      <c r="J680" s="78">
        <v>117.64</v>
      </c>
      <c r="K680" s="78">
        <v>114.52</v>
      </c>
      <c r="L680" s="78">
        <v>116.11</v>
      </c>
      <c r="M680" s="78">
        <v>1408912</v>
      </c>
      <c r="N680" s="78" t="s">
        <v>671</v>
      </c>
      <c r="O680" s="25">
        <f t="shared" si="17"/>
        <v>3.87563517354228E-3</v>
      </c>
    </row>
    <row r="681" spans="1:15">
      <c r="A681" s="77">
        <v>502.05139059168584</v>
      </c>
      <c r="B681" s="77">
        <v>505.44686010729959</v>
      </c>
      <c r="C681" s="77">
        <v>499.72920167008789</v>
      </c>
      <c r="D681" s="77">
        <v>500.04142875198346</v>
      </c>
      <c r="E681" s="77">
        <v>5368574.6599038206</v>
      </c>
      <c r="F681" s="77" t="s">
        <v>672</v>
      </c>
      <c r="G681" s="25">
        <f t="shared" si="16"/>
        <v>4.0195906261584202E-3</v>
      </c>
      <c r="I681" s="78">
        <v>116.09</v>
      </c>
      <c r="J681" s="78">
        <v>119.93989999999999</v>
      </c>
      <c r="K681" s="78">
        <v>115.42</v>
      </c>
      <c r="L681" s="78">
        <v>118.46</v>
      </c>
      <c r="M681" s="78">
        <v>1612071</v>
      </c>
      <c r="N681" s="78" t="s">
        <v>672</v>
      </c>
      <c r="O681" s="25">
        <f t="shared" si="17"/>
        <v>-2.0006753334458782E-2</v>
      </c>
    </row>
    <row r="682" spans="1:15">
      <c r="A682" s="77">
        <v>498.96814815796762</v>
      </c>
      <c r="B682" s="77">
        <v>504.23698016495445</v>
      </c>
      <c r="C682" s="77">
        <v>498.41687221649585</v>
      </c>
      <c r="D682" s="77">
        <v>503.46616955652496</v>
      </c>
      <c r="E682" s="77">
        <v>5684383.7799883997</v>
      </c>
      <c r="F682" s="77" t="s">
        <v>673</v>
      </c>
      <c r="G682" s="25">
        <f t="shared" si="16"/>
        <v>-8.9341085271318343E-3</v>
      </c>
      <c r="I682" s="78">
        <v>118</v>
      </c>
      <c r="J682" s="78">
        <v>119.48</v>
      </c>
      <c r="K682" s="78">
        <v>114.5</v>
      </c>
      <c r="L682" s="78">
        <v>116.7</v>
      </c>
      <c r="M682" s="78">
        <v>2576913</v>
      </c>
      <c r="N682" s="78" t="s">
        <v>673</v>
      </c>
      <c r="O682" s="25">
        <f t="shared" si="17"/>
        <v>1.1139674378748854E-2</v>
      </c>
    </row>
    <row r="683" spans="1:15">
      <c r="A683" s="77">
        <v>503.28078472664942</v>
      </c>
      <c r="B683" s="77">
        <v>503.64667583824576</v>
      </c>
      <c r="C683" s="77">
        <v>499.26086104724465</v>
      </c>
      <c r="D683" s="77">
        <v>499.54381684021251</v>
      </c>
      <c r="E683" s="77">
        <v>3532734.4229835337</v>
      </c>
      <c r="F683" s="77" t="s">
        <v>674</v>
      </c>
      <c r="G683" s="25">
        <f t="shared" si="16"/>
        <v>7.480760967225164E-3</v>
      </c>
      <c r="I683" s="78">
        <v>113.17</v>
      </c>
      <c r="J683" s="78">
        <v>113.82989999999999</v>
      </c>
      <c r="K683" s="78">
        <v>108.05419999999999</v>
      </c>
      <c r="L683" s="78">
        <v>111.4</v>
      </c>
      <c r="M683" s="78">
        <v>2345333</v>
      </c>
      <c r="N683" s="78" t="s">
        <v>674</v>
      </c>
      <c r="O683" s="25">
        <f t="shared" si="17"/>
        <v>1.5888689407540291E-2</v>
      </c>
    </row>
    <row r="684" spans="1:15">
      <c r="A684" s="77">
        <v>498.48029334250583</v>
      </c>
      <c r="B684" s="77">
        <v>499.57308812914016</v>
      </c>
      <c r="C684" s="77">
        <v>498.13879497168267</v>
      </c>
      <c r="D684" s="77">
        <v>498.79252042440135</v>
      </c>
      <c r="E684" s="77">
        <v>3224138.5144702476</v>
      </c>
      <c r="F684" s="77" t="s">
        <v>675</v>
      </c>
      <c r="G684" s="25">
        <f t="shared" si="16"/>
        <v>-6.2596584573848535E-4</v>
      </c>
      <c r="I684" s="78">
        <v>106.68</v>
      </c>
      <c r="J684" s="78">
        <v>107.94</v>
      </c>
      <c r="K684" s="78">
        <v>104.62</v>
      </c>
      <c r="L684" s="78">
        <v>107.81</v>
      </c>
      <c r="M684" s="78">
        <v>1741633</v>
      </c>
      <c r="N684" s="78" t="s">
        <v>675</v>
      </c>
      <c r="O684" s="25">
        <f t="shared" si="17"/>
        <v>-1.0481402467303558E-2</v>
      </c>
    </row>
    <row r="685" spans="1:15">
      <c r="A685" s="77">
        <v>497.9338959491887</v>
      </c>
      <c r="B685" s="77">
        <v>498.78764187624677</v>
      </c>
      <c r="C685" s="77">
        <v>496.94842922195596</v>
      </c>
      <c r="D685" s="77">
        <v>498.0997665864457</v>
      </c>
      <c r="E685" s="77">
        <v>3221633.6708953339</v>
      </c>
      <c r="F685" s="77" t="s">
        <v>676</v>
      </c>
      <c r="G685" s="25">
        <f t="shared" si="16"/>
        <v>-3.330068560235544E-4</v>
      </c>
      <c r="I685" s="78">
        <v>107.84</v>
      </c>
      <c r="J685" s="78">
        <v>110.22499999999999</v>
      </c>
      <c r="K685" s="78">
        <v>107.7582</v>
      </c>
      <c r="L685" s="78">
        <v>109.33</v>
      </c>
      <c r="M685" s="78">
        <v>1949910</v>
      </c>
      <c r="N685" s="78" t="s">
        <v>676</v>
      </c>
      <c r="O685" s="25">
        <f t="shared" si="17"/>
        <v>-1.3628464282447572E-2</v>
      </c>
    </row>
    <row r="686" spans="1:15">
      <c r="A686" s="77">
        <v>497.45579823003618</v>
      </c>
      <c r="B686" s="77">
        <v>497.70948273407635</v>
      </c>
      <c r="C686" s="77">
        <v>494.18717096644247</v>
      </c>
      <c r="D686" s="77">
        <v>494.81162513023349</v>
      </c>
      <c r="E686" s="77">
        <v>3235513.8249604134</v>
      </c>
      <c r="F686" s="77" t="s">
        <v>677</v>
      </c>
      <c r="G686" s="25">
        <f t="shared" si="16"/>
        <v>5.3437974483860895E-3</v>
      </c>
      <c r="I686" s="78">
        <v>108.52</v>
      </c>
      <c r="J686" s="78">
        <v>109.05</v>
      </c>
      <c r="K686" s="78">
        <v>105</v>
      </c>
      <c r="L686" s="78">
        <v>105.56</v>
      </c>
      <c r="M686" s="78">
        <v>1367613</v>
      </c>
      <c r="N686" s="78" t="s">
        <v>677</v>
      </c>
      <c r="O686" s="25">
        <f t="shared" si="17"/>
        <v>2.804092459264873E-2</v>
      </c>
    </row>
    <row r="687" spans="1:15">
      <c r="A687" s="77">
        <v>494.49939804833798</v>
      </c>
      <c r="B687" s="77">
        <v>494.82138222654271</v>
      </c>
      <c r="C687" s="77">
        <v>491.97231010424616</v>
      </c>
      <c r="D687" s="77">
        <v>491.97231010424616</v>
      </c>
      <c r="E687" s="77">
        <v>2184139.5559280803</v>
      </c>
      <c r="F687" s="77" t="s">
        <v>678</v>
      </c>
      <c r="G687" s="25">
        <f t="shared" si="16"/>
        <v>5.1366467018363338E-3</v>
      </c>
      <c r="I687" s="78">
        <v>105.28</v>
      </c>
      <c r="J687" s="78">
        <v>106.72</v>
      </c>
      <c r="K687" s="78">
        <v>104.17</v>
      </c>
      <c r="L687" s="78">
        <v>105.44</v>
      </c>
      <c r="M687" s="78">
        <v>986665</v>
      </c>
      <c r="N687" s="78" t="s">
        <v>678</v>
      </c>
      <c r="O687" s="25">
        <f t="shared" si="17"/>
        <v>-1.5174506828528056E-3</v>
      </c>
    </row>
    <row r="688" spans="1:15">
      <c r="A688" s="77">
        <v>492.2747800898324</v>
      </c>
      <c r="B688" s="77">
        <v>492.3528368603063</v>
      </c>
      <c r="C688" s="77">
        <v>487.47428870568882</v>
      </c>
      <c r="D688" s="77">
        <v>487.55234547616266</v>
      </c>
      <c r="E688" s="77">
        <v>4314893.3520469656</v>
      </c>
      <c r="F688" s="77" t="s">
        <v>679</v>
      </c>
      <c r="G688" s="25">
        <f t="shared" si="16"/>
        <v>9.6860053233005505E-3</v>
      </c>
      <c r="I688" s="78">
        <v>105.51</v>
      </c>
      <c r="J688" s="78">
        <v>107.56</v>
      </c>
      <c r="K688" s="78">
        <v>105.48</v>
      </c>
      <c r="L688" s="78">
        <v>106.19</v>
      </c>
      <c r="M688" s="78">
        <v>3067611</v>
      </c>
      <c r="N688" s="78" t="s">
        <v>679</v>
      </c>
      <c r="O688" s="25">
        <f t="shared" si="17"/>
        <v>-6.4036161597136321E-3</v>
      </c>
    </row>
    <row r="689" spans="1:15">
      <c r="A689" s="77">
        <v>489.10372378933101</v>
      </c>
      <c r="B689" s="77">
        <v>489.49391007073734</v>
      </c>
      <c r="C689" s="77">
        <v>486.48882197845609</v>
      </c>
      <c r="D689" s="77">
        <v>489.30862281182499</v>
      </c>
      <c r="E689" s="77">
        <v>4477280.8031680901</v>
      </c>
      <c r="F689" s="77" t="s">
        <v>680</v>
      </c>
      <c r="G689" s="25">
        <f t="shared" si="16"/>
        <v>-4.1875211868636075E-4</v>
      </c>
      <c r="I689" s="78">
        <v>105.5</v>
      </c>
      <c r="J689" s="78">
        <v>108.43</v>
      </c>
      <c r="K689" s="78">
        <v>103.57</v>
      </c>
      <c r="L689" s="78">
        <v>104.19</v>
      </c>
      <c r="M689" s="78">
        <v>1770537</v>
      </c>
      <c r="N689" s="78" t="s">
        <v>680</v>
      </c>
      <c r="O689" s="25">
        <f t="shared" si="17"/>
        <v>1.2573183606872096E-2</v>
      </c>
    </row>
    <row r="690" spans="1:15">
      <c r="A690" s="77">
        <v>487.98165771376904</v>
      </c>
      <c r="B690" s="77">
        <v>493.44563164694063</v>
      </c>
      <c r="C690" s="77">
        <v>486.88886292713471</v>
      </c>
      <c r="D690" s="77">
        <v>490.75267306559181</v>
      </c>
      <c r="E690" s="77">
        <v>5737947.8715414722</v>
      </c>
      <c r="F690" s="77" t="s">
        <v>681</v>
      </c>
      <c r="G690" s="25">
        <f t="shared" si="16"/>
        <v>-5.6464600274370724E-3</v>
      </c>
      <c r="I690" s="78">
        <v>104.38</v>
      </c>
      <c r="J690" s="78">
        <v>107.34</v>
      </c>
      <c r="K690" s="78">
        <v>103.52</v>
      </c>
      <c r="L690" s="78">
        <v>106.79</v>
      </c>
      <c r="M690" s="78">
        <v>3553616</v>
      </c>
      <c r="N690" s="78" t="s">
        <v>681</v>
      </c>
      <c r="O690" s="25">
        <f t="shared" si="17"/>
        <v>-2.2567656147579496E-2</v>
      </c>
    </row>
    <row r="691" spans="1:15">
      <c r="A691" s="77">
        <v>489.87111940000216</v>
      </c>
      <c r="B691" s="77">
        <v>490.48364059722752</v>
      </c>
      <c r="C691" s="77">
        <v>488.38356792102621</v>
      </c>
      <c r="D691" s="77">
        <v>489.04470191168218</v>
      </c>
      <c r="E691" s="77">
        <v>3722944.871671061</v>
      </c>
      <c r="F691" s="77" t="s">
        <v>682</v>
      </c>
      <c r="G691" s="25">
        <f t="shared" si="16"/>
        <v>1.6898608349902311E-3</v>
      </c>
      <c r="I691" s="78">
        <v>106.46</v>
      </c>
      <c r="J691" s="78">
        <v>107.28</v>
      </c>
      <c r="K691" s="78">
        <v>104.61</v>
      </c>
      <c r="L691" s="78">
        <v>105.5</v>
      </c>
      <c r="M691" s="78">
        <v>2173750</v>
      </c>
      <c r="N691" s="78" t="s">
        <v>682</v>
      </c>
      <c r="O691" s="25">
        <f t="shared" si="17"/>
        <v>9.0995260663506716E-3</v>
      </c>
    </row>
    <row r="692" spans="1:15">
      <c r="A692" s="77">
        <v>489.11275982248503</v>
      </c>
      <c r="B692" s="77">
        <v>489.79333893051319</v>
      </c>
      <c r="C692" s="77">
        <v>486.99324202891148</v>
      </c>
      <c r="D692" s="77">
        <v>487.55715043270635</v>
      </c>
      <c r="E692" s="77">
        <v>3294091.713298894</v>
      </c>
      <c r="F692" s="77" t="s">
        <v>683</v>
      </c>
      <c r="G692" s="25">
        <f t="shared" si="16"/>
        <v>3.1906195784392466E-3</v>
      </c>
      <c r="I692" s="78">
        <v>105.68</v>
      </c>
      <c r="J692" s="78">
        <v>109.24</v>
      </c>
      <c r="K692" s="78">
        <v>105.61</v>
      </c>
      <c r="L692" s="78">
        <v>109.24</v>
      </c>
      <c r="M692" s="78">
        <v>3698635</v>
      </c>
      <c r="N692" s="78" t="s">
        <v>683</v>
      </c>
      <c r="O692" s="25">
        <f t="shared" si="17"/>
        <v>-3.2588795313072016E-2</v>
      </c>
    </row>
    <row r="693" spans="1:15">
      <c r="A693" s="77">
        <v>488.56829653606246</v>
      </c>
      <c r="B693" s="77">
        <v>488.87941841401818</v>
      </c>
      <c r="C693" s="77">
        <v>486.43905618380285</v>
      </c>
      <c r="D693" s="77">
        <v>487.79049184117309</v>
      </c>
      <c r="E693" s="77">
        <v>6517547.6997103132</v>
      </c>
      <c r="F693" s="77" t="s">
        <v>684</v>
      </c>
      <c r="G693" s="25">
        <f t="shared" si="16"/>
        <v>1.5945466504554417E-3</v>
      </c>
      <c r="I693" s="78">
        <v>109.84</v>
      </c>
      <c r="J693" s="78">
        <v>112.485</v>
      </c>
      <c r="K693" s="78">
        <v>106.26</v>
      </c>
      <c r="L693" s="78">
        <v>108.24</v>
      </c>
      <c r="M693" s="78">
        <v>2952636</v>
      </c>
      <c r="N693" s="78" t="s">
        <v>684</v>
      </c>
      <c r="O693" s="25">
        <f t="shared" si="17"/>
        <v>1.4781966001478297E-2</v>
      </c>
    </row>
    <row r="694" spans="1:15">
      <c r="A694" s="77">
        <v>486.54600432935013</v>
      </c>
      <c r="B694" s="77">
        <v>490.44426423454871</v>
      </c>
      <c r="C694" s="77">
        <v>486.54600432935013</v>
      </c>
      <c r="D694" s="77">
        <v>488.10161371912881</v>
      </c>
      <c r="E694" s="77">
        <v>7223246.7056517489</v>
      </c>
      <c r="F694" s="77" t="s">
        <v>685</v>
      </c>
      <c r="G694" s="25">
        <f t="shared" si="16"/>
        <v>-3.1870605342310121E-3</v>
      </c>
      <c r="I694" s="78">
        <v>107.13500011343999</v>
      </c>
      <c r="J694" s="78">
        <v>107.53345212765001</v>
      </c>
      <c r="K694" s="78">
        <v>105.51203703117</v>
      </c>
      <c r="L694" s="78">
        <v>106.3186594014</v>
      </c>
      <c r="M694" s="78">
        <v>3230746.6246651807</v>
      </c>
      <c r="N694" s="78" t="s">
        <v>685</v>
      </c>
      <c r="O694" s="25">
        <f t="shared" si="17"/>
        <v>7.6782449725776303E-3</v>
      </c>
    </row>
    <row r="695" spans="1:15">
      <c r="A695" s="77">
        <v>487.85854975197589</v>
      </c>
      <c r="B695" s="77">
        <v>489.25441750254174</v>
      </c>
      <c r="C695" s="77">
        <v>486.95435179416705</v>
      </c>
      <c r="D695" s="77">
        <v>488.16967162993171</v>
      </c>
      <c r="E695" s="77">
        <v>4471907.1803684505</v>
      </c>
      <c r="F695" s="77" t="s">
        <v>686</v>
      </c>
      <c r="G695" s="25">
        <f t="shared" si="16"/>
        <v>-6.3732324238219284E-4</v>
      </c>
      <c r="I695" s="78">
        <v>105.51203703117</v>
      </c>
      <c r="J695" s="78">
        <v>106.34781442683</v>
      </c>
      <c r="K695" s="78">
        <v>103.98625736699999</v>
      </c>
      <c r="L695" s="78">
        <v>105.50231868936</v>
      </c>
      <c r="M695" s="78">
        <v>36686458.139714271</v>
      </c>
      <c r="N695" s="78" t="s">
        <v>686</v>
      </c>
      <c r="O695" s="25">
        <f t="shared" si="17"/>
        <v>9.211495946948034E-5</v>
      </c>
    </row>
    <row r="696" spans="1:15">
      <c r="A696" s="77">
        <v>488.92803120744878</v>
      </c>
      <c r="B696" s="77">
        <v>491.70868299167824</v>
      </c>
      <c r="C696" s="77">
        <v>487.28491878949501</v>
      </c>
      <c r="D696" s="77">
        <v>491.12532947051119</v>
      </c>
      <c r="E696" s="77">
        <v>4948149.0987239238</v>
      </c>
      <c r="F696" s="77" t="s">
        <v>687</v>
      </c>
      <c r="G696" s="25">
        <f t="shared" si="16"/>
        <v>-4.4740072059230585E-3</v>
      </c>
      <c r="I696" s="78">
        <v>105.20105009324999</v>
      </c>
      <c r="J696" s="78">
        <v>106.48387121216999</v>
      </c>
      <c r="K696" s="78">
        <v>103.10188826229</v>
      </c>
      <c r="L696" s="78">
        <v>104.97752823162</v>
      </c>
      <c r="M696" s="78">
        <v>2861004.5359168123</v>
      </c>
      <c r="N696" s="78" t="s">
        <v>687</v>
      </c>
      <c r="O696" s="25">
        <f t="shared" si="17"/>
        <v>2.1292353267912123E-3</v>
      </c>
    </row>
    <row r="697" spans="1:15">
      <c r="A697" s="77">
        <v>490.28918942350515</v>
      </c>
      <c r="B697" s="77">
        <v>490.3623030648248</v>
      </c>
      <c r="C697" s="77">
        <v>488.68496724029586</v>
      </c>
      <c r="D697" s="77">
        <v>489.09331470511279</v>
      </c>
      <c r="E697" s="77">
        <v>3529590.4203696409</v>
      </c>
      <c r="F697" s="77" t="s">
        <v>688</v>
      </c>
      <c r="G697" s="25">
        <f t="shared" si="16"/>
        <v>2.4450849816122222E-3</v>
      </c>
      <c r="I697" s="78">
        <v>105.05527496609999</v>
      </c>
      <c r="J697" s="78">
        <v>106.40612447768999</v>
      </c>
      <c r="K697" s="78">
        <v>103.72386213813</v>
      </c>
      <c r="L697" s="78">
        <v>105.91048904538</v>
      </c>
      <c r="M697" s="78">
        <v>2689112.0430759988</v>
      </c>
      <c r="N697" s="78" t="s">
        <v>688</v>
      </c>
      <c r="O697" s="25">
        <f t="shared" si="17"/>
        <v>-8.07487612405966E-3</v>
      </c>
    </row>
    <row r="698" spans="1:15">
      <c r="A698" s="77">
        <v>488.98636655956551</v>
      </c>
      <c r="B698" s="77">
        <v>490.19196383664399</v>
      </c>
      <c r="C698" s="77">
        <v>484.09591954044868</v>
      </c>
      <c r="D698" s="77">
        <v>484.65010538555737</v>
      </c>
      <c r="E698" s="77">
        <v>4741076.0364779932</v>
      </c>
      <c r="F698" s="77" t="s">
        <v>689</v>
      </c>
      <c r="G698" s="25">
        <f t="shared" si="16"/>
        <v>8.9471994864387394E-3</v>
      </c>
      <c r="I698" s="78">
        <v>105.99795412166999</v>
      </c>
      <c r="J698" s="78">
        <v>106.547040433935</v>
      </c>
      <c r="K698" s="78">
        <v>104.03484907604999</v>
      </c>
      <c r="L698" s="78">
        <v>104.42358274845</v>
      </c>
      <c r="M698" s="78">
        <v>2636857.2438593823</v>
      </c>
      <c r="N698" s="78" t="s">
        <v>689</v>
      </c>
      <c r="O698" s="25">
        <f t="shared" si="17"/>
        <v>1.5076779897626791E-2</v>
      </c>
    </row>
    <row r="699" spans="1:15">
      <c r="A699" s="77">
        <v>485.13623331986321</v>
      </c>
      <c r="B699" s="77">
        <v>485.19456867197988</v>
      </c>
      <c r="C699" s="77">
        <v>482.52086503329775</v>
      </c>
      <c r="D699" s="77">
        <v>483.46395322585107</v>
      </c>
      <c r="E699" s="77">
        <v>5977897.5757679399</v>
      </c>
      <c r="F699" s="77" t="s">
        <v>690</v>
      </c>
      <c r="G699" s="25">
        <f t="shared" si="16"/>
        <v>3.4589550738044483E-3</v>
      </c>
      <c r="I699" s="78">
        <v>105.59950210746</v>
      </c>
      <c r="J699" s="78">
        <v>107.11556342982</v>
      </c>
      <c r="K699" s="78">
        <v>104.57907621740999</v>
      </c>
      <c r="L699" s="78">
        <v>105.44400863849999</v>
      </c>
      <c r="M699" s="78">
        <v>1652445.4803056573</v>
      </c>
      <c r="N699" s="78" t="s">
        <v>690</v>
      </c>
      <c r="O699" s="25">
        <f t="shared" si="17"/>
        <v>1.4746543778803023E-3</v>
      </c>
    </row>
    <row r="700" spans="1:15">
      <c r="A700" s="77">
        <v>484.74733097241847</v>
      </c>
      <c r="B700" s="77">
        <v>485.59319357811069</v>
      </c>
      <c r="C700" s="77">
        <v>482.29724618351702</v>
      </c>
      <c r="D700" s="77">
        <v>485.44735519781892</v>
      </c>
      <c r="E700" s="77">
        <v>9060247.7026735712</v>
      </c>
      <c r="F700" s="77" t="s">
        <v>691</v>
      </c>
      <c r="G700" s="25">
        <f t="shared" ref="G700:G763" si="18">A700/D700-1</f>
        <v>-1.4420188263569722E-3</v>
      </c>
      <c r="I700" s="78">
        <v>106.14372924881999</v>
      </c>
      <c r="J700" s="78">
        <v>107.873594091</v>
      </c>
      <c r="K700" s="78">
        <v>105.03583828248</v>
      </c>
      <c r="L700" s="78">
        <v>105.44400863849999</v>
      </c>
      <c r="M700" s="78">
        <v>1945905.0082536663</v>
      </c>
      <c r="N700" s="78" t="s">
        <v>691</v>
      </c>
      <c r="O700" s="25">
        <f t="shared" ref="O700:O763" si="19">I700/L700-1</f>
        <v>6.6359447004609162E-3</v>
      </c>
    </row>
    <row r="701" spans="1:15">
      <c r="A701" s="77">
        <v>483.83341045592351</v>
      </c>
      <c r="B701" s="77">
        <v>486.27377268613884</v>
      </c>
      <c r="C701" s="77">
        <v>482.92921249811462</v>
      </c>
      <c r="D701" s="77">
        <v>484.11536465782092</v>
      </c>
      <c r="E701" s="77">
        <v>3804334.9692314845</v>
      </c>
      <c r="F701" s="77" t="s">
        <v>692</v>
      </c>
      <c r="G701" s="25">
        <f t="shared" si="18"/>
        <v>-5.8241118229473976E-4</v>
      </c>
      <c r="I701" s="78">
        <v>105.45372698030999</v>
      </c>
      <c r="J701" s="78">
        <v>113.49079565718</v>
      </c>
      <c r="K701" s="78">
        <v>105.40513527125999</v>
      </c>
      <c r="L701" s="78">
        <v>112.39262303265001</v>
      </c>
      <c r="M701" s="78">
        <v>2209982.9806253747</v>
      </c>
      <c r="N701" s="78" t="s">
        <v>692</v>
      </c>
      <c r="O701" s="25">
        <f t="shared" si="19"/>
        <v>-6.1738002594033836E-2</v>
      </c>
    </row>
    <row r="702" spans="1:15">
      <c r="A702" s="77">
        <v>479.83743883592945</v>
      </c>
      <c r="B702" s="77">
        <v>479.96383209884897</v>
      </c>
      <c r="C702" s="77">
        <v>475.53909564079714</v>
      </c>
      <c r="D702" s="77">
        <v>477.36790892965575</v>
      </c>
      <c r="E702" s="77">
        <v>4143377.4071760294</v>
      </c>
      <c r="F702" s="77" t="s">
        <v>693</v>
      </c>
      <c r="G702" s="25">
        <f t="shared" si="18"/>
        <v>5.1732214505386676E-3</v>
      </c>
      <c r="I702" s="78">
        <v>109.41881043879</v>
      </c>
      <c r="J702" s="78">
        <v>110.81825165943</v>
      </c>
      <c r="K702" s="78">
        <v>105.60922044927</v>
      </c>
      <c r="L702" s="78">
        <v>106.02710914709999</v>
      </c>
      <c r="M702" s="78">
        <v>2842690.7120691203</v>
      </c>
      <c r="N702" s="78" t="s">
        <v>693</v>
      </c>
      <c r="O702" s="25">
        <f t="shared" si="19"/>
        <v>3.1989000916590404E-2</v>
      </c>
    </row>
    <row r="703" spans="1:15">
      <c r="A703" s="77">
        <v>478.74851226308436</v>
      </c>
      <c r="B703" s="77">
        <v>479.02074390629565</v>
      </c>
      <c r="C703" s="77">
        <v>475.97758303754102</v>
      </c>
      <c r="D703" s="77">
        <v>476.57065911739414</v>
      </c>
      <c r="E703" s="77">
        <v>3564104.9973275736</v>
      </c>
      <c r="F703" s="77" t="s">
        <v>694</v>
      </c>
      <c r="G703" s="25">
        <f t="shared" si="18"/>
        <v>4.5698431156537822E-3</v>
      </c>
      <c r="I703" s="78">
        <v>106.72682975741999</v>
      </c>
      <c r="J703" s="78">
        <v>107.85415740738</v>
      </c>
      <c r="K703" s="78">
        <v>104.13203249415</v>
      </c>
      <c r="L703" s="78">
        <v>107.79584735652</v>
      </c>
      <c r="M703" s="78">
        <v>3860566.0032861102</v>
      </c>
      <c r="N703" s="78" t="s">
        <v>694</v>
      </c>
      <c r="O703" s="25">
        <f t="shared" si="19"/>
        <v>-9.9170573386224703E-3</v>
      </c>
    </row>
    <row r="704" spans="1:15">
      <c r="A704" s="77">
        <v>477.18318031461951</v>
      </c>
      <c r="B704" s="77">
        <v>479.83743883592945</v>
      </c>
      <c r="C704" s="77">
        <v>475.95813792016878</v>
      </c>
      <c r="D704" s="77">
        <v>476.94011634746659</v>
      </c>
      <c r="E704" s="77">
        <v>3151009.0079215094</v>
      </c>
      <c r="F704" s="77" t="s">
        <v>695</v>
      </c>
      <c r="G704" s="25">
        <f t="shared" si="18"/>
        <v>5.0963204566301101E-4</v>
      </c>
      <c r="I704" s="78">
        <v>110.4975463797</v>
      </c>
      <c r="J704" s="78">
        <v>115.648267539</v>
      </c>
      <c r="K704" s="78">
        <v>107.99021419272</v>
      </c>
      <c r="L704" s="78">
        <v>111.76093081499999</v>
      </c>
      <c r="M704" s="78">
        <v>2932691.6625501979</v>
      </c>
      <c r="N704" s="78" t="s">
        <v>695</v>
      </c>
      <c r="O704" s="25">
        <f t="shared" si="19"/>
        <v>-1.1304347826086913E-2</v>
      </c>
    </row>
    <row r="705" spans="1:15">
      <c r="A705" s="77">
        <v>477.80542407053099</v>
      </c>
      <c r="B705" s="77">
        <v>478.52489341330369</v>
      </c>
      <c r="C705" s="77">
        <v>476.05546073261684</v>
      </c>
      <c r="D705" s="77">
        <v>478.19432641797567</v>
      </c>
      <c r="E705" s="77">
        <v>21953031.798591785</v>
      </c>
      <c r="F705" s="77" t="s">
        <v>696</v>
      </c>
      <c r="G705" s="25">
        <f t="shared" si="18"/>
        <v>-8.1327260897856579E-4</v>
      </c>
      <c r="I705" s="78">
        <v>111.483958073415</v>
      </c>
      <c r="J705" s="78">
        <v>115.648267539</v>
      </c>
      <c r="K705" s="78">
        <v>102.84921137523</v>
      </c>
      <c r="L705" s="78">
        <v>103.78217218899</v>
      </c>
      <c r="M705" s="78">
        <v>7418454.8567550331</v>
      </c>
      <c r="N705" s="78" t="s">
        <v>696</v>
      </c>
      <c r="O705" s="25">
        <f t="shared" si="19"/>
        <v>7.4211068452102236E-2</v>
      </c>
    </row>
    <row r="706" spans="1:15">
      <c r="A706" s="77">
        <v>477.91237221607832</v>
      </c>
      <c r="B706" s="77">
        <v>477.91237221607832</v>
      </c>
      <c r="C706" s="77">
        <v>472.57468749740008</v>
      </c>
      <c r="D706" s="77">
        <v>474.33447061958725</v>
      </c>
      <c r="E706" s="77">
        <v>3112499.5977870529</v>
      </c>
      <c r="F706" s="77" t="s">
        <v>697</v>
      </c>
      <c r="G706" s="25">
        <f t="shared" si="18"/>
        <v>7.5429930104331522E-3</v>
      </c>
      <c r="I706" s="78">
        <v>103.78217218899</v>
      </c>
      <c r="J706" s="78">
        <v>103.81132721441999</v>
      </c>
      <c r="K706" s="78">
        <v>99.671313603360005</v>
      </c>
      <c r="L706" s="78">
        <v>99.671313603360005</v>
      </c>
      <c r="M706" s="78">
        <v>3061465.6884557554</v>
      </c>
      <c r="N706" s="78" t="s">
        <v>697</v>
      </c>
      <c r="O706" s="25">
        <f t="shared" si="19"/>
        <v>4.1244149765990556E-2</v>
      </c>
    </row>
    <row r="707" spans="1:15">
      <c r="A707" s="77">
        <v>472.26356561944436</v>
      </c>
      <c r="B707" s="77">
        <v>472.91497705141421</v>
      </c>
      <c r="C707" s="77">
        <v>469.17179195725919</v>
      </c>
      <c r="D707" s="77">
        <v>470.57184040805998</v>
      </c>
      <c r="E707" s="77">
        <v>2633328.4093783512</v>
      </c>
      <c r="F707" s="77" t="s">
        <v>698</v>
      </c>
      <c r="G707" s="25">
        <f t="shared" si="18"/>
        <v>3.5950413223140298E-3</v>
      </c>
      <c r="I707" s="78">
        <v>99.185396512859995</v>
      </c>
      <c r="J707" s="78">
        <v>101.33606555541299</v>
      </c>
      <c r="K707" s="78">
        <v>98.490535073444988</v>
      </c>
      <c r="L707" s="78">
        <v>101.32343171106</v>
      </c>
      <c r="M707" s="78">
        <v>4151585.8146174839</v>
      </c>
      <c r="N707" s="78" t="s">
        <v>698</v>
      </c>
      <c r="O707" s="25">
        <f t="shared" si="19"/>
        <v>-2.1101093420295425E-2</v>
      </c>
    </row>
    <row r="708" spans="1:15">
      <c r="A708" s="77">
        <v>471.68993465696343</v>
      </c>
      <c r="B708" s="77">
        <v>472.91497705141421</v>
      </c>
      <c r="C708" s="77">
        <v>467.07171928105788</v>
      </c>
      <c r="D708" s="77">
        <v>472.80802890586693</v>
      </c>
      <c r="E708" s="77">
        <v>4331427.6991851395</v>
      </c>
      <c r="F708" s="77" t="s">
        <v>699</v>
      </c>
      <c r="G708" s="25">
        <f t="shared" si="18"/>
        <v>-2.3647953937899757E-3</v>
      </c>
      <c r="I708" s="78">
        <v>100.45849928997001</v>
      </c>
      <c r="J708" s="78">
        <v>104.56935787559999</v>
      </c>
      <c r="K708" s="78">
        <v>100.0017372249</v>
      </c>
      <c r="L708" s="78">
        <v>101.22624829295999</v>
      </c>
      <c r="M708" s="78">
        <v>1643774.2479444649</v>
      </c>
      <c r="N708" s="78" t="s">
        <v>699</v>
      </c>
      <c r="O708" s="25">
        <f t="shared" si="19"/>
        <v>-7.5844854070659107E-3</v>
      </c>
    </row>
    <row r="709" spans="1:15">
      <c r="A709" s="77">
        <v>471.17463904659928</v>
      </c>
      <c r="B709" s="77">
        <v>471.45659324849669</v>
      </c>
      <c r="C709" s="77">
        <v>463.255614996757</v>
      </c>
      <c r="D709" s="77">
        <v>467.88841421069174</v>
      </c>
      <c r="E709" s="77">
        <v>5486180.3072646875</v>
      </c>
      <c r="F709" s="77" t="s">
        <v>700</v>
      </c>
      <c r="G709" s="25">
        <f t="shared" si="18"/>
        <v>7.0235225667028001E-3</v>
      </c>
      <c r="I709" s="78">
        <v>101.34286839468</v>
      </c>
      <c r="J709" s="78">
        <v>101.41089678734998</v>
      </c>
      <c r="K709" s="78">
        <v>97.922012077559998</v>
      </c>
      <c r="L709" s="78">
        <v>98.475957560729995</v>
      </c>
      <c r="M709" s="78">
        <v>3350105.4641337008</v>
      </c>
      <c r="N709" s="78" t="s">
        <v>700</v>
      </c>
      <c r="O709" s="25">
        <f t="shared" si="19"/>
        <v>2.9112799763150177E-2</v>
      </c>
    </row>
    <row r="710" spans="1:15">
      <c r="A710" s="77">
        <v>467.11060951580237</v>
      </c>
      <c r="B710" s="77">
        <v>469.35690947464286</v>
      </c>
      <c r="C710" s="77">
        <v>465.90501223872388</v>
      </c>
      <c r="D710" s="77">
        <v>468.74399937507002</v>
      </c>
      <c r="E710" s="77">
        <v>3490427.8899810407</v>
      </c>
      <c r="F710" s="77" t="s">
        <v>701</v>
      </c>
      <c r="G710" s="25">
        <f t="shared" si="18"/>
        <v>-3.4846096407533667E-3</v>
      </c>
      <c r="I710" s="78">
        <v>98.20384399004999</v>
      </c>
      <c r="J710" s="78">
        <v>99.724764483314985</v>
      </c>
      <c r="K710" s="78">
        <v>97.266024005384992</v>
      </c>
      <c r="L710" s="78">
        <v>98.514830927969996</v>
      </c>
      <c r="M710" s="78">
        <v>2049563.6384701312</v>
      </c>
      <c r="N710" s="78" t="s">
        <v>701</v>
      </c>
      <c r="O710" s="25">
        <f t="shared" si="19"/>
        <v>-3.1567524908751032E-3</v>
      </c>
    </row>
    <row r="711" spans="1:15">
      <c r="A711" s="77">
        <v>470.27044108879039</v>
      </c>
      <c r="B711" s="77">
        <v>471.23297439871595</v>
      </c>
      <c r="C711" s="77">
        <v>469.56069430470382</v>
      </c>
      <c r="D711" s="77">
        <v>469.78431315448455</v>
      </c>
      <c r="E711" s="77">
        <v>5764903.2327297218</v>
      </c>
      <c r="F711" s="77" t="s">
        <v>702</v>
      </c>
      <c r="G711" s="25">
        <f t="shared" si="18"/>
        <v>1.0347896272686619E-3</v>
      </c>
      <c r="I711" s="78">
        <v>98.893846258560004</v>
      </c>
      <c r="J711" s="78">
        <v>101.23586945135189</v>
      </c>
      <c r="K711" s="78">
        <v>98.23299901547999</v>
      </c>
      <c r="L711" s="78">
        <v>101.04159979856999</v>
      </c>
      <c r="M711" s="78">
        <v>2413294.413648536</v>
      </c>
      <c r="N711" s="78" t="s">
        <v>702</v>
      </c>
      <c r="O711" s="25">
        <f t="shared" si="19"/>
        <v>-2.1256131576416148E-2</v>
      </c>
    </row>
    <row r="712" spans="1:15">
      <c r="A712" s="77">
        <v>473.60527871812849</v>
      </c>
      <c r="B712" s="77">
        <v>474.11571304914963</v>
      </c>
      <c r="C712" s="77">
        <v>471.08227473908113</v>
      </c>
      <c r="D712" s="77">
        <v>473.87751036133972</v>
      </c>
      <c r="E712" s="77">
        <v>4149849.9831749648</v>
      </c>
      <c r="F712" s="77" t="s">
        <v>703</v>
      </c>
      <c r="G712" s="25">
        <f t="shared" si="18"/>
        <v>-5.7447681575695242E-4</v>
      </c>
      <c r="I712" s="78">
        <v>102.07174403043</v>
      </c>
      <c r="J712" s="78">
        <v>103.96682068338001</v>
      </c>
      <c r="K712" s="78">
        <v>100.5848377335</v>
      </c>
      <c r="L712" s="78">
        <v>103.86963726527999</v>
      </c>
      <c r="M712" s="78">
        <v>1533732.841611176</v>
      </c>
      <c r="N712" s="78" t="s">
        <v>703</v>
      </c>
      <c r="O712" s="25">
        <f t="shared" si="19"/>
        <v>-1.7309131736526928E-2</v>
      </c>
    </row>
    <row r="713" spans="1:15">
      <c r="A713" s="77">
        <v>473.22609892936993</v>
      </c>
      <c r="B713" s="77">
        <v>473.87751036133972</v>
      </c>
      <c r="C713" s="77">
        <v>470.89268484470182</v>
      </c>
      <c r="D713" s="77">
        <v>471.71910233302179</v>
      </c>
      <c r="E713" s="77">
        <v>2628156.931208536</v>
      </c>
      <c r="F713" s="77" t="s">
        <v>704</v>
      </c>
      <c r="G713" s="25">
        <f t="shared" si="18"/>
        <v>3.1946906302815492E-3</v>
      </c>
      <c r="I713" s="78">
        <v>103.48090359288</v>
      </c>
      <c r="J713" s="78">
        <v>104.22921591225</v>
      </c>
      <c r="K713" s="78">
        <v>101.40117844554</v>
      </c>
      <c r="L713" s="78">
        <v>103.68498877088999</v>
      </c>
      <c r="M713" s="78">
        <v>1118319.3812772469</v>
      </c>
      <c r="N713" s="78" t="s">
        <v>704</v>
      </c>
      <c r="O713" s="25">
        <f t="shared" si="19"/>
        <v>-1.9683194301245432E-3</v>
      </c>
    </row>
    <row r="714" spans="1:15">
      <c r="A714" s="77">
        <v>470.02737712163747</v>
      </c>
      <c r="B714" s="77">
        <v>476.39565306104407</v>
      </c>
      <c r="C714" s="77">
        <v>468.90928287273402</v>
      </c>
      <c r="D714" s="77">
        <v>476.31787259155516</v>
      </c>
      <c r="E714" s="77">
        <v>3920065.8211940136</v>
      </c>
      <c r="F714" s="77" t="s">
        <v>705</v>
      </c>
      <c r="G714" s="25">
        <f t="shared" si="18"/>
        <v>-1.320650731767059E-2</v>
      </c>
      <c r="I714" s="78">
        <v>102.86864805884998</v>
      </c>
      <c r="J714" s="78">
        <v>104.34097684306499</v>
      </c>
      <c r="K714" s="78">
        <v>101.71216538345999</v>
      </c>
      <c r="L714" s="78">
        <v>103.68498877088999</v>
      </c>
      <c r="M714" s="78">
        <v>1738760.6168176134</v>
      </c>
      <c r="N714" s="78" t="s">
        <v>705</v>
      </c>
      <c r="O714" s="25">
        <f t="shared" si="19"/>
        <v>-7.8732777204986171E-3</v>
      </c>
    </row>
    <row r="715" spans="1:15">
      <c r="A715" s="77">
        <v>473.54694336601176</v>
      </c>
      <c r="B715" s="77">
        <v>474.87893390600982</v>
      </c>
      <c r="C715" s="77">
        <v>471.485760924555</v>
      </c>
      <c r="D715" s="77">
        <v>474.25669015009834</v>
      </c>
      <c r="E715" s="77">
        <v>3343339.0375329666</v>
      </c>
      <c r="F715" s="77" t="s">
        <v>706</v>
      </c>
      <c r="G715" s="25">
        <f t="shared" si="18"/>
        <v>-1.4965456446422998E-3</v>
      </c>
      <c r="I715" s="78">
        <v>104.36527269759</v>
      </c>
      <c r="J715" s="78">
        <v>106.60049131388999</v>
      </c>
      <c r="K715" s="78">
        <v>103.014423186</v>
      </c>
      <c r="L715" s="78">
        <v>103.91822897433001</v>
      </c>
      <c r="M715" s="78">
        <v>1702909.8506260505</v>
      </c>
      <c r="N715" s="78" t="s">
        <v>706</v>
      </c>
      <c r="O715" s="25">
        <f t="shared" si="19"/>
        <v>4.3018797344056559E-3</v>
      </c>
    </row>
    <row r="716" spans="1:15">
      <c r="A716" s="77">
        <v>474.92754669944043</v>
      </c>
      <c r="B716" s="77">
        <v>475.02477228630153</v>
      </c>
      <c r="C716" s="77">
        <v>472.85664169929748</v>
      </c>
      <c r="D716" s="77">
        <v>473.03164775564755</v>
      </c>
      <c r="E716" s="77">
        <v>2523590.8357164413</v>
      </c>
      <c r="F716" s="77" t="s">
        <v>707</v>
      </c>
      <c r="G716" s="25">
        <f t="shared" si="18"/>
        <v>4.0079748422503503E-3</v>
      </c>
      <c r="I716" s="78">
        <v>104.57907621740999</v>
      </c>
      <c r="J716" s="78">
        <v>105.24964180229999</v>
      </c>
      <c r="K716" s="78">
        <v>103.81132721441999</v>
      </c>
      <c r="L716" s="78">
        <v>104.958091548</v>
      </c>
      <c r="M716" s="78">
        <v>1763450.0139072593</v>
      </c>
      <c r="N716" s="78" t="s">
        <v>707</v>
      </c>
      <c r="O716" s="25">
        <f t="shared" si="19"/>
        <v>-3.6111111111112315E-3</v>
      </c>
    </row>
    <row r="717" spans="1:15">
      <c r="A717" s="77">
        <v>473.6538915115591</v>
      </c>
      <c r="B717" s="77">
        <v>475.05384273677305</v>
      </c>
      <c r="C717" s="77">
        <v>472.95386728615864</v>
      </c>
      <c r="D717" s="77">
        <v>473.27471172280048</v>
      </c>
      <c r="E717" s="77">
        <v>2673766.324200239</v>
      </c>
      <c r="F717" s="77" t="s">
        <v>708</v>
      </c>
      <c r="G717" s="25">
        <f t="shared" si="18"/>
        <v>8.0118328608413947E-4</v>
      </c>
      <c r="I717" s="78">
        <v>105.47316366392999</v>
      </c>
      <c r="J717" s="78">
        <v>108.38866620693</v>
      </c>
      <c r="K717" s="78">
        <v>105.22048677686999</v>
      </c>
      <c r="L717" s="78">
        <v>108.16514434529999</v>
      </c>
      <c r="M717" s="78">
        <v>2110151.1349290563</v>
      </c>
      <c r="N717" s="78" t="s">
        <v>708</v>
      </c>
      <c r="O717" s="25">
        <f t="shared" si="19"/>
        <v>-2.4887690925426753E-2</v>
      </c>
    </row>
    <row r="718" spans="1:15">
      <c r="A718" s="77">
        <v>473.18720869462544</v>
      </c>
      <c r="B718" s="77">
        <v>473.22609892936993</v>
      </c>
      <c r="C718" s="77">
        <v>471.2524195160882</v>
      </c>
      <c r="D718" s="77">
        <v>472.60385517345844</v>
      </c>
      <c r="E718" s="77">
        <v>3367462.3169671041</v>
      </c>
      <c r="F718" s="77" t="s">
        <v>709</v>
      </c>
      <c r="G718" s="25">
        <f t="shared" si="18"/>
        <v>1.2343393198790409E-3</v>
      </c>
      <c r="I718" s="78">
        <v>107.94162248366999</v>
      </c>
      <c r="J718" s="78">
        <v>110.63360316504</v>
      </c>
      <c r="K718" s="78">
        <v>107.53345212765001</v>
      </c>
      <c r="L718" s="78">
        <v>110.63360316504</v>
      </c>
      <c r="M718" s="78">
        <v>1066267.2915391109</v>
      </c>
      <c r="N718" s="78" t="s">
        <v>709</v>
      </c>
      <c r="O718" s="25">
        <f t="shared" si="19"/>
        <v>-2.4332396345748575E-2</v>
      </c>
    </row>
    <row r="719" spans="1:15">
      <c r="A719" s="77">
        <v>472.48718446922504</v>
      </c>
      <c r="B719" s="77">
        <v>475.01504972761546</v>
      </c>
      <c r="C719" s="77">
        <v>472.3510686476194</v>
      </c>
      <c r="D719" s="77">
        <v>473.5372208073257</v>
      </c>
      <c r="E719" s="77">
        <v>3442901.3061960735</v>
      </c>
      <c r="F719" s="77" t="s">
        <v>710</v>
      </c>
      <c r="G719" s="25">
        <f t="shared" si="18"/>
        <v>-2.2174314752079205E-3</v>
      </c>
      <c r="I719" s="78">
        <v>111.23614035725998</v>
      </c>
      <c r="J719" s="78">
        <v>111.93576378416189</v>
      </c>
      <c r="K719" s="78">
        <v>110.02134763100999</v>
      </c>
      <c r="L719" s="78">
        <v>111.1778303064</v>
      </c>
      <c r="M719" s="78">
        <v>1025933.2502321196</v>
      </c>
      <c r="N719" s="78" t="s">
        <v>710</v>
      </c>
      <c r="O719" s="25">
        <f t="shared" si="19"/>
        <v>5.2447552447532075E-4</v>
      </c>
    </row>
    <row r="720" spans="1:15">
      <c r="A720" s="77">
        <v>473.39138242703388</v>
      </c>
      <c r="B720" s="77">
        <v>473.71222686367577</v>
      </c>
      <c r="C720" s="77">
        <v>469.3419367342662</v>
      </c>
      <c r="D720" s="77">
        <v>469.93015153477626</v>
      </c>
      <c r="E720" s="77">
        <v>4525027.9705507178</v>
      </c>
      <c r="F720" s="77" t="s">
        <v>711</v>
      </c>
      <c r="G720" s="25">
        <f t="shared" si="18"/>
        <v>7.3654156494393774E-3</v>
      </c>
      <c r="I720" s="78">
        <v>111.77064915680999</v>
      </c>
      <c r="J720" s="78">
        <v>114.94854692868</v>
      </c>
      <c r="K720" s="78">
        <v>109.94360089652999</v>
      </c>
      <c r="L720" s="78">
        <v>114.91939190325</v>
      </c>
      <c r="M720" s="78">
        <v>1279872.6617334322</v>
      </c>
      <c r="N720" s="78" t="s">
        <v>711</v>
      </c>
      <c r="O720" s="25">
        <f t="shared" si="19"/>
        <v>-2.7399577167019129E-2</v>
      </c>
    </row>
    <row r="721" spans="1:15">
      <c r="A721" s="77">
        <v>467.69396303696942</v>
      </c>
      <c r="B721" s="77">
        <v>468.11203306047247</v>
      </c>
      <c r="C721" s="77">
        <v>465.20498801332349</v>
      </c>
      <c r="D721" s="77">
        <v>465.69111594762933</v>
      </c>
      <c r="E721" s="77">
        <v>3350685.8689902038</v>
      </c>
      <c r="F721" s="77" t="s">
        <v>712</v>
      </c>
      <c r="G721" s="25">
        <f t="shared" si="18"/>
        <v>4.3008058791598192E-3</v>
      </c>
      <c r="I721" s="78">
        <v>112.32459463997999</v>
      </c>
      <c r="J721" s="78">
        <v>116.30911478208</v>
      </c>
      <c r="K721" s="78">
        <v>111.03205517924999</v>
      </c>
      <c r="L721" s="78">
        <v>111.53740895336999</v>
      </c>
      <c r="M721" s="78">
        <v>1960097.7586936718</v>
      </c>
      <c r="N721" s="78" t="s">
        <v>712</v>
      </c>
      <c r="O721" s="25">
        <f t="shared" si="19"/>
        <v>7.0575934477650204E-3</v>
      </c>
    </row>
    <row r="722" spans="1:15">
      <c r="A722" s="77">
        <v>465.48694221522084</v>
      </c>
      <c r="B722" s="77">
        <v>467.09116439843012</v>
      </c>
      <c r="C722" s="77">
        <v>464.47579611186472</v>
      </c>
      <c r="D722" s="77">
        <v>467.02310648762733</v>
      </c>
      <c r="E722" s="77">
        <v>3197143.9827240268</v>
      </c>
      <c r="F722" s="77" t="s">
        <v>713</v>
      </c>
      <c r="G722" s="25">
        <f t="shared" si="18"/>
        <v>-3.2892682419070063E-3</v>
      </c>
      <c r="I722" s="78">
        <v>109.59374059136999</v>
      </c>
      <c r="J722" s="78">
        <v>111.03205517924999</v>
      </c>
      <c r="K722" s="78">
        <v>107.83472072375999</v>
      </c>
      <c r="L722" s="78">
        <v>107.83472072375999</v>
      </c>
      <c r="M722" s="78">
        <v>1734557.2248399854</v>
      </c>
      <c r="N722" s="78" t="s">
        <v>713</v>
      </c>
      <c r="O722" s="25">
        <f t="shared" si="19"/>
        <v>1.6312184571016575E-2</v>
      </c>
    </row>
    <row r="723" spans="1:15">
      <c r="A723" s="77">
        <v>465.45777453916247</v>
      </c>
      <c r="B723" s="77">
        <v>467.06199672237176</v>
      </c>
      <c r="C723" s="77">
        <v>464.33968029025903</v>
      </c>
      <c r="D723" s="77">
        <v>466.3814176143436</v>
      </c>
      <c r="E723" s="77">
        <v>3442672.9712410816</v>
      </c>
      <c r="F723" s="77" t="s">
        <v>714</v>
      </c>
      <c r="G723" s="25">
        <f t="shared" si="18"/>
        <v>-1.9804457045174972E-3</v>
      </c>
      <c r="I723" s="78">
        <v>107.41683202592999</v>
      </c>
      <c r="J723" s="78">
        <v>109.07866847544</v>
      </c>
      <c r="K723" s="78">
        <v>106.44499784493</v>
      </c>
      <c r="L723" s="78">
        <v>108.21373605434999</v>
      </c>
      <c r="M723" s="78">
        <v>1213910.791639464</v>
      </c>
      <c r="N723" s="78" t="s">
        <v>714</v>
      </c>
      <c r="O723" s="25">
        <f t="shared" si="19"/>
        <v>-7.3641670408621795E-3</v>
      </c>
    </row>
    <row r="724" spans="1:15">
      <c r="A724" s="77">
        <v>464.88414357668159</v>
      </c>
      <c r="B724" s="77">
        <v>464.88414357668159</v>
      </c>
      <c r="C724" s="77">
        <v>461.76320223843805</v>
      </c>
      <c r="D724" s="77">
        <v>462.3951685530356</v>
      </c>
      <c r="E724" s="77">
        <v>3585526.3131276411</v>
      </c>
      <c r="F724" s="77" t="s">
        <v>715</v>
      </c>
      <c r="G724" s="25">
        <f t="shared" si="18"/>
        <v>5.382787695283886E-3</v>
      </c>
      <c r="I724" s="78">
        <v>108.21373605434999</v>
      </c>
      <c r="J724" s="78">
        <v>109.40909209697999</v>
      </c>
      <c r="K724" s="78">
        <v>106.77542146647001</v>
      </c>
      <c r="L724" s="78">
        <v>107.22246518972999</v>
      </c>
      <c r="M724" s="78">
        <v>1805904.7873723635</v>
      </c>
      <c r="N724" s="78" t="s">
        <v>715</v>
      </c>
      <c r="O724" s="25">
        <f t="shared" si="19"/>
        <v>9.244992295839749E-3</v>
      </c>
    </row>
    <row r="725" spans="1:15">
      <c r="A725" s="77">
        <v>462.22988505537165</v>
      </c>
      <c r="B725" s="77">
        <v>462.65767763756082</v>
      </c>
      <c r="C725" s="77">
        <v>460.3631537876372</v>
      </c>
      <c r="D725" s="77">
        <v>460.45065681581224</v>
      </c>
      <c r="E725" s="77">
        <v>3306617.2226767791</v>
      </c>
      <c r="F725" s="77" t="s">
        <v>716</v>
      </c>
      <c r="G725" s="25">
        <f t="shared" si="18"/>
        <v>3.8641018602589838E-3</v>
      </c>
      <c r="I725" s="78">
        <v>107.50429710221999</v>
      </c>
      <c r="J725" s="78">
        <v>109.01064008277</v>
      </c>
      <c r="K725" s="78">
        <v>105.48288200574</v>
      </c>
      <c r="L725" s="78">
        <v>108.17486268710999</v>
      </c>
      <c r="M725" s="78">
        <v>2931377.65237751</v>
      </c>
      <c r="N725" s="78" t="s">
        <v>716</v>
      </c>
      <c r="O725" s="25">
        <f t="shared" si="19"/>
        <v>-6.1989039619081421E-3</v>
      </c>
    </row>
    <row r="726" spans="1:15">
      <c r="A726" s="77">
        <v>462.21043993799941</v>
      </c>
      <c r="B726" s="77">
        <v>463.41603721507789</v>
      </c>
      <c r="C726" s="77">
        <v>461.53958338865732</v>
      </c>
      <c r="D726" s="77">
        <v>462.50211669858294</v>
      </c>
      <c r="E726" s="77">
        <v>3549787.7785280854</v>
      </c>
      <c r="F726" s="77" t="s">
        <v>717</v>
      </c>
      <c r="G726" s="25">
        <f t="shared" si="18"/>
        <v>-6.3064956905611869E-4</v>
      </c>
      <c r="I726" s="78">
        <v>109.64233230041999</v>
      </c>
      <c r="J726" s="78">
        <v>116.06226890010599</v>
      </c>
      <c r="K726" s="78">
        <v>109.55486722413001</v>
      </c>
      <c r="L726" s="78">
        <v>115.648267539</v>
      </c>
      <c r="M726" s="78">
        <v>3035735.9904384757</v>
      </c>
      <c r="N726" s="78" t="s">
        <v>717</v>
      </c>
      <c r="O726" s="25">
        <f t="shared" si="19"/>
        <v>-5.1932773109243713E-2</v>
      </c>
    </row>
    <row r="727" spans="1:15">
      <c r="A727" s="77">
        <v>461.5493059473435</v>
      </c>
      <c r="B727" s="77">
        <v>461.63680897551853</v>
      </c>
      <c r="C727" s="77">
        <v>458.72976392836955</v>
      </c>
      <c r="D727" s="77">
        <v>459.11866627581429</v>
      </c>
      <c r="E727" s="77">
        <v>4919015.8212457979</v>
      </c>
      <c r="F727" s="77" t="s">
        <v>718</v>
      </c>
      <c r="G727" s="25">
        <f t="shared" si="18"/>
        <v>5.2941425606707337E-3</v>
      </c>
      <c r="I727" s="78">
        <v>115.62883085538</v>
      </c>
      <c r="J727" s="78">
        <v>116.03214204049499</v>
      </c>
      <c r="K727" s="78">
        <v>112.64529991971</v>
      </c>
      <c r="L727" s="78">
        <v>114.71530672524</v>
      </c>
      <c r="M727" s="78">
        <v>1855434.841923923</v>
      </c>
      <c r="N727" s="78" t="s">
        <v>718</v>
      </c>
      <c r="O727" s="25">
        <f t="shared" si="19"/>
        <v>7.9634022365300261E-3</v>
      </c>
    </row>
    <row r="728" spans="1:15">
      <c r="A728" s="77">
        <v>456.94081313012407</v>
      </c>
      <c r="B728" s="77">
        <v>457.932514116108</v>
      </c>
      <c r="C728" s="77">
        <v>454.47138044943716</v>
      </c>
      <c r="D728" s="77">
        <v>456.72691683902946</v>
      </c>
      <c r="E728" s="77">
        <v>4717748.8437788272</v>
      </c>
      <c r="F728" s="77" t="s">
        <v>719</v>
      </c>
      <c r="G728" s="25">
        <f t="shared" si="18"/>
        <v>4.6832425068132899E-4</v>
      </c>
      <c r="I728" s="78">
        <v>114.60840496533</v>
      </c>
      <c r="J728" s="78">
        <v>124.28787340808999</v>
      </c>
      <c r="K728" s="78">
        <v>114.35572807826999</v>
      </c>
      <c r="L728" s="78">
        <v>123.50068772147999</v>
      </c>
      <c r="M728" s="78">
        <v>3073677.6483065481</v>
      </c>
      <c r="N728" s="78" t="s">
        <v>719</v>
      </c>
      <c r="O728" s="25">
        <f t="shared" si="19"/>
        <v>-7.2001888574126482E-2</v>
      </c>
    </row>
    <row r="729" spans="1:15">
      <c r="A729" s="77">
        <v>451.34061932692072</v>
      </c>
      <c r="B729" s="77">
        <v>452.05036611100724</v>
      </c>
      <c r="C729" s="77">
        <v>446.42100463174552</v>
      </c>
      <c r="D729" s="77">
        <v>450.50447927991462</v>
      </c>
      <c r="E729" s="77">
        <v>4085780.4290472553</v>
      </c>
      <c r="F729" s="77" t="s">
        <v>720</v>
      </c>
      <c r="G729" s="25">
        <f t="shared" si="18"/>
        <v>1.8560082872929318E-3</v>
      </c>
      <c r="I729" s="78">
        <v>120.49772010218999</v>
      </c>
      <c r="J729" s="78">
        <v>122.74265706029999</v>
      </c>
      <c r="K729" s="78">
        <v>118.74841857638999</v>
      </c>
      <c r="L729" s="78">
        <v>122.40251509695</v>
      </c>
      <c r="M729" s="78">
        <v>1678071.2511283858</v>
      </c>
      <c r="N729" s="78" t="s">
        <v>720</v>
      </c>
      <c r="O729" s="25">
        <f t="shared" si="19"/>
        <v>-1.5561730845573774E-2</v>
      </c>
    </row>
    <row r="730" spans="1:15">
      <c r="A730" s="77">
        <v>447.16964165057652</v>
      </c>
      <c r="B730" s="77">
        <v>454.111548552464</v>
      </c>
      <c r="C730" s="77">
        <v>446.6932362749568</v>
      </c>
      <c r="D730" s="77">
        <v>447.98633658021032</v>
      </c>
      <c r="E730" s="77">
        <v>6289884.3786176192</v>
      </c>
      <c r="F730" s="77" t="s">
        <v>721</v>
      </c>
      <c r="G730" s="25">
        <f t="shared" si="18"/>
        <v>-1.8230353538640776E-3</v>
      </c>
      <c r="I730" s="78">
        <v>121.16828568708</v>
      </c>
      <c r="J730" s="78">
        <v>123.31603922709</v>
      </c>
      <c r="K730" s="78">
        <v>118.50546003113999</v>
      </c>
      <c r="L730" s="78">
        <v>118.9525037544</v>
      </c>
      <c r="M730" s="78">
        <v>1441962.0418763601</v>
      </c>
      <c r="N730" s="78" t="s">
        <v>721</v>
      </c>
      <c r="O730" s="25">
        <f t="shared" si="19"/>
        <v>1.8627450980392091E-2</v>
      </c>
    </row>
    <row r="731" spans="1:15">
      <c r="A731" s="77">
        <v>448.62802545349405</v>
      </c>
      <c r="B731" s="77">
        <v>455.34631350560085</v>
      </c>
      <c r="C731" s="77">
        <v>448.55996754269125</v>
      </c>
      <c r="D731" s="77">
        <v>454.45183810647814</v>
      </c>
      <c r="E731" s="77">
        <v>4489390.2324628253</v>
      </c>
      <c r="F731" s="77" t="s">
        <v>722</v>
      </c>
      <c r="G731" s="25">
        <f t="shared" si="18"/>
        <v>-1.2815027170424931E-2</v>
      </c>
      <c r="I731" s="78">
        <v>119.58419597205</v>
      </c>
      <c r="J731" s="78">
        <v>121.81941458834999</v>
      </c>
      <c r="K731" s="78">
        <v>118.665812671005</v>
      </c>
      <c r="L731" s="78">
        <v>119.11771556516999</v>
      </c>
      <c r="M731" s="78">
        <v>1169904.3131309662</v>
      </c>
      <c r="N731" s="78" t="s">
        <v>722</v>
      </c>
      <c r="O731" s="25">
        <f t="shared" si="19"/>
        <v>3.916129558619641E-3</v>
      </c>
    </row>
    <row r="732" spans="1:15">
      <c r="A732" s="77">
        <v>455.83244143990669</v>
      </c>
      <c r="B732" s="77">
        <v>456.3963498437015</v>
      </c>
      <c r="C732" s="77">
        <v>453.27540850545796</v>
      </c>
      <c r="D732" s="77">
        <v>455.83244143990669</v>
      </c>
      <c r="E732" s="77">
        <v>3346037.9155595368</v>
      </c>
      <c r="F732" s="77" t="s">
        <v>723</v>
      </c>
      <c r="G732" s="25">
        <f t="shared" si="18"/>
        <v>0</v>
      </c>
      <c r="I732" s="78">
        <v>121.21687739613</v>
      </c>
      <c r="J732" s="78">
        <v>122.60660027495999</v>
      </c>
      <c r="K732" s="78">
        <v>119.87574622634999</v>
      </c>
      <c r="L732" s="78">
        <v>120.17701482246</v>
      </c>
      <c r="M732" s="78">
        <v>935153.36028297199</v>
      </c>
      <c r="N732" s="78" t="s">
        <v>723</v>
      </c>
      <c r="O732" s="25">
        <f t="shared" si="19"/>
        <v>8.6527575610546581E-3</v>
      </c>
    </row>
    <row r="733" spans="1:15">
      <c r="A733" s="77">
        <v>454.24766437406964</v>
      </c>
      <c r="B733" s="77">
        <v>455.62826770749825</v>
      </c>
      <c r="C733" s="77">
        <v>451.91425028940159</v>
      </c>
      <c r="D733" s="77">
        <v>452.41982334107968</v>
      </c>
      <c r="E733" s="77">
        <v>5047141.558535384</v>
      </c>
      <c r="F733" s="77" t="s">
        <v>724</v>
      </c>
      <c r="G733" s="25">
        <f t="shared" si="18"/>
        <v>4.0401435540369235E-3</v>
      </c>
      <c r="I733" s="78">
        <v>118.83588365268</v>
      </c>
      <c r="J733" s="78">
        <v>120.24504321513</v>
      </c>
      <c r="K733" s="78">
        <v>115.61911251356999</v>
      </c>
      <c r="L733" s="78">
        <v>116.27995975665</v>
      </c>
      <c r="M733" s="78">
        <v>853366.77409991203</v>
      </c>
      <c r="N733" s="78" t="s">
        <v>724</v>
      </c>
      <c r="O733" s="25">
        <f t="shared" si="19"/>
        <v>2.198077726702885E-2</v>
      </c>
    </row>
    <row r="734" spans="1:15">
      <c r="A734" s="77">
        <v>449.74611970239749</v>
      </c>
      <c r="B734" s="77">
        <v>450.60170486677578</v>
      </c>
      <c r="C734" s="77">
        <v>444.57371848138331</v>
      </c>
      <c r="D734" s="77">
        <v>446.04182484298695</v>
      </c>
      <c r="E734" s="77">
        <v>5015375.2293240195</v>
      </c>
      <c r="F734" s="77" t="s">
        <v>725</v>
      </c>
      <c r="G734" s="25">
        <f t="shared" si="18"/>
        <v>8.3048150489350991E-3</v>
      </c>
      <c r="I734" s="78">
        <v>117.64052761004999</v>
      </c>
      <c r="J734" s="78">
        <v>118.597784278335</v>
      </c>
      <c r="K734" s="78">
        <v>113.61713410070999</v>
      </c>
      <c r="L734" s="78">
        <v>118.53461505656999</v>
      </c>
      <c r="M734" s="78">
        <v>990692.6704402467</v>
      </c>
      <c r="N734" s="78" t="s">
        <v>725</v>
      </c>
      <c r="O734" s="25">
        <f t="shared" si="19"/>
        <v>-7.542838402885943E-3</v>
      </c>
    </row>
    <row r="735" spans="1:15">
      <c r="A735" s="77">
        <v>451.61285097013194</v>
      </c>
      <c r="B735" s="77">
        <v>453.37263409231912</v>
      </c>
      <c r="C735" s="77">
        <v>449.61000388079185</v>
      </c>
      <c r="D735" s="77">
        <v>452.65316474954648</v>
      </c>
      <c r="E735" s="77">
        <v>7907215.8350431286</v>
      </c>
      <c r="F735" s="77" t="s">
        <v>726</v>
      </c>
      <c r="G735" s="25">
        <f t="shared" si="18"/>
        <v>-2.2982580492729721E-3</v>
      </c>
      <c r="I735" s="78">
        <v>119.40926581946999</v>
      </c>
      <c r="J735" s="78">
        <v>121.22659573793999</v>
      </c>
      <c r="K735" s="78">
        <v>117.41700574842</v>
      </c>
      <c r="L735" s="78">
        <v>119.62306933929</v>
      </c>
      <c r="M735" s="78">
        <v>1290990.8135861298</v>
      </c>
      <c r="N735" s="78" t="s">
        <v>726</v>
      </c>
      <c r="O735" s="25">
        <f t="shared" si="19"/>
        <v>-1.7873100983021306E-3</v>
      </c>
    </row>
    <row r="736" spans="1:15">
      <c r="A736" s="77">
        <v>451.9434179654599</v>
      </c>
      <c r="B736" s="77">
        <v>452.22537216735731</v>
      </c>
      <c r="C736" s="77">
        <v>447.88911099334916</v>
      </c>
      <c r="D736" s="77">
        <v>448.38496148634113</v>
      </c>
      <c r="E736" s="77">
        <v>4378888.4566767756</v>
      </c>
      <c r="F736" s="77" t="s">
        <v>727</v>
      </c>
      <c r="G736" s="25">
        <f t="shared" si="18"/>
        <v>7.9361637538488683E-3</v>
      </c>
      <c r="I736" s="78">
        <v>120.95448216725998</v>
      </c>
      <c r="J736" s="78">
        <v>122.15955655169999</v>
      </c>
      <c r="K736" s="78">
        <v>117.41700574842</v>
      </c>
      <c r="L736" s="78">
        <v>117.41700574842</v>
      </c>
      <c r="M736" s="78">
        <v>1340800.7512754896</v>
      </c>
      <c r="N736" s="78" t="s">
        <v>727</v>
      </c>
      <c r="O736" s="25">
        <f t="shared" si="19"/>
        <v>3.0127462340671984E-2</v>
      </c>
    </row>
    <row r="737" spans="1:15">
      <c r="A737" s="77">
        <v>446.31405648619824</v>
      </c>
      <c r="B737" s="77">
        <v>448.91960498849068</v>
      </c>
      <c r="C737" s="77">
        <v>442.71670977233498</v>
      </c>
      <c r="D737" s="77">
        <v>444.85567268328072</v>
      </c>
      <c r="E737" s="77">
        <v>5984111.9892727183</v>
      </c>
      <c r="F737" s="77" t="s">
        <v>728</v>
      </c>
      <c r="G737" s="25">
        <f t="shared" si="18"/>
        <v>3.2783302371324208E-3</v>
      </c>
      <c r="I737" s="78">
        <v>116.86306026525</v>
      </c>
      <c r="J737" s="78">
        <v>117.58221755918998</v>
      </c>
      <c r="K737" s="78">
        <v>114.17107958388</v>
      </c>
      <c r="L737" s="78">
        <v>115.24009718297999</v>
      </c>
      <c r="M737" s="78">
        <v>1184562.1634911399</v>
      </c>
      <c r="N737" s="78" t="s">
        <v>728</v>
      </c>
      <c r="O737" s="25">
        <f t="shared" si="19"/>
        <v>1.4083319278124451E-2</v>
      </c>
    </row>
    <row r="738" spans="1:15">
      <c r="A738" s="77">
        <v>442.47364580518206</v>
      </c>
      <c r="B738" s="77">
        <v>447.17936420926264</v>
      </c>
      <c r="C738" s="77">
        <v>441.30693876284801</v>
      </c>
      <c r="D738" s="77">
        <v>446.25572113408151</v>
      </c>
      <c r="E738" s="77">
        <v>10066747.155741753</v>
      </c>
      <c r="F738" s="77" t="s">
        <v>729</v>
      </c>
      <c r="G738" s="25">
        <f t="shared" si="18"/>
        <v>-8.4751301771279763E-3</v>
      </c>
      <c r="I738" s="78">
        <v>114.12248787483</v>
      </c>
      <c r="J738" s="78">
        <v>115.86207105881999</v>
      </c>
      <c r="K738" s="78">
        <v>113.32558384641</v>
      </c>
      <c r="L738" s="78">
        <v>114.37516476188999</v>
      </c>
      <c r="M738" s="78">
        <v>1459316.8543842358</v>
      </c>
      <c r="N738" s="78" t="s">
        <v>729</v>
      </c>
      <c r="O738" s="25">
        <f t="shared" si="19"/>
        <v>-2.2091936443197069E-3</v>
      </c>
    </row>
    <row r="739" spans="1:15">
      <c r="A739" s="77">
        <v>446.20710834065096</v>
      </c>
      <c r="B739" s="77">
        <v>450.44614392779795</v>
      </c>
      <c r="C739" s="77">
        <v>445.49736155656439</v>
      </c>
      <c r="D739" s="77">
        <v>448.55996754269125</v>
      </c>
      <c r="E739" s="77">
        <v>5798150.6535410332</v>
      </c>
      <c r="F739" s="77" t="s">
        <v>730</v>
      </c>
      <c r="G739" s="25">
        <f t="shared" si="18"/>
        <v>-5.245361539795379E-3</v>
      </c>
      <c r="I739" s="78">
        <v>113.40333058089</v>
      </c>
      <c r="J739" s="78">
        <v>115.82319769158001</v>
      </c>
      <c r="K739" s="78">
        <v>112.47036976712999</v>
      </c>
      <c r="L739" s="78">
        <v>112.97572354124999</v>
      </c>
      <c r="M739" s="78">
        <v>1862809.5568085397</v>
      </c>
      <c r="N739" s="78" t="s">
        <v>730</v>
      </c>
      <c r="O739" s="25">
        <f t="shared" si="19"/>
        <v>3.7849462365591169E-3</v>
      </c>
    </row>
    <row r="740" spans="1:15">
      <c r="A740" s="77">
        <v>447.22797700269325</v>
      </c>
      <c r="B740" s="77">
        <v>452.33232031290464</v>
      </c>
      <c r="C740" s="77">
        <v>446.00293460824253</v>
      </c>
      <c r="D740" s="77">
        <v>452.20592704998512</v>
      </c>
      <c r="E740" s="77">
        <v>7360437.957776011</v>
      </c>
      <c r="F740" s="77" t="s">
        <v>731</v>
      </c>
      <c r="G740" s="25">
        <f t="shared" si="18"/>
        <v>-1.1008148610006208E-2</v>
      </c>
      <c r="I740" s="78">
        <v>114.95826527049</v>
      </c>
      <c r="J740" s="78">
        <v>116.67841177086</v>
      </c>
      <c r="K740" s="78">
        <v>114.113741367201</v>
      </c>
      <c r="L740" s="78">
        <v>114.54037657265999</v>
      </c>
      <c r="M740" s="78">
        <v>1920391.396482483</v>
      </c>
      <c r="N740" s="78" t="s">
        <v>731</v>
      </c>
      <c r="O740" s="25">
        <f t="shared" si="19"/>
        <v>3.6483964025115778E-3</v>
      </c>
    </row>
    <row r="741" spans="1:15">
      <c r="A741" s="77">
        <v>449.94057087611981</v>
      </c>
      <c r="B741" s="77">
        <v>452.59482939742975</v>
      </c>
      <c r="C741" s="77">
        <v>448.78358639247193</v>
      </c>
      <c r="D741" s="77">
        <v>451.17533582925671</v>
      </c>
      <c r="E741" s="77">
        <v>6954361.7254321957</v>
      </c>
      <c r="F741" s="77" t="s">
        <v>732</v>
      </c>
      <c r="G741" s="25">
        <f t="shared" si="18"/>
        <v>-2.736774054520108E-3</v>
      </c>
      <c r="I741" s="78">
        <v>114.37516476188999</v>
      </c>
      <c r="J741" s="78">
        <v>116.19249468036</v>
      </c>
      <c r="K741" s="78">
        <v>113.53938736622999</v>
      </c>
      <c r="L741" s="78">
        <v>115.84263437519999</v>
      </c>
      <c r="M741" s="78">
        <v>1747424.6463039357</v>
      </c>
      <c r="N741" s="78" t="s">
        <v>732</v>
      </c>
      <c r="O741" s="25">
        <f t="shared" si="19"/>
        <v>-1.2667785234899309E-2</v>
      </c>
    </row>
    <row r="742" spans="1:15">
      <c r="A742" s="77">
        <v>450.7475432470676</v>
      </c>
      <c r="B742" s="77">
        <v>460.45065681581224</v>
      </c>
      <c r="C742" s="77">
        <v>450.00862878692271</v>
      </c>
      <c r="D742" s="77">
        <v>460.33398611157889</v>
      </c>
      <c r="E742" s="77">
        <v>9801991.7468928844</v>
      </c>
      <c r="F742" s="77" t="s">
        <v>733</v>
      </c>
      <c r="G742" s="25">
        <f t="shared" si="18"/>
        <v>-2.0824973071155495E-2</v>
      </c>
      <c r="I742" s="78">
        <v>117.74742936995999</v>
      </c>
      <c r="J742" s="78">
        <v>124.66688873868</v>
      </c>
      <c r="K742" s="78">
        <v>117.56278087557</v>
      </c>
      <c r="L742" s="78">
        <v>124.66688873868</v>
      </c>
      <c r="M742" s="78">
        <v>1663751.9358870955</v>
      </c>
      <c r="N742" s="78" t="s">
        <v>733</v>
      </c>
      <c r="O742" s="25">
        <f t="shared" si="19"/>
        <v>-5.5503585905831043E-2</v>
      </c>
    </row>
    <row r="743" spans="1:15">
      <c r="A743" s="77">
        <v>456.54218822399326</v>
      </c>
      <c r="B743" s="77">
        <v>460.89789451537365</v>
      </c>
      <c r="C743" s="77">
        <v>454.92824348209786</v>
      </c>
      <c r="D743" s="77">
        <v>459.65340700355068</v>
      </c>
      <c r="E743" s="77">
        <v>7158324.4953182368</v>
      </c>
      <c r="F743" s="77" t="s">
        <v>734</v>
      </c>
      <c r="G743" s="25">
        <f t="shared" si="18"/>
        <v>-6.7686189902066429E-3</v>
      </c>
      <c r="I743" s="78">
        <v>123.49096937966999</v>
      </c>
      <c r="J743" s="78">
        <v>131.05183930785</v>
      </c>
      <c r="K743" s="78">
        <v>122.87871384563999</v>
      </c>
      <c r="L743" s="78">
        <v>125.366609349</v>
      </c>
      <c r="M743" s="78">
        <v>1676676.9803500047</v>
      </c>
      <c r="N743" s="78" t="s">
        <v>734</v>
      </c>
      <c r="O743" s="25">
        <f t="shared" si="19"/>
        <v>-1.4961240310077617E-2</v>
      </c>
    </row>
    <row r="744" spans="1:15">
      <c r="A744" s="77">
        <v>462.85212881128314</v>
      </c>
      <c r="B744" s="77">
        <v>464.1841193512812</v>
      </c>
      <c r="C744" s="77">
        <v>457.61166967946616</v>
      </c>
      <c r="D744" s="77">
        <v>460.82983660457086</v>
      </c>
      <c r="E744" s="77">
        <v>5255716.2830979265</v>
      </c>
      <c r="F744" s="77" t="s">
        <v>735</v>
      </c>
      <c r="G744" s="25">
        <f t="shared" si="18"/>
        <v>4.3883708173340086E-3</v>
      </c>
      <c r="I744" s="78">
        <v>127.01872745669998</v>
      </c>
      <c r="J744" s="78">
        <v>129.46143267064352</v>
      </c>
      <c r="K744" s="78">
        <v>124.47252190248001</v>
      </c>
      <c r="L744" s="78">
        <v>128.35014028466998</v>
      </c>
      <c r="M744" s="78">
        <v>1116810.8934830725</v>
      </c>
      <c r="N744" s="78" t="s">
        <v>735</v>
      </c>
      <c r="O744" s="25">
        <f t="shared" si="19"/>
        <v>-1.0373286893314182E-2</v>
      </c>
    </row>
    <row r="745" spans="1:15">
      <c r="A745" s="77">
        <v>459.53673629931723</v>
      </c>
      <c r="B745" s="77">
        <v>461.22846151070161</v>
      </c>
      <c r="C745" s="77">
        <v>457.61166967946616</v>
      </c>
      <c r="D745" s="77">
        <v>458.81726695654464</v>
      </c>
      <c r="E745" s="77">
        <v>7131238.0041483715</v>
      </c>
      <c r="F745" s="77" t="s">
        <v>736</v>
      </c>
      <c r="G745" s="25">
        <f t="shared" si="18"/>
        <v>1.5680956114512146E-3</v>
      </c>
      <c r="I745" s="78">
        <v>127.47548952176999</v>
      </c>
      <c r="J745" s="78">
        <v>128.60767634263502</v>
      </c>
      <c r="K745" s="78">
        <v>124.62801537144</v>
      </c>
      <c r="L745" s="78">
        <v>125.27428510180499</v>
      </c>
      <c r="M745" s="78">
        <v>1923160.3873788835</v>
      </c>
      <c r="N745" s="78" t="s">
        <v>736</v>
      </c>
      <c r="O745" s="25">
        <f t="shared" si="19"/>
        <v>1.757107947713421E-2</v>
      </c>
    </row>
    <row r="746" spans="1:15">
      <c r="A746" s="77">
        <v>464.02855841230325</v>
      </c>
      <c r="B746" s="77">
        <v>465.32165871755689</v>
      </c>
      <c r="C746" s="77">
        <v>459.62423932749232</v>
      </c>
      <c r="D746" s="77">
        <v>465.10776242646227</v>
      </c>
      <c r="E746" s="77">
        <v>5404123.7184842881</v>
      </c>
      <c r="F746" s="77" t="s">
        <v>737</v>
      </c>
      <c r="G746" s="25">
        <f t="shared" si="18"/>
        <v>-2.3203311175217234E-3</v>
      </c>
      <c r="I746" s="78">
        <v>129.80789155616998</v>
      </c>
      <c r="J746" s="78">
        <v>131.45029132206</v>
      </c>
      <c r="K746" s="78">
        <v>127.04788248212999</v>
      </c>
      <c r="L746" s="78">
        <v>127.85450485235999</v>
      </c>
      <c r="M746" s="78">
        <v>1785736.7377367436</v>
      </c>
      <c r="N746" s="78" t="s">
        <v>737</v>
      </c>
      <c r="O746" s="25">
        <f t="shared" si="19"/>
        <v>1.5278200060808711E-2</v>
      </c>
    </row>
    <row r="747" spans="1:15">
      <c r="A747" s="77">
        <v>463.45492744982243</v>
      </c>
      <c r="B747" s="77">
        <v>464.80636310719262</v>
      </c>
      <c r="C747" s="77">
        <v>462.7646257831081</v>
      </c>
      <c r="D747" s="77">
        <v>463.91188770806986</v>
      </c>
      <c r="E747" s="77">
        <v>4871945.9073708141</v>
      </c>
      <c r="F747" s="77" t="s">
        <v>738</v>
      </c>
      <c r="G747" s="25">
        <f t="shared" si="18"/>
        <v>-9.850151943830987E-4</v>
      </c>
      <c r="I747" s="78">
        <v>126.45506363171999</v>
      </c>
      <c r="J747" s="78">
        <v>126.87295232955</v>
      </c>
      <c r="K747" s="78">
        <v>123.7144912413</v>
      </c>
      <c r="L747" s="78">
        <v>124.48224024429</v>
      </c>
      <c r="M747" s="78">
        <v>1125046.8664057001</v>
      </c>
      <c r="N747" s="78" t="s">
        <v>738</v>
      </c>
      <c r="O747" s="25">
        <f t="shared" si="19"/>
        <v>1.5848231712077387E-2</v>
      </c>
    </row>
    <row r="748" spans="1:15">
      <c r="A748" s="77">
        <v>463.27019883478619</v>
      </c>
      <c r="B748" s="77">
        <v>465.05914963303167</v>
      </c>
      <c r="C748" s="77">
        <v>459.31311744953661</v>
      </c>
      <c r="D748" s="77">
        <v>459.73118747303965</v>
      </c>
      <c r="E748" s="77">
        <v>5747622.8021945069</v>
      </c>
      <c r="F748" s="77" t="s">
        <v>739</v>
      </c>
      <c r="G748" s="25">
        <f t="shared" si="18"/>
        <v>7.6980014803849084E-3</v>
      </c>
      <c r="I748" s="78">
        <v>124.15181662274999</v>
      </c>
      <c r="J748" s="78">
        <v>125.91083649036</v>
      </c>
      <c r="K748" s="78">
        <v>120.17701482246</v>
      </c>
      <c r="L748" s="78">
        <v>121.52786433404999</v>
      </c>
      <c r="M748" s="78">
        <v>1132334.1178097543</v>
      </c>
      <c r="N748" s="78" t="s">
        <v>739</v>
      </c>
      <c r="O748" s="25">
        <f t="shared" si="19"/>
        <v>2.1591363454618095E-2</v>
      </c>
    </row>
    <row r="749" spans="1:15">
      <c r="A749" s="77">
        <v>458.39919693304159</v>
      </c>
      <c r="B749" s="77">
        <v>468.12175561915853</v>
      </c>
      <c r="C749" s="77">
        <v>458.1950232006331</v>
      </c>
      <c r="D749" s="77">
        <v>467.84952397594725</v>
      </c>
      <c r="E749" s="77">
        <v>7067265.1323889922</v>
      </c>
      <c r="F749" s="77" t="s">
        <v>740</v>
      </c>
      <c r="G749" s="25">
        <f t="shared" si="18"/>
        <v>-2.0199501246882745E-2</v>
      </c>
      <c r="I749" s="78">
        <v>122.451106806</v>
      </c>
      <c r="J749" s="78">
        <v>127.78647645969001</v>
      </c>
      <c r="K749" s="78">
        <v>122.32476836247</v>
      </c>
      <c r="L749" s="78">
        <v>126.16351337741999</v>
      </c>
      <c r="M749" s="78">
        <v>2761230.3132194523</v>
      </c>
      <c r="N749" s="78" t="s">
        <v>740</v>
      </c>
      <c r="O749" s="25">
        <f t="shared" si="19"/>
        <v>-2.9425358188260642E-2</v>
      </c>
    </row>
    <row r="750" spans="1:15">
      <c r="A750" s="77">
        <v>464.11606144047835</v>
      </c>
      <c r="B750" s="77">
        <v>465.51805440301644</v>
      </c>
      <c r="C750" s="77">
        <v>462.58961972675803</v>
      </c>
      <c r="D750" s="77">
        <v>462.63823252018858</v>
      </c>
      <c r="E750" s="77">
        <v>6402442.197534428</v>
      </c>
      <c r="F750" s="77" t="s">
        <v>741</v>
      </c>
      <c r="G750" s="25">
        <f t="shared" si="18"/>
        <v>3.194351042367094E-3</v>
      </c>
      <c r="I750" s="78">
        <v>124.14209828093999</v>
      </c>
      <c r="J750" s="78">
        <v>126.42590860628999</v>
      </c>
      <c r="K750" s="78">
        <v>123.42294098699999</v>
      </c>
      <c r="L750" s="78">
        <v>123.61730782319999</v>
      </c>
      <c r="M750" s="78">
        <v>1952184.8861580638</v>
      </c>
      <c r="N750" s="78" t="s">
        <v>741</v>
      </c>
      <c r="O750" s="25">
        <f t="shared" si="19"/>
        <v>4.2452830188679513E-3</v>
      </c>
    </row>
    <row r="751" spans="1:15">
      <c r="A751" s="77">
        <v>463.69799141697536</v>
      </c>
      <c r="B751" s="77">
        <v>463.75632676909203</v>
      </c>
      <c r="C751" s="77">
        <v>461.53958338865732</v>
      </c>
      <c r="D751" s="77">
        <v>463.1146378958083</v>
      </c>
      <c r="E751" s="77">
        <v>4955302.5654445011</v>
      </c>
      <c r="F751" s="77" t="s">
        <v>742</v>
      </c>
      <c r="G751" s="25">
        <f t="shared" si="18"/>
        <v>1.259630928138078E-3</v>
      </c>
      <c r="I751" s="78">
        <v>124.90012894212001</v>
      </c>
      <c r="J751" s="78">
        <v>128.08774505580001</v>
      </c>
      <c r="K751" s="78">
        <v>124.65717039687</v>
      </c>
      <c r="L751" s="78">
        <v>127.46577117995999</v>
      </c>
      <c r="M751" s="78">
        <v>2022173.1633042861</v>
      </c>
      <c r="N751" s="78" t="s">
        <v>742</v>
      </c>
      <c r="O751" s="25">
        <f t="shared" si="19"/>
        <v>-2.0128087831655872E-2</v>
      </c>
    </row>
    <row r="752" spans="1:15">
      <c r="A752" s="77">
        <v>466.75087484441605</v>
      </c>
      <c r="B752" s="77">
        <v>468.58843843609213</v>
      </c>
      <c r="C752" s="77">
        <v>465.54527756733751</v>
      </c>
      <c r="D752" s="77">
        <v>468.08286538441405</v>
      </c>
      <c r="E752" s="77">
        <v>5897583.3266891455</v>
      </c>
      <c r="F752" s="77" t="s">
        <v>743</v>
      </c>
      <c r="G752" s="25">
        <f t="shared" si="18"/>
        <v>-2.8456297773346018E-3</v>
      </c>
      <c r="I752" s="78">
        <v>128.98183250232</v>
      </c>
      <c r="J752" s="78">
        <v>134.62818909392999</v>
      </c>
      <c r="K752" s="78">
        <v>127.62126464891999</v>
      </c>
      <c r="L752" s="78">
        <v>134.26861044696</v>
      </c>
      <c r="M752" s="78">
        <v>1301061.4616363242</v>
      </c>
      <c r="N752" s="78" t="s">
        <v>743</v>
      </c>
      <c r="O752" s="25">
        <f t="shared" si="19"/>
        <v>-3.9374638100752701E-2</v>
      </c>
    </row>
    <row r="753" spans="1:15">
      <c r="A753" s="77">
        <v>467.36339604164141</v>
      </c>
      <c r="B753" s="77">
        <v>468.78269515864076</v>
      </c>
      <c r="C753" s="77">
        <v>467.17225053787234</v>
      </c>
      <c r="D753" s="77">
        <v>467.52867953930541</v>
      </c>
      <c r="E753" s="77">
        <v>4181016.6759955171</v>
      </c>
      <c r="F753" s="77" t="s">
        <v>744</v>
      </c>
      <c r="G753" s="25">
        <f t="shared" si="18"/>
        <v>-3.5352590097115222E-4</v>
      </c>
      <c r="I753" s="78">
        <v>133.45226973491998</v>
      </c>
      <c r="J753" s="78">
        <v>136.12481373266999</v>
      </c>
      <c r="K753" s="78">
        <v>132.45128052848997</v>
      </c>
      <c r="L753" s="78">
        <v>134.77396422108001</v>
      </c>
      <c r="M753" s="78">
        <v>943662.01346853026</v>
      </c>
      <c r="N753" s="78" t="s">
        <v>744</v>
      </c>
      <c r="O753" s="25">
        <f t="shared" si="19"/>
        <v>-9.8067493510241022E-3</v>
      </c>
    </row>
    <row r="754" spans="1:15">
      <c r="A754" s="77">
        <v>467.42173139375808</v>
      </c>
      <c r="B754" s="77">
        <v>467.52867953930541</v>
      </c>
      <c r="C754" s="77">
        <v>464.20356446865338</v>
      </c>
      <c r="D754" s="77">
        <v>466.20641155799348</v>
      </c>
      <c r="E754" s="77">
        <v>5092722.1525237542</v>
      </c>
      <c r="F754" s="77" t="s">
        <v>745</v>
      </c>
      <c r="G754" s="25">
        <f t="shared" si="18"/>
        <v>2.6068278033826164E-3</v>
      </c>
      <c r="I754" s="78">
        <v>134.77396422108001</v>
      </c>
      <c r="J754" s="78">
        <v>134.77396422108001</v>
      </c>
      <c r="K754" s="78">
        <v>130.68254231907</v>
      </c>
      <c r="L754" s="78">
        <v>131.69324986730999</v>
      </c>
      <c r="M754" s="78">
        <v>979222.60670104995</v>
      </c>
      <c r="N754" s="78" t="s">
        <v>745</v>
      </c>
      <c r="O754" s="25">
        <f t="shared" si="19"/>
        <v>2.3393107519740441E-2</v>
      </c>
    </row>
    <row r="755" spans="1:15">
      <c r="A755" s="77">
        <v>463.37714698033346</v>
      </c>
      <c r="B755" s="77">
        <v>466.07029573638783</v>
      </c>
      <c r="C755" s="77">
        <v>463.21186348266946</v>
      </c>
      <c r="D755" s="77">
        <v>465.76889641711824</v>
      </c>
      <c r="E755" s="77">
        <v>8303886.1071914462</v>
      </c>
      <c r="F755" s="77" t="s">
        <v>746</v>
      </c>
      <c r="G755" s="25">
        <f t="shared" si="18"/>
        <v>-5.1350561516303461E-3</v>
      </c>
      <c r="I755" s="78">
        <v>130.0314134178</v>
      </c>
      <c r="J755" s="78">
        <v>132.03339183066001</v>
      </c>
      <c r="K755" s="78">
        <v>129.68155311263999</v>
      </c>
      <c r="L755" s="78">
        <v>130.64366895182999</v>
      </c>
      <c r="M755" s="78">
        <v>1159633.0135665399</v>
      </c>
      <c r="N755" s="78" t="s">
        <v>746</v>
      </c>
      <c r="O755" s="25">
        <f t="shared" si="19"/>
        <v>-4.6864539165364372E-3</v>
      </c>
    </row>
    <row r="756" spans="1:15">
      <c r="A756" s="77">
        <v>464.67996984427316</v>
      </c>
      <c r="B756" s="77">
        <v>465.50638733259308</v>
      </c>
      <c r="C756" s="77">
        <v>464.3007900555146</v>
      </c>
      <c r="D756" s="77">
        <v>464.47579611186472</v>
      </c>
      <c r="E756" s="77">
        <v>6254811.3067022068</v>
      </c>
      <c r="F756" s="77" t="s">
        <v>747</v>
      </c>
      <c r="G756" s="25">
        <f t="shared" si="18"/>
        <v>4.3957884160494842E-4</v>
      </c>
      <c r="I756" s="78">
        <v>130.28409030486</v>
      </c>
      <c r="J756" s="78">
        <v>133.65635491293</v>
      </c>
      <c r="K756" s="78">
        <v>129.03042421137002</v>
      </c>
      <c r="L756" s="78">
        <v>133.37452300044001</v>
      </c>
      <c r="M756" s="78">
        <v>995008.22146941966</v>
      </c>
      <c r="N756" s="78" t="s">
        <v>747</v>
      </c>
      <c r="O756" s="25">
        <f t="shared" si="19"/>
        <v>-2.3171087146604541E-2</v>
      </c>
    </row>
    <row r="757" spans="1:15">
      <c r="A757" s="77">
        <v>465.88556712135164</v>
      </c>
      <c r="B757" s="77">
        <v>466.99393881156897</v>
      </c>
      <c r="C757" s="77">
        <v>465.53555500865144</v>
      </c>
      <c r="D757" s="77">
        <v>466.55642367069373</v>
      </c>
      <c r="E757" s="77">
        <v>6049336.5891412199</v>
      </c>
      <c r="F757" s="77" t="s">
        <v>748</v>
      </c>
      <c r="G757" s="25">
        <f t="shared" si="18"/>
        <v>-1.4378894283868515E-3</v>
      </c>
      <c r="I757" s="78">
        <v>133.37452300044001</v>
      </c>
      <c r="J757" s="78">
        <v>133.61748154569</v>
      </c>
      <c r="K757" s="78">
        <v>130.094582639565</v>
      </c>
      <c r="L757" s="78">
        <v>133.16071948062</v>
      </c>
      <c r="M757" s="78">
        <v>1332684.1402792768</v>
      </c>
      <c r="N757" s="78" t="s">
        <v>748</v>
      </c>
      <c r="O757" s="25">
        <f t="shared" si="19"/>
        <v>1.6056050211648021E-3</v>
      </c>
    </row>
    <row r="758" spans="1:15">
      <c r="A758" s="77">
        <v>466.49526878835638</v>
      </c>
      <c r="B758" s="77">
        <v>468.32209663018881</v>
      </c>
      <c r="C758" s="77">
        <v>466.35958926694701</v>
      </c>
      <c r="D758" s="77">
        <v>467.72607587542649</v>
      </c>
      <c r="E758" s="77">
        <v>5205319.0685234424</v>
      </c>
      <c r="F758" s="77" t="s">
        <v>749</v>
      </c>
      <c r="G758" s="25">
        <f t="shared" si="18"/>
        <v>-2.6314698934979397E-3</v>
      </c>
      <c r="I758" s="78">
        <v>133.57860817845</v>
      </c>
      <c r="J758" s="78">
        <v>140.1286733749719</v>
      </c>
      <c r="K758" s="78">
        <v>132.57761897201999</v>
      </c>
      <c r="L758" s="78">
        <v>136.74678760851</v>
      </c>
      <c r="M758" s="78">
        <v>2044882.7987868437</v>
      </c>
      <c r="N758" s="78" t="s">
        <v>749</v>
      </c>
      <c r="O758" s="25">
        <f t="shared" si="19"/>
        <v>-2.3168218321370282E-2</v>
      </c>
    </row>
    <row r="759" spans="1:15">
      <c r="A759" s="77">
        <v>464.94464568653569</v>
      </c>
      <c r="B759" s="77">
        <v>465.20631333496794</v>
      </c>
      <c r="C759" s="77">
        <v>460.27339359230103</v>
      </c>
      <c r="D759" s="77">
        <v>460.86456864987014</v>
      </c>
      <c r="E759" s="77">
        <v>6376126.8540313253</v>
      </c>
      <c r="F759" s="77" t="s">
        <v>750</v>
      </c>
      <c r="G759" s="25">
        <f t="shared" si="18"/>
        <v>8.8530933254824529E-3</v>
      </c>
      <c r="I759" s="78">
        <v>129.43859456739</v>
      </c>
      <c r="J759" s="78">
        <v>129.53577798549</v>
      </c>
      <c r="K759" s="78">
        <v>126.09548498475</v>
      </c>
      <c r="L759" s="78">
        <v>128.94295913508</v>
      </c>
      <c r="M759" s="78">
        <v>1312421.4242882244</v>
      </c>
      <c r="N759" s="78" t="s">
        <v>750</v>
      </c>
      <c r="O759" s="25">
        <f t="shared" si="19"/>
        <v>3.8438347904732328E-3</v>
      </c>
    </row>
    <row r="760" spans="1:15">
      <c r="A760" s="77">
        <v>460.92271701618841</v>
      </c>
      <c r="B760" s="77">
        <v>461.05839653759773</v>
      </c>
      <c r="C760" s="77">
        <v>456.74572603565906</v>
      </c>
      <c r="D760" s="77">
        <v>457.6276429248195</v>
      </c>
      <c r="E760" s="77">
        <v>4695142.740651668</v>
      </c>
      <c r="F760" s="77" t="s">
        <v>751</v>
      </c>
      <c r="G760" s="25">
        <f t="shared" si="18"/>
        <v>7.2003388394747958E-3</v>
      </c>
      <c r="I760" s="78">
        <v>129.40943954195998</v>
      </c>
      <c r="J760" s="78">
        <v>131.98480012160999</v>
      </c>
      <c r="K760" s="78">
        <v>124.86611474578501</v>
      </c>
      <c r="L760" s="78">
        <v>125.24998924727998</v>
      </c>
      <c r="M760" s="78">
        <v>3143911.8521804698</v>
      </c>
      <c r="N760" s="78" t="s">
        <v>751</v>
      </c>
      <c r="O760" s="25">
        <f t="shared" si="19"/>
        <v>3.3209186840471805E-2</v>
      </c>
    </row>
    <row r="761" spans="1:15">
      <c r="A761" s="77">
        <v>458.35449750379792</v>
      </c>
      <c r="B761" s="77">
        <v>460.6116232563856</v>
      </c>
      <c r="C761" s="77">
        <v>457.91838475641089</v>
      </c>
      <c r="D761" s="77">
        <v>459.32363694243583</v>
      </c>
      <c r="E761" s="77">
        <v>4064538.9537921203</v>
      </c>
      <c r="F761" s="77" t="s">
        <v>752</v>
      </c>
      <c r="G761" s="25">
        <f t="shared" si="18"/>
        <v>-2.1099272075113529E-3</v>
      </c>
      <c r="I761" s="78">
        <v>126.47450031533998</v>
      </c>
      <c r="J761" s="78">
        <v>127.87394153598001</v>
      </c>
      <c r="K761" s="78">
        <v>122.27617665341999</v>
      </c>
      <c r="L761" s="78">
        <v>124.76407215677999</v>
      </c>
      <c r="M761" s="78">
        <v>2929121.094578994</v>
      </c>
      <c r="N761" s="78" t="s">
        <v>752</v>
      </c>
      <c r="O761" s="25">
        <f t="shared" si="19"/>
        <v>1.3709300514098688E-2</v>
      </c>
    </row>
    <row r="762" spans="1:15">
      <c r="A762" s="77">
        <v>455.50522755420246</v>
      </c>
      <c r="B762" s="77">
        <v>457.22196115580573</v>
      </c>
      <c r="C762" s="77">
        <v>454.25513459230348</v>
      </c>
      <c r="D762" s="77">
        <v>455.89288332965771</v>
      </c>
      <c r="E762" s="77">
        <v>7023846.8569261152</v>
      </c>
      <c r="F762" s="77" t="s">
        <v>753</v>
      </c>
      <c r="G762" s="25">
        <f t="shared" si="18"/>
        <v>-8.50322059480213E-4</v>
      </c>
      <c r="I762" s="78">
        <v>124.13237993913</v>
      </c>
      <c r="J762" s="78">
        <v>124.92928396755001</v>
      </c>
      <c r="K762" s="78">
        <v>122.71923585653789</v>
      </c>
      <c r="L762" s="78">
        <v>123.9088580775</v>
      </c>
      <c r="M762" s="78">
        <v>2304556.7276666923</v>
      </c>
      <c r="N762" s="78" t="s">
        <v>753</v>
      </c>
      <c r="O762" s="25">
        <f t="shared" si="19"/>
        <v>1.803921568627409E-3</v>
      </c>
    </row>
    <row r="763" spans="1:15">
      <c r="A763" s="77">
        <v>458.66462212416207</v>
      </c>
      <c r="B763" s="77">
        <v>460.65620367056295</v>
      </c>
      <c r="C763" s="77">
        <v>455.93164890720317</v>
      </c>
      <c r="D763" s="77">
        <v>460.49629566318777</v>
      </c>
      <c r="E763" s="77">
        <v>5317067.6938319039</v>
      </c>
      <c r="F763" s="77" t="s">
        <v>754</v>
      </c>
      <c r="G763" s="25">
        <f t="shared" si="18"/>
        <v>-3.9776075427225832E-3</v>
      </c>
      <c r="I763" s="78">
        <v>124.49195858609998</v>
      </c>
      <c r="J763" s="78">
        <v>129.44831290919998</v>
      </c>
      <c r="K763" s="78">
        <v>122.6454736422</v>
      </c>
      <c r="L763" s="78">
        <v>128.22380184113999</v>
      </c>
      <c r="M763" s="78">
        <v>1479455.0635382519</v>
      </c>
      <c r="N763" s="78" t="s">
        <v>754</v>
      </c>
      <c r="O763" s="25">
        <f t="shared" si="19"/>
        <v>-2.9104138244656741E-2</v>
      </c>
    </row>
    <row r="764" spans="1:15">
      <c r="A764" s="77">
        <v>459.67252714034549</v>
      </c>
      <c r="B764" s="77">
        <v>460.79672888916548</v>
      </c>
      <c r="C764" s="77">
        <v>458.30604053186602</v>
      </c>
      <c r="D764" s="77">
        <v>460.6416665789834</v>
      </c>
      <c r="E764" s="77">
        <v>3657395.2711920524</v>
      </c>
      <c r="F764" s="77" t="s">
        <v>755</v>
      </c>
      <c r="G764" s="25">
        <f t="shared" ref="G764:G827" si="20">A764/D764-1</f>
        <v>-2.1038900927815574E-3</v>
      </c>
      <c r="I764" s="78">
        <v>129.04014255318</v>
      </c>
      <c r="J764" s="78">
        <v>131.79043328541002</v>
      </c>
      <c r="K764" s="78">
        <v>127.89823739050499</v>
      </c>
      <c r="L764" s="78">
        <v>128.28211189199999</v>
      </c>
      <c r="M764" s="78">
        <v>1636094.9543510654</v>
      </c>
      <c r="N764" s="78" t="s">
        <v>755</v>
      </c>
      <c r="O764" s="25">
        <f t="shared" ref="O764:O827" si="21">I764/L764-1</f>
        <v>5.9090909090910859E-3</v>
      </c>
    </row>
    <row r="765" spans="1:15">
      <c r="A765" s="77">
        <v>460.37030753616477</v>
      </c>
      <c r="B765" s="77">
        <v>460.87426004425652</v>
      </c>
      <c r="C765" s="77">
        <v>455.07880620120181</v>
      </c>
      <c r="D765" s="77">
        <v>457.35628388200092</v>
      </c>
      <c r="E765" s="77">
        <v>4964235.0813436629</v>
      </c>
      <c r="F765" s="77" t="s">
        <v>756</v>
      </c>
      <c r="G765" s="25">
        <f t="shared" si="20"/>
        <v>6.5901000169519275E-3</v>
      </c>
      <c r="I765" s="78">
        <v>128.97211416050999</v>
      </c>
      <c r="J765" s="78">
        <v>135.02664110813998</v>
      </c>
      <c r="K765" s="78">
        <v>128.87978991331499</v>
      </c>
      <c r="L765" s="78">
        <v>135.02664110813998</v>
      </c>
      <c r="M765" s="78">
        <v>2196118.4754830105</v>
      </c>
      <c r="N765" s="78" t="s">
        <v>756</v>
      </c>
      <c r="O765" s="25">
        <f t="shared" si="21"/>
        <v>-4.4839499064344257E-2</v>
      </c>
    </row>
    <row r="766" spans="1:15">
      <c r="A766" s="77">
        <v>455.49553615981614</v>
      </c>
      <c r="B766" s="77">
        <v>455.93649460439633</v>
      </c>
      <c r="C766" s="77">
        <v>452.96608222497116</v>
      </c>
      <c r="D766" s="77">
        <v>454.72022460890577</v>
      </c>
      <c r="E766" s="77">
        <v>5493395.2615554649</v>
      </c>
      <c r="F766" s="77" t="s">
        <v>757</v>
      </c>
      <c r="G766" s="25">
        <f t="shared" si="20"/>
        <v>1.7050298380223428E-3</v>
      </c>
      <c r="I766" s="78">
        <v>135.14326120985999</v>
      </c>
      <c r="J766" s="78">
        <v>136.27058885981998</v>
      </c>
      <c r="K766" s="78">
        <v>131.70296820912</v>
      </c>
      <c r="L766" s="78">
        <v>132.46099887030002</v>
      </c>
      <c r="M766" s="78">
        <v>1381529.921718199</v>
      </c>
      <c r="N766" s="78" t="s">
        <v>757</v>
      </c>
      <c r="O766" s="25">
        <f t="shared" si="21"/>
        <v>2.0249449743213299E-2</v>
      </c>
    </row>
    <row r="767" spans="1:15">
      <c r="A767" s="77">
        <v>455.87350054088489</v>
      </c>
      <c r="B767" s="77">
        <v>461.60053313957172</v>
      </c>
      <c r="C767" s="77">
        <v>455.32109106086131</v>
      </c>
      <c r="D767" s="77">
        <v>459.14919184348099</v>
      </c>
      <c r="E767" s="77">
        <v>6485779.8056740295</v>
      </c>
      <c r="F767" s="77" t="s">
        <v>758</v>
      </c>
      <c r="G767" s="25">
        <f t="shared" si="20"/>
        <v>-7.1342634611730738E-3</v>
      </c>
      <c r="I767" s="78">
        <v>131.61550313283001</v>
      </c>
      <c r="J767" s="78">
        <v>135.90129187104</v>
      </c>
      <c r="K767" s="78">
        <v>130.49789382468001</v>
      </c>
      <c r="L767" s="78">
        <v>133.36480465862999</v>
      </c>
      <c r="M767" s="78">
        <v>1978140.9602426817</v>
      </c>
      <c r="N767" s="78" t="s">
        <v>758</v>
      </c>
      <c r="O767" s="25">
        <f t="shared" si="21"/>
        <v>-1.3116665452160392E-2</v>
      </c>
    </row>
    <row r="768" spans="1:15">
      <c r="A768" s="77">
        <v>458.65493072977569</v>
      </c>
      <c r="B768" s="77">
        <v>459.55623040770894</v>
      </c>
      <c r="C768" s="77">
        <v>456.25146492195364</v>
      </c>
      <c r="D768" s="77">
        <v>457.07523344479591</v>
      </c>
      <c r="E768" s="77">
        <v>7377475.0205695992</v>
      </c>
      <c r="F768" s="77" t="s">
        <v>759</v>
      </c>
      <c r="G768" s="25">
        <f t="shared" si="20"/>
        <v>3.4560990607044317E-3</v>
      </c>
      <c r="I768" s="78">
        <v>132.16944861599998</v>
      </c>
      <c r="J768" s="78">
        <v>134.86142929736999</v>
      </c>
      <c r="K768" s="78">
        <v>131.4891646893</v>
      </c>
      <c r="L768" s="78">
        <v>132.96635264442</v>
      </c>
      <c r="M768" s="78">
        <v>1181667.6367755788</v>
      </c>
      <c r="N768" s="78" t="s">
        <v>759</v>
      </c>
      <c r="O768" s="25">
        <f t="shared" si="21"/>
        <v>-5.993275836866041E-3</v>
      </c>
    </row>
    <row r="769" spans="1:15">
      <c r="A769" s="77">
        <v>454.1581237344958</v>
      </c>
      <c r="B769" s="77">
        <v>456.13516818931714</v>
      </c>
      <c r="C769" s="77">
        <v>452.89814555032268</v>
      </c>
      <c r="D769" s="77">
        <v>454.76868158083767</v>
      </c>
      <c r="E769" s="77">
        <v>5494616.9639780438</v>
      </c>
      <c r="F769" s="77" t="s">
        <v>760</v>
      </c>
      <c r="G769" s="25">
        <f t="shared" si="20"/>
        <v>-1.3425679275439473E-3</v>
      </c>
      <c r="I769" s="78">
        <v>131.32395287852998</v>
      </c>
      <c r="J769" s="78">
        <v>133.32593129138999</v>
      </c>
      <c r="K769" s="78">
        <v>129.61838389087501</v>
      </c>
      <c r="L769" s="78">
        <v>132.47071721211</v>
      </c>
      <c r="M769" s="78">
        <v>1214562.1373241246</v>
      </c>
      <c r="N769" s="78" t="s">
        <v>760</v>
      </c>
      <c r="O769" s="25">
        <f t="shared" si="21"/>
        <v>-8.6567383170715884E-3</v>
      </c>
    </row>
    <row r="770" spans="1:15">
      <c r="A770" s="77">
        <v>451.76434932106014</v>
      </c>
      <c r="B770" s="77">
        <v>454.8946697078606</v>
      </c>
      <c r="C770" s="77">
        <v>449.73884789430696</v>
      </c>
      <c r="D770" s="77">
        <v>454.47793974924633</v>
      </c>
      <c r="E770" s="77">
        <v>4763507.5159961935</v>
      </c>
      <c r="F770" s="77" t="s">
        <v>761</v>
      </c>
      <c r="G770" s="25">
        <f t="shared" si="20"/>
        <v>-5.9707857980596524E-3</v>
      </c>
      <c r="I770" s="78">
        <v>130.88662749708001</v>
      </c>
      <c r="J770" s="78">
        <v>133.5202009441719</v>
      </c>
      <c r="K770" s="78">
        <v>130.63395061001998</v>
      </c>
      <c r="L770" s="78">
        <v>132.36381545219999</v>
      </c>
      <c r="M770" s="78">
        <v>1473660.8651965084</v>
      </c>
      <c r="N770" s="78" t="s">
        <v>761</v>
      </c>
      <c r="O770" s="25">
        <f t="shared" si="21"/>
        <v>-1.1160058737151091E-2</v>
      </c>
    </row>
    <row r="771" spans="1:15">
      <c r="A771" s="77">
        <v>456.33868747143111</v>
      </c>
      <c r="B771" s="77">
        <v>458.01529870027468</v>
      </c>
      <c r="C771" s="77">
        <v>456.07701982299886</v>
      </c>
      <c r="D771" s="77">
        <v>456.08671121738524</v>
      </c>
      <c r="E771" s="77">
        <v>4096667.4574507498</v>
      </c>
      <c r="F771" s="77" t="s">
        <v>762</v>
      </c>
      <c r="G771" s="25">
        <f t="shared" si="20"/>
        <v>5.5247444805672785E-4</v>
      </c>
      <c r="I771" s="78">
        <v>133.82156672369999</v>
      </c>
      <c r="J771" s="78">
        <v>136.83425268479999</v>
      </c>
      <c r="K771" s="78">
        <v>132.09170188151998</v>
      </c>
      <c r="L771" s="78">
        <v>136.29974388525</v>
      </c>
      <c r="M771" s="78">
        <v>1519165.5416779378</v>
      </c>
      <c r="N771" s="78" t="s">
        <v>762</v>
      </c>
      <c r="O771" s="25">
        <f t="shared" si="21"/>
        <v>-1.8181818181818188E-2</v>
      </c>
    </row>
    <row r="772" spans="1:15">
      <c r="A772" s="77">
        <v>456.88140555706832</v>
      </c>
      <c r="B772" s="77">
        <v>457.21091296620517</v>
      </c>
      <c r="C772" s="77">
        <v>453.00484780251668</v>
      </c>
      <c r="D772" s="77">
        <v>453.39250357797187</v>
      </c>
      <c r="E772" s="77">
        <v>4993523.9523444073</v>
      </c>
      <c r="F772" s="77" t="s">
        <v>763</v>
      </c>
      <c r="G772" s="25">
        <f t="shared" si="20"/>
        <v>7.6951029220015954E-3</v>
      </c>
      <c r="I772" s="78">
        <v>136.54270243049999</v>
      </c>
      <c r="J772" s="78">
        <v>138.68073762869997</v>
      </c>
      <c r="K772" s="78">
        <v>131.65437650006999</v>
      </c>
      <c r="L772" s="78">
        <v>135.27931799519999</v>
      </c>
      <c r="M772" s="78">
        <v>1953763.3447366883</v>
      </c>
      <c r="N772" s="78" t="s">
        <v>763</v>
      </c>
      <c r="O772" s="25">
        <f t="shared" si="21"/>
        <v>9.339080459770166E-3</v>
      </c>
    </row>
    <row r="773" spans="1:15">
      <c r="A773" s="77">
        <v>452.52027808319775</v>
      </c>
      <c r="B773" s="77">
        <v>454.03213560747287</v>
      </c>
      <c r="C773" s="77">
        <v>450.13619506414852</v>
      </c>
      <c r="D773" s="77">
        <v>452.55904366074327</v>
      </c>
      <c r="E773" s="77">
        <v>7566425.1269210316</v>
      </c>
      <c r="F773" s="77" t="s">
        <v>764</v>
      </c>
      <c r="G773" s="25">
        <f t="shared" si="20"/>
        <v>-8.5658607619332194E-5</v>
      </c>
      <c r="I773" s="78">
        <v>135.89157352923002</v>
      </c>
      <c r="J773" s="78">
        <v>141.96553716048001</v>
      </c>
      <c r="K773" s="78">
        <v>135.84298182018</v>
      </c>
      <c r="L773" s="78">
        <v>139.91496703856998</v>
      </c>
      <c r="M773" s="78">
        <v>1261834.6050950435</v>
      </c>
      <c r="N773" s="78" t="s">
        <v>764</v>
      </c>
      <c r="O773" s="25">
        <f t="shared" si="21"/>
        <v>-2.8755990831422995E-2</v>
      </c>
    </row>
    <row r="774" spans="1:15">
      <c r="A774" s="77">
        <v>450.85335824874051</v>
      </c>
      <c r="B774" s="77">
        <v>451.45422470069605</v>
      </c>
      <c r="C774" s="77">
        <v>449.78730486623886</v>
      </c>
      <c r="D774" s="77">
        <v>450.15557785292128</v>
      </c>
      <c r="E774" s="77">
        <v>2889782.3041193672</v>
      </c>
      <c r="F774" s="77" t="s">
        <v>765</v>
      </c>
      <c r="G774" s="25">
        <f t="shared" si="20"/>
        <v>1.550087192404348E-3</v>
      </c>
      <c r="I774" s="78">
        <v>137.00918283738</v>
      </c>
      <c r="J774" s="78">
        <v>139.13749969377</v>
      </c>
      <c r="K774" s="78">
        <v>134.22973707972</v>
      </c>
      <c r="L774" s="78">
        <v>134.42410391592</v>
      </c>
      <c r="M774" s="78">
        <v>1215162.0339025718</v>
      </c>
      <c r="N774" s="78" t="s">
        <v>765</v>
      </c>
      <c r="O774" s="25">
        <f t="shared" si="21"/>
        <v>1.9230769230769162E-2</v>
      </c>
    </row>
    <row r="775" spans="1:15">
      <c r="A775" s="77">
        <v>451.55113864455984</v>
      </c>
      <c r="B775" s="77">
        <v>451.73527513790106</v>
      </c>
      <c r="C775" s="77">
        <v>449.59347697851132</v>
      </c>
      <c r="D775" s="77">
        <v>451.33792796805949</v>
      </c>
      <c r="E775" s="77">
        <v>3701162.9668495688</v>
      </c>
      <c r="F775" s="77" t="s">
        <v>766</v>
      </c>
      <c r="G775" s="25">
        <f t="shared" si="20"/>
        <v>4.7239698524825791E-4</v>
      </c>
      <c r="I775" s="78">
        <v>135.82354513656</v>
      </c>
      <c r="J775" s="78">
        <v>136.10537704905002</v>
      </c>
      <c r="K775" s="78">
        <v>130.99352925699</v>
      </c>
      <c r="L775" s="78">
        <v>133.17043782242999</v>
      </c>
      <c r="M775" s="78">
        <v>1361185.9161393296</v>
      </c>
      <c r="N775" s="78" t="s">
        <v>766</v>
      </c>
      <c r="O775" s="25">
        <f t="shared" si="21"/>
        <v>1.99226446763483E-2</v>
      </c>
    </row>
    <row r="776" spans="1:15">
      <c r="A776" s="77">
        <v>450.71767872733125</v>
      </c>
      <c r="B776" s="77">
        <v>453.15991011269875</v>
      </c>
      <c r="C776" s="77">
        <v>450.59169060030831</v>
      </c>
      <c r="D776" s="77">
        <v>452.77225433724362</v>
      </c>
      <c r="E776" s="77">
        <v>3560688.8569615851</v>
      </c>
      <c r="F776" s="77" t="s">
        <v>767</v>
      </c>
      <c r="G776" s="25">
        <f t="shared" si="20"/>
        <v>-4.5377683597680463E-3</v>
      </c>
      <c r="I776" s="78">
        <v>133.11212777156999</v>
      </c>
      <c r="J776" s="78">
        <v>135.72636171846</v>
      </c>
      <c r="K776" s="78">
        <v>131.19761443499999</v>
      </c>
      <c r="L776" s="78">
        <v>131.20733277680998</v>
      </c>
      <c r="M776" s="78">
        <v>2108316.4598014895</v>
      </c>
      <c r="N776" s="78" t="s">
        <v>767</v>
      </c>
      <c r="O776" s="25">
        <f t="shared" si="21"/>
        <v>1.4517443152359144E-2</v>
      </c>
    </row>
    <row r="777" spans="1:15">
      <c r="A777" s="77">
        <v>452.37490716740206</v>
      </c>
      <c r="B777" s="77">
        <v>454.40040859415529</v>
      </c>
      <c r="C777" s="77">
        <v>451.70687935234895</v>
      </c>
      <c r="D777" s="77">
        <v>453.64447983201768</v>
      </c>
      <c r="E777" s="77">
        <v>4179605.9870321793</v>
      </c>
      <c r="F777" s="77" t="s">
        <v>768</v>
      </c>
      <c r="G777" s="25">
        <f t="shared" si="20"/>
        <v>-2.7986071054710848E-3</v>
      </c>
      <c r="I777" s="78">
        <v>129.25394607300001</v>
      </c>
      <c r="J777" s="78">
        <v>132.76226746641001</v>
      </c>
      <c r="K777" s="78">
        <v>129.16648099670999</v>
      </c>
      <c r="L777" s="78">
        <v>131.94592675436999</v>
      </c>
      <c r="M777" s="78">
        <v>1360252.6293526201</v>
      </c>
      <c r="N777" s="78" t="s">
        <v>768</v>
      </c>
      <c r="O777" s="25">
        <f t="shared" si="21"/>
        <v>-2.0402150696029908E-2</v>
      </c>
    </row>
    <row r="778" spans="1:15">
      <c r="A778" s="77">
        <v>452.17138788528808</v>
      </c>
      <c r="B778" s="77">
        <v>452.90793385865288</v>
      </c>
      <c r="C778" s="77">
        <v>448.04769957388379</v>
      </c>
      <c r="D778" s="77">
        <v>448.92477076585112</v>
      </c>
      <c r="E778" s="77">
        <v>4466370.7072778028</v>
      </c>
      <c r="F778" s="77" t="s">
        <v>769</v>
      </c>
      <c r="G778" s="25">
        <f t="shared" si="20"/>
        <v>7.2319848020379052E-3</v>
      </c>
      <c r="I778" s="78">
        <v>131.73212323455002</v>
      </c>
      <c r="J778" s="78">
        <v>133.53973481121</v>
      </c>
      <c r="K778" s="78">
        <v>130.37155538114999</v>
      </c>
      <c r="L778" s="78">
        <v>133.47170641854001</v>
      </c>
      <c r="M778" s="78">
        <v>2160964.3301895759</v>
      </c>
      <c r="N778" s="78" t="s">
        <v>769</v>
      </c>
      <c r="O778" s="25">
        <f t="shared" si="21"/>
        <v>-1.3033347895733183E-2</v>
      </c>
    </row>
    <row r="779" spans="1:15">
      <c r="A779" s="77">
        <v>442.86764927436423</v>
      </c>
      <c r="B779" s="77">
        <v>443.01302019015986</v>
      </c>
      <c r="C779" s="77">
        <v>439.60164936615445</v>
      </c>
      <c r="D779" s="77">
        <v>441.26856920061164</v>
      </c>
      <c r="E779" s="77">
        <v>4357554.5805208338</v>
      </c>
      <c r="F779" s="77" t="s">
        <v>770</v>
      </c>
      <c r="G779" s="25">
        <f t="shared" si="20"/>
        <v>3.6238250021962681E-3</v>
      </c>
      <c r="I779" s="78">
        <v>132.56790063021</v>
      </c>
      <c r="J779" s="78">
        <v>135.22100794433999</v>
      </c>
      <c r="K779" s="78">
        <v>130.09944181047001</v>
      </c>
      <c r="L779" s="78">
        <v>133.62719988749998</v>
      </c>
      <c r="M779" s="78">
        <v>1574247.9837720382</v>
      </c>
      <c r="N779" s="78" t="s">
        <v>770</v>
      </c>
      <c r="O779" s="25">
        <f t="shared" si="21"/>
        <v>-7.9272727272725607E-3</v>
      </c>
    </row>
    <row r="780" spans="1:15">
      <c r="A780" s="77">
        <v>442.42184513259076</v>
      </c>
      <c r="B780" s="77">
        <v>443.9240112624795</v>
      </c>
      <c r="C780" s="77">
        <v>440.4060351002239</v>
      </c>
      <c r="D780" s="77">
        <v>443.32314481052401</v>
      </c>
      <c r="E780" s="77">
        <v>5475769.3149486408</v>
      </c>
      <c r="F780" s="77" t="s">
        <v>771</v>
      </c>
      <c r="G780" s="25">
        <f t="shared" si="20"/>
        <v>-2.0330535152150997E-3</v>
      </c>
      <c r="I780" s="78">
        <v>136.10537704905002</v>
      </c>
      <c r="J780" s="78">
        <v>138.87510446490001</v>
      </c>
      <c r="K780" s="78">
        <v>134.69621748659998</v>
      </c>
      <c r="L780" s="78">
        <v>137.72834013131998</v>
      </c>
      <c r="M780" s="78">
        <v>1402672.4174254991</v>
      </c>
      <c r="N780" s="78" t="s">
        <v>771</v>
      </c>
      <c r="O780" s="25">
        <f t="shared" si="21"/>
        <v>-1.1783799040360976E-2</v>
      </c>
    </row>
    <row r="781" spans="1:15">
      <c r="A781" s="77">
        <v>444.86407651795827</v>
      </c>
      <c r="B781" s="77">
        <v>447.88779156650855</v>
      </c>
      <c r="C781" s="77">
        <v>444.2535186716164</v>
      </c>
      <c r="D781" s="77">
        <v>446.85081236716599</v>
      </c>
      <c r="E781" s="77">
        <v>5703919.1468353309</v>
      </c>
      <c r="F781" s="77" t="s">
        <v>772</v>
      </c>
      <c r="G781" s="25">
        <f t="shared" si="20"/>
        <v>-4.4460831092218989E-3</v>
      </c>
      <c r="I781" s="78">
        <v>139.37073989721</v>
      </c>
      <c r="J781" s="78">
        <v>143.10258315224999</v>
      </c>
      <c r="K781" s="78">
        <v>138.68073762869997</v>
      </c>
      <c r="L781" s="78">
        <v>140.10933387476999</v>
      </c>
      <c r="M781" s="78">
        <v>1932516.9218348372</v>
      </c>
      <c r="N781" s="78" t="s">
        <v>772</v>
      </c>
      <c r="O781" s="25">
        <f t="shared" si="21"/>
        <v>-5.2715544149267712E-3</v>
      </c>
    </row>
    <row r="782" spans="1:15">
      <c r="A782" s="77">
        <v>447.15124559314376</v>
      </c>
      <c r="B782" s="77">
        <v>447.29661650893945</v>
      </c>
      <c r="C782" s="77">
        <v>444.28259285477554</v>
      </c>
      <c r="D782" s="77">
        <v>444.73808839093533</v>
      </c>
      <c r="E782" s="77">
        <v>5877081.0194301177</v>
      </c>
      <c r="F782" s="77" t="s">
        <v>773</v>
      </c>
      <c r="G782" s="25">
        <f t="shared" si="20"/>
        <v>5.4260187404664428E-3</v>
      </c>
      <c r="I782" s="78">
        <v>141.95581881867</v>
      </c>
      <c r="J782" s="78">
        <v>142.859624607</v>
      </c>
      <c r="K782" s="78">
        <v>137.028619521</v>
      </c>
      <c r="L782" s="78">
        <v>138.16566551276998</v>
      </c>
      <c r="M782" s="78">
        <v>1511750.6964904747</v>
      </c>
      <c r="N782" s="78" t="s">
        <v>773</v>
      </c>
      <c r="O782" s="25">
        <f t="shared" si="21"/>
        <v>2.7431947668284495E-2</v>
      </c>
    </row>
    <row r="783" spans="1:15">
      <c r="A783" s="77">
        <v>444.14691333336623</v>
      </c>
      <c r="B783" s="77">
        <v>444.51518632004866</v>
      </c>
      <c r="C783" s="77">
        <v>440.37696091706476</v>
      </c>
      <c r="D783" s="77">
        <v>442.4848391961022</v>
      </c>
      <c r="E783" s="77">
        <v>5803095.793835775</v>
      </c>
      <c r="F783" s="77" t="s">
        <v>774</v>
      </c>
      <c r="G783" s="25">
        <f t="shared" si="20"/>
        <v>3.7562284400154411E-3</v>
      </c>
      <c r="I783" s="78">
        <v>136.77594263393999</v>
      </c>
      <c r="J783" s="78">
        <v>136.98002781194998</v>
      </c>
      <c r="K783" s="78">
        <v>130.24521693762</v>
      </c>
      <c r="L783" s="78">
        <v>131.21705111861999</v>
      </c>
      <c r="M783" s="78">
        <v>1785521.6804727721</v>
      </c>
      <c r="N783" s="78" t="s">
        <v>774</v>
      </c>
      <c r="O783" s="25">
        <f t="shared" si="21"/>
        <v>4.2364094208265479E-2</v>
      </c>
    </row>
    <row r="784" spans="1:15">
      <c r="A784" s="77">
        <v>439.9602309584505</v>
      </c>
      <c r="B784" s="77">
        <v>441.63684218729406</v>
      </c>
      <c r="C784" s="77">
        <v>437.07704112850269</v>
      </c>
      <c r="D784" s="77">
        <v>440.4544920721558</v>
      </c>
      <c r="E784" s="77">
        <v>8411835.9804423042</v>
      </c>
      <c r="F784" s="77" t="s">
        <v>775</v>
      </c>
      <c r="G784" s="25">
        <f t="shared" si="20"/>
        <v>-1.1221615912690996E-3</v>
      </c>
      <c r="I784" s="78">
        <v>129.97310336693999</v>
      </c>
      <c r="J784" s="78">
        <v>134.07424361075999</v>
      </c>
      <c r="K784" s="78">
        <v>125.97886488302998</v>
      </c>
      <c r="L784" s="78">
        <v>132.64564736469001</v>
      </c>
      <c r="M784" s="78">
        <v>2387316.7309393082</v>
      </c>
      <c r="N784" s="78" t="s">
        <v>775</v>
      </c>
      <c r="O784" s="25">
        <f t="shared" si="21"/>
        <v>-2.0147996190197137E-2</v>
      </c>
    </row>
    <row r="785" spans="1:15">
      <c r="A785" s="77">
        <v>446.24994591521045</v>
      </c>
      <c r="B785" s="77">
        <v>448.4595838353049</v>
      </c>
      <c r="C785" s="77">
        <v>445.5618569137776</v>
      </c>
      <c r="D785" s="77">
        <v>446.3953168310062</v>
      </c>
      <c r="E785" s="77">
        <v>4709573.068675111</v>
      </c>
      <c r="F785" s="77" t="s">
        <v>776</v>
      </c>
      <c r="G785" s="25">
        <f t="shared" si="20"/>
        <v>-3.2565510952886623E-4</v>
      </c>
      <c r="I785" s="78">
        <v>136.01791197276</v>
      </c>
      <c r="J785" s="78">
        <v>136.36777227791998</v>
      </c>
      <c r="K785" s="78">
        <v>131.49888303110998</v>
      </c>
      <c r="L785" s="78">
        <v>133.95762350903999</v>
      </c>
      <c r="M785" s="78">
        <v>2678367.4117344101</v>
      </c>
      <c r="N785" s="78" t="s">
        <v>776</v>
      </c>
      <c r="O785" s="25">
        <f t="shared" si="21"/>
        <v>1.5380150899593881E-2</v>
      </c>
    </row>
    <row r="786" spans="1:15">
      <c r="A786" s="77">
        <v>446.45346519732448</v>
      </c>
      <c r="B786" s="77">
        <v>446.80235539523409</v>
      </c>
      <c r="C786" s="77">
        <v>444.03061660072967</v>
      </c>
      <c r="D786" s="77">
        <v>444.38919819302572</v>
      </c>
      <c r="E786" s="77">
        <v>4130049.6506730891</v>
      </c>
      <c r="F786" s="77" t="s">
        <v>777</v>
      </c>
      <c r="G786" s="25">
        <f t="shared" si="20"/>
        <v>4.6451781742051779E-3</v>
      </c>
      <c r="I786" s="78">
        <v>133.95762350903999</v>
      </c>
      <c r="J786" s="78">
        <v>143.53981135028189</v>
      </c>
      <c r="K786" s="78">
        <v>131.4891646893</v>
      </c>
      <c r="L786" s="78">
        <v>139.70116351875001</v>
      </c>
      <c r="M786" s="78">
        <v>3835936.2871596715</v>
      </c>
      <c r="N786" s="78" t="s">
        <v>777</v>
      </c>
      <c r="O786" s="25">
        <f t="shared" si="21"/>
        <v>-4.1113043478260947E-2</v>
      </c>
    </row>
    <row r="787" spans="1:15">
      <c r="A787" s="77">
        <v>443.93370265686588</v>
      </c>
      <c r="B787" s="77">
        <v>444.18567891091175</v>
      </c>
      <c r="C787" s="77">
        <v>442.92579764068245</v>
      </c>
      <c r="D787" s="77">
        <v>443.68172640282006</v>
      </c>
      <c r="E787" s="77">
        <v>4317843.0607274687</v>
      </c>
      <c r="F787" s="77" t="s">
        <v>778</v>
      </c>
      <c r="G787" s="25">
        <f t="shared" si="20"/>
        <v>5.6792119001314312E-4</v>
      </c>
      <c r="I787" s="78">
        <v>139.29299316273</v>
      </c>
      <c r="J787" s="78">
        <v>140.77018111785</v>
      </c>
      <c r="K787" s="78">
        <v>135.26959965339</v>
      </c>
      <c r="L787" s="78">
        <v>138.45721576706998</v>
      </c>
      <c r="M787" s="78">
        <v>2505989.2393309432</v>
      </c>
      <c r="N787" s="78" t="s">
        <v>778</v>
      </c>
      <c r="O787" s="25">
        <f t="shared" si="21"/>
        <v>6.0363585316207669E-3</v>
      </c>
    </row>
    <row r="788" spans="1:15">
      <c r="A788" s="77">
        <v>443.63326943088811</v>
      </c>
      <c r="B788" s="77">
        <v>444.04030799511605</v>
      </c>
      <c r="C788" s="77">
        <v>441.22011222867974</v>
      </c>
      <c r="D788" s="77">
        <v>442.07295493468109</v>
      </c>
      <c r="E788" s="77">
        <v>6978784.1979743959</v>
      </c>
      <c r="F788" s="77" t="s">
        <v>779</v>
      </c>
      <c r="G788" s="25">
        <f t="shared" si="20"/>
        <v>3.5295407212538876E-3</v>
      </c>
      <c r="I788" s="78">
        <v>138.91397783214001</v>
      </c>
      <c r="J788" s="78">
        <v>141.00342132129001</v>
      </c>
      <c r="K788" s="78">
        <v>135.96932026370999</v>
      </c>
      <c r="L788" s="78">
        <v>141.00342132129001</v>
      </c>
      <c r="M788" s="78">
        <v>1765490.4854596795</v>
      </c>
      <c r="N788" s="78" t="s">
        <v>779</v>
      </c>
      <c r="O788" s="25">
        <f t="shared" si="21"/>
        <v>-1.4818388586394615E-2</v>
      </c>
    </row>
    <row r="789" spans="1:15">
      <c r="A789" s="77">
        <v>440.01837932476872</v>
      </c>
      <c r="B789" s="77">
        <v>440.27035557881464</v>
      </c>
      <c r="C789" s="77">
        <v>438.25454554644773</v>
      </c>
      <c r="D789" s="77">
        <v>439.58226657738169</v>
      </c>
      <c r="E789" s="77">
        <v>4523189.1565170493</v>
      </c>
      <c r="F789" s="77" t="s">
        <v>780</v>
      </c>
      <c r="G789" s="25">
        <f t="shared" si="20"/>
        <v>9.9210723576881321E-4</v>
      </c>
      <c r="I789" s="78">
        <v>140.80905448508997</v>
      </c>
      <c r="J789" s="78">
        <v>142.00441052772001</v>
      </c>
      <c r="K789" s="78">
        <v>137.23270469901001</v>
      </c>
      <c r="L789" s="78">
        <v>138.09763712009999</v>
      </c>
      <c r="M789" s="78">
        <v>1817608.4300537687</v>
      </c>
      <c r="N789" s="78" t="s">
        <v>780</v>
      </c>
      <c r="O789" s="25">
        <f t="shared" si="21"/>
        <v>1.9634060520759888E-2</v>
      </c>
    </row>
    <row r="790" spans="1:15">
      <c r="A790" s="77">
        <v>438.6518927162893</v>
      </c>
      <c r="B790" s="77">
        <v>440.13467605740527</v>
      </c>
      <c r="C790" s="77">
        <v>436.6360826839225</v>
      </c>
      <c r="D790" s="77">
        <v>439.72763749317738</v>
      </c>
      <c r="E790" s="77">
        <v>7328003.2953580189</v>
      </c>
      <c r="F790" s="77" t="s">
        <v>781</v>
      </c>
      <c r="G790" s="25">
        <f t="shared" si="20"/>
        <v>-2.4463888215459084E-3</v>
      </c>
      <c r="I790" s="78">
        <v>138.22397556362998</v>
      </c>
      <c r="J790" s="78">
        <v>139.23468311187</v>
      </c>
      <c r="K790" s="78">
        <v>137.35904314254</v>
      </c>
      <c r="L790" s="78">
        <v>138.87510446490001</v>
      </c>
      <c r="M790" s="78">
        <v>1340434.4336392507</v>
      </c>
      <c r="N790" s="78" t="s">
        <v>781</v>
      </c>
      <c r="O790" s="25">
        <f t="shared" si="21"/>
        <v>-4.6885934219735859E-3</v>
      </c>
    </row>
    <row r="791" spans="1:15">
      <c r="A791" s="77">
        <v>440.26066418442821</v>
      </c>
      <c r="B791" s="77">
        <v>441.8112872862489</v>
      </c>
      <c r="C791" s="77">
        <v>435.81231416108022</v>
      </c>
      <c r="D791" s="77">
        <v>436.12243878144437</v>
      </c>
      <c r="E791" s="77">
        <v>6452613.2676935131</v>
      </c>
      <c r="F791" s="77" t="s">
        <v>782</v>
      </c>
      <c r="G791" s="25">
        <f t="shared" si="20"/>
        <v>9.488678029377029E-3</v>
      </c>
      <c r="I791" s="78">
        <v>140.14820724201002</v>
      </c>
      <c r="J791" s="78">
        <v>140.95482961223999</v>
      </c>
      <c r="K791" s="78">
        <v>137.57284666236001</v>
      </c>
      <c r="L791" s="78">
        <v>139.81778362047001</v>
      </c>
      <c r="M791" s="78">
        <v>1191429.5901884933</v>
      </c>
      <c r="N791" s="78" t="s">
        <v>782</v>
      </c>
      <c r="O791" s="25">
        <f t="shared" si="21"/>
        <v>2.3632445958157167E-3</v>
      </c>
    </row>
    <row r="792" spans="1:15">
      <c r="A792" s="77">
        <v>435.78323997792114</v>
      </c>
      <c r="B792" s="77">
        <v>435.78323997792114</v>
      </c>
      <c r="C792" s="77">
        <v>430.92804521823291</v>
      </c>
      <c r="D792" s="77">
        <v>431.60624899739173</v>
      </c>
      <c r="E792" s="77">
        <v>6333825.4076495552</v>
      </c>
      <c r="F792" s="77" t="s">
        <v>783</v>
      </c>
      <c r="G792" s="25">
        <f t="shared" si="20"/>
        <v>9.6777815201527506E-3</v>
      </c>
      <c r="I792" s="78">
        <v>141.63511353894</v>
      </c>
      <c r="J792" s="78">
        <v>141.81976203332999</v>
      </c>
      <c r="K792" s="78">
        <v>138.97228788300001</v>
      </c>
      <c r="L792" s="78">
        <v>139.64285346789001</v>
      </c>
      <c r="M792" s="78">
        <v>1627237.476225381</v>
      </c>
      <c r="N792" s="78" t="s">
        <v>783</v>
      </c>
      <c r="O792" s="25">
        <f t="shared" si="21"/>
        <v>1.4266824413668333E-2</v>
      </c>
    </row>
    <row r="793" spans="1:15">
      <c r="A793" s="77">
        <v>430.1234656562757</v>
      </c>
      <c r="B793" s="77">
        <v>435.59425778738671</v>
      </c>
      <c r="C793" s="77">
        <v>430.0556258955711</v>
      </c>
      <c r="D793" s="77">
        <v>435.1823735259656</v>
      </c>
      <c r="E793" s="77">
        <v>7334386.2777786851</v>
      </c>
      <c r="F793" s="77" t="s">
        <v>784</v>
      </c>
      <c r="G793" s="25">
        <f t="shared" si="20"/>
        <v>-1.1624799572421241E-2</v>
      </c>
      <c r="I793" s="78">
        <v>138.98200622480999</v>
      </c>
      <c r="J793" s="78">
        <v>144.01610728238998</v>
      </c>
      <c r="K793" s="78">
        <v>138.44749742526</v>
      </c>
      <c r="L793" s="78">
        <v>142.35427083287999</v>
      </c>
      <c r="M793" s="78">
        <v>2036327.8414056934</v>
      </c>
      <c r="N793" s="78" t="s">
        <v>784</v>
      </c>
      <c r="O793" s="25">
        <f t="shared" si="21"/>
        <v>-2.3689240851993421E-2</v>
      </c>
    </row>
    <row r="794" spans="1:15">
      <c r="A794" s="77">
        <v>437.24664053026436</v>
      </c>
      <c r="B794" s="77">
        <v>437.8668897709926</v>
      </c>
      <c r="C794" s="77">
        <v>436.53916874005864</v>
      </c>
      <c r="D794" s="77">
        <v>436.92682451551383</v>
      </c>
      <c r="E794" s="77">
        <v>3518537.0278528505</v>
      </c>
      <c r="F794" s="77" t="s">
        <v>785</v>
      </c>
      <c r="G794" s="25">
        <f t="shared" si="20"/>
        <v>7.3196699494282313E-4</v>
      </c>
      <c r="I794" s="78">
        <v>143.05399144319998</v>
      </c>
      <c r="J794" s="78">
        <v>143.78286707894998</v>
      </c>
      <c r="K794" s="78">
        <v>140.58553262345998</v>
      </c>
      <c r="L794" s="78">
        <v>140.58553262345998</v>
      </c>
      <c r="M794" s="78">
        <v>1499969.8801497496</v>
      </c>
      <c r="N794" s="78" t="s">
        <v>785</v>
      </c>
      <c r="O794" s="25">
        <f t="shared" si="21"/>
        <v>1.7558412830084302E-2</v>
      </c>
    </row>
    <row r="795" spans="1:15">
      <c r="A795" s="77">
        <v>437.55676515062845</v>
      </c>
      <c r="B795" s="77">
        <v>437.67286805537731</v>
      </c>
      <c r="C795" s="77">
        <v>433.89458103990358</v>
      </c>
      <c r="D795" s="77">
        <v>434.39737058066891</v>
      </c>
      <c r="E795" s="77">
        <v>4687923.9651885284</v>
      </c>
      <c r="F795" s="77" t="s">
        <v>786</v>
      </c>
      <c r="G795" s="25">
        <f t="shared" si="20"/>
        <v>7.2730517814514339E-3</v>
      </c>
      <c r="I795" s="78">
        <v>142.58751103632</v>
      </c>
      <c r="J795" s="78">
        <v>142.74300450528</v>
      </c>
      <c r="K795" s="78">
        <v>135.4439467054614</v>
      </c>
      <c r="L795" s="78">
        <v>136.99946449556998</v>
      </c>
      <c r="M795" s="78">
        <v>1459345.6658837153</v>
      </c>
      <c r="N795" s="78" t="s">
        <v>786</v>
      </c>
      <c r="O795" s="25">
        <f t="shared" si="21"/>
        <v>4.0788820316379537E-2</v>
      </c>
    </row>
    <row r="796" spans="1:15">
      <c r="A796" s="77">
        <v>434.39737058066891</v>
      </c>
      <c r="B796" s="77">
        <v>435.63786906212539</v>
      </c>
      <c r="C796" s="77">
        <v>433.36039138132634</v>
      </c>
      <c r="D796" s="77">
        <v>434.27138245364597</v>
      </c>
      <c r="E796" s="77">
        <v>6607947.9842453236</v>
      </c>
      <c r="F796" s="77" t="s">
        <v>787</v>
      </c>
      <c r="G796" s="25">
        <f t="shared" si="20"/>
        <v>2.9011381388088786E-4</v>
      </c>
      <c r="I796" s="78">
        <v>136.66904087403</v>
      </c>
      <c r="J796" s="78">
        <v>141.37271831006998</v>
      </c>
      <c r="K796" s="78">
        <v>136.19284212533998</v>
      </c>
      <c r="L796" s="78">
        <v>141.08116805576998</v>
      </c>
      <c r="M796" s="78">
        <v>2108124.0401442517</v>
      </c>
      <c r="N796" s="78" t="s">
        <v>787</v>
      </c>
      <c r="O796" s="25">
        <f t="shared" si="21"/>
        <v>-3.1273679134807275E-2</v>
      </c>
    </row>
    <row r="797" spans="1:15">
      <c r="A797" s="77">
        <v>434.6590382291011</v>
      </c>
      <c r="B797" s="77">
        <v>434.91101448314697</v>
      </c>
      <c r="C797" s="77">
        <v>432.34279497075653</v>
      </c>
      <c r="D797" s="77">
        <v>434.31014803119149</v>
      </c>
      <c r="E797" s="77">
        <v>4299747.625436292</v>
      </c>
      <c r="F797" s="77" t="s">
        <v>788</v>
      </c>
      <c r="G797" s="25">
        <f t="shared" si="20"/>
        <v>8.033203909492137E-4</v>
      </c>
      <c r="I797" s="78">
        <v>138.73904767955997</v>
      </c>
      <c r="J797" s="78">
        <v>140.74083172558377</v>
      </c>
      <c r="K797" s="78">
        <v>135.69720669302998</v>
      </c>
      <c r="L797" s="78">
        <v>139.64285346789001</v>
      </c>
      <c r="M797" s="78">
        <v>1482591.4010530156</v>
      </c>
      <c r="N797" s="78" t="s">
        <v>788</v>
      </c>
      <c r="O797" s="25">
        <f t="shared" si="21"/>
        <v>-6.4722666852253807E-3</v>
      </c>
    </row>
    <row r="798" spans="1:15">
      <c r="A798" s="77">
        <v>432.22649823811997</v>
      </c>
      <c r="B798" s="77">
        <v>435.32735678598578</v>
      </c>
      <c r="C798" s="77">
        <v>431.99390477284686</v>
      </c>
      <c r="D798" s="77">
        <v>434.48459313014632</v>
      </c>
      <c r="E798" s="77">
        <v>4713670.518269754</v>
      </c>
      <c r="F798" s="77" t="s">
        <v>789</v>
      </c>
      <c r="G798" s="25">
        <f t="shared" si="20"/>
        <v>-5.1971805852962794E-3</v>
      </c>
      <c r="I798" s="78">
        <v>137.03833786280998</v>
      </c>
      <c r="J798" s="78">
        <v>138.4863707925</v>
      </c>
      <c r="K798" s="78">
        <v>135.9596019219</v>
      </c>
      <c r="L798" s="78">
        <v>138.4863707925</v>
      </c>
      <c r="M798" s="78">
        <v>2177782.0140285846</v>
      </c>
      <c r="N798" s="78" t="s">
        <v>789</v>
      </c>
      <c r="O798" s="25">
        <f t="shared" si="21"/>
        <v>-1.0456140350877274E-2</v>
      </c>
    </row>
    <row r="799" spans="1:15">
      <c r="A799" s="77">
        <v>431.86791664582398</v>
      </c>
      <c r="B799" s="77">
        <v>432.06174453355152</v>
      </c>
      <c r="C799" s="77">
        <v>430.08470007873018</v>
      </c>
      <c r="D799" s="77">
        <v>431.10229648929999</v>
      </c>
      <c r="E799" s="77">
        <v>3355127.1059301812</v>
      </c>
      <c r="F799" s="77" t="s">
        <v>790</v>
      </c>
      <c r="G799" s="25">
        <f t="shared" si="20"/>
        <v>1.7759593552593156E-3</v>
      </c>
      <c r="I799" s="78">
        <v>136.78566097575001</v>
      </c>
      <c r="J799" s="78">
        <v>137.028619521</v>
      </c>
      <c r="K799" s="78">
        <v>133.72438330559999</v>
      </c>
      <c r="L799" s="78">
        <v>136.58157579773999</v>
      </c>
      <c r="M799" s="78">
        <v>1330579.8718351522</v>
      </c>
      <c r="N799" s="78" t="s">
        <v>790</v>
      </c>
      <c r="O799" s="25">
        <f t="shared" si="21"/>
        <v>1.4942365162944338E-3</v>
      </c>
    </row>
    <row r="800" spans="1:15">
      <c r="A800" s="77">
        <v>430.58865258682192</v>
      </c>
      <c r="B800" s="77">
        <v>432.15865847741532</v>
      </c>
      <c r="C800" s="77">
        <v>429.98778613486644</v>
      </c>
      <c r="D800" s="77">
        <v>431.04414812298171</v>
      </c>
      <c r="E800" s="77">
        <v>6057345.0691994019</v>
      </c>
      <c r="F800" s="77" t="s">
        <v>791</v>
      </c>
      <c r="G800" s="25">
        <f t="shared" si="20"/>
        <v>-1.0567259482427982E-3</v>
      </c>
      <c r="I800" s="78">
        <v>134.96833105727998</v>
      </c>
      <c r="J800" s="78">
        <v>136.780801804845</v>
      </c>
      <c r="K800" s="78">
        <v>132.80114083365001</v>
      </c>
      <c r="L800" s="78">
        <v>133.16071948062</v>
      </c>
      <c r="M800" s="78">
        <v>1488858.9311719218</v>
      </c>
      <c r="N800" s="78" t="s">
        <v>791</v>
      </c>
      <c r="O800" s="25">
        <f t="shared" si="21"/>
        <v>1.3574660633484115E-2</v>
      </c>
    </row>
    <row r="801" spans="1:15">
      <c r="A801" s="77">
        <v>429.60982175379763</v>
      </c>
      <c r="B801" s="77">
        <v>429.91994637416178</v>
      </c>
      <c r="C801" s="77">
        <v>424.78350734938084</v>
      </c>
      <c r="D801" s="77">
        <v>425.45221356204104</v>
      </c>
      <c r="E801" s="77">
        <v>4990821.5548404111</v>
      </c>
      <c r="F801" s="77" t="s">
        <v>792</v>
      </c>
      <c r="G801" s="25">
        <f t="shared" si="20"/>
        <v>9.7722095671981535E-3</v>
      </c>
      <c r="I801" s="78">
        <v>132.05282851427998</v>
      </c>
      <c r="J801" s="78">
        <v>132.89832425174998</v>
      </c>
      <c r="K801" s="78">
        <v>128.81662069155001</v>
      </c>
      <c r="L801" s="78">
        <v>130.225780254</v>
      </c>
      <c r="M801" s="78">
        <v>2172253.2930749017</v>
      </c>
      <c r="N801" s="78" t="s">
        <v>792</v>
      </c>
      <c r="O801" s="25">
        <f t="shared" si="21"/>
        <v>1.4029850746268613E-2</v>
      </c>
    </row>
    <row r="802" spans="1:15">
      <c r="A802" s="77">
        <v>424.41523436269847</v>
      </c>
      <c r="B802" s="77">
        <v>424.86103850447188</v>
      </c>
      <c r="C802" s="77">
        <v>420.76157867903356</v>
      </c>
      <c r="D802" s="77">
        <v>422.13775668189936</v>
      </c>
      <c r="E802" s="77">
        <v>4469207.2444059001</v>
      </c>
      <c r="F802" s="77" t="s">
        <v>793</v>
      </c>
      <c r="G802" s="25">
        <f t="shared" si="20"/>
        <v>5.395105376739151E-3</v>
      </c>
      <c r="I802" s="78">
        <v>130.45902045744</v>
      </c>
      <c r="J802" s="78">
        <v>131.4891646893</v>
      </c>
      <c r="K802" s="78">
        <v>128.44732370276998</v>
      </c>
      <c r="L802" s="78">
        <v>130.35211869752999</v>
      </c>
      <c r="M802" s="78">
        <v>1642004.3986907268</v>
      </c>
      <c r="N802" s="78" t="s">
        <v>793</v>
      </c>
      <c r="O802" s="25">
        <f t="shared" si="21"/>
        <v>8.2009990307918557E-4</v>
      </c>
    </row>
    <row r="803" spans="1:15">
      <c r="A803" s="77">
        <v>420.67435612955614</v>
      </c>
      <c r="B803" s="77">
        <v>421.07170329939771</v>
      </c>
      <c r="C803" s="77">
        <v>418.48410099823445</v>
      </c>
      <c r="D803" s="77">
        <v>420.21886059339636</v>
      </c>
      <c r="E803" s="77">
        <v>6237091.1336510051</v>
      </c>
      <c r="F803" s="77" t="s">
        <v>794</v>
      </c>
      <c r="G803" s="25">
        <f t="shared" si="20"/>
        <v>1.0839483394833316E-3</v>
      </c>
      <c r="I803" s="78">
        <v>129.79817321435999</v>
      </c>
      <c r="J803" s="78">
        <v>130.68254231907</v>
      </c>
      <c r="K803" s="78">
        <v>127.29084102737998</v>
      </c>
      <c r="L803" s="78">
        <v>128.57366214629999</v>
      </c>
      <c r="M803" s="78">
        <v>1600866.7223446837</v>
      </c>
      <c r="N803" s="78" t="s">
        <v>794</v>
      </c>
      <c r="O803" s="25">
        <f t="shared" si="21"/>
        <v>9.52380952380949E-3</v>
      </c>
    </row>
    <row r="804" spans="1:15">
      <c r="A804" s="77">
        <v>423.02936496544623</v>
      </c>
      <c r="B804" s="77">
        <v>424.46369133463037</v>
      </c>
      <c r="C804" s="77">
        <v>421.32367955344353</v>
      </c>
      <c r="D804" s="77">
        <v>423.31041540265124</v>
      </c>
      <c r="E804" s="77">
        <v>5913327.6095486367</v>
      </c>
      <c r="F804" s="77" t="s">
        <v>795</v>
      </c>
      <c r="G804" s="25">
        <f t="shared" si="20"/>
        <v>-6.6393461388769559E-4</v>
      </c>
      <c r="I804" s="78">
        <v>131.33367122033999</v>
      </c>
      <c r="J804" s="78">
        <v>133.36480465862999</v>
      </c>
      <c r="K804" s="78">
        <v>129.90507497426998</v>
      </c>
      <c r="L804" s="78">
        <v>131.46972800568</v>
      </c>
      <c r="M804" s="78">
        <v>2285239.646247841</v>
      </c>
      <c r="N804" s="78" t="s">
        <v>795</v>
      </c>
      <c r="O804" s="25">
        <f t="shared" si="21"/>
        <v>-1.0348905972797917E-3</v>
      </c>
    </row>
    <row r="805" spans="1:15">
      <c r="A805" s="77">
        <v>424.47338272901675</v>
      </c>
      <c r="B805" s="77">
        <v>426.22752511295135</v>
      </c>
      <c r="C805" s="77">
        <v>423.25226703633297</v>
      </c>
      <c r="D805" s="77">
        <v>425.55881890029121</v>
      </c>
      <c r="E805" s="77">
        <v>5347702.0884467047</v>
      </c>
      <c r="F805" s="77" t="s">
        <v>796</v>
      </c>
      <c r="G805" s="25">
        <f t="shared" si="20"/>
        <v>-2.5506137414315067E-3</v>
      </c>
      <c r="I805" s="78">
        <v>134.15199034523999</v>
      </c>
      <c r="J805" s="78">
        <v>139.27345929569191</v>
      </c>
      <c r="K805" s="78">
        <v>133.40464986005099</v>
      </c>
      <c r="L805" s="78">
        <v>137.24242304082</v>
      </c>
      <c r="M805" s="78">
        <v>1610149.1700876902</v>
      </c>
      <c r="N805" s="78" t="s">
        <v>796</v>
      </c>
      <c r="O805" s="25">
        <f t="shared" si="21"/>
        <v>-2.2518056932445907E-2</v>
      </c>
    </row>
    <row r="806" spans="1:15">
      <c r="A806" s="77">
        <v>424.27955484128915</v>
      </c>
      <c r="B806" s="77">
        <v>425.79625806275749</v>
      </c>
      <c r="C806" s="77">
        <v>420.60651636885149</v>
      </c>
      <c r="D806" s="77">
        <v>425.39406519572276</v>
      </c>
      <c r="E806" s="77">
        <v>4949325.9780465066</v>
      </c>
      <c r="F806" s="77" t="s">
        <v>797</v>
      </c>
      <c r="G806" s="25">
        <f t="shared" si="20"/>
        <v>-2.6199480566820865E-3</v>
      </c>
      <c r="I806" s="78">
        <v>137.03833786280998</v>
      </c>
      <c r="J806" s="78">
        <v>139.15693637739</v>
      </c>
      <c r="K806" s="78">
        <v>133.17043782242999</v>
      </c>
      <c r="L806" s="78">
        <v>135.90129187104</v>
      </c>
      <c r="M806" s="78">
        <v>3232380.6482785153</v>
      </c>
      <c r="N806" s="78" t="s">
        <v>797</v>
      </c>
      <c r="O806" s="25">
        <f t="shared" si="21"/>
        <v>8.3667048054918425E-3</v>
      </c>
    </row>
    <row r="807" spans="1:15">
      <c r="A807" s="77">
        <v>424.42492575708485</v>
      </c>
      <c r="B807" s="77">
        <v>425.19539161080201</v>
      </c>
      <c r="C807" s="77">
        <v>422.04084273803562</v>
      </c>
      <c r="D807" s="77">
        <v>422.32189317524058</v>
      </c>
      <c r="E807" s="77">
        <v>4415093.2563571753</v>
      </c>
      <c r="F807" s="77" t="s">
        <v>798</v>
      </c>
      <c r="G807" s="25">
        <f t="shared" si="20"/>
        <v>4.9796911214632367E-3</v>
      </c>
      <c r="I807" s="78">
        <v>136.66904087403</v>
      </c>
      <c r="J807" s="78">
        <v>138.93827368666499</v>
      </c>
      <c r="K807" s="78">
        <v>133.96637001666898</v>
      </c>
      <c r="L807" s="78">
        <v>135.63889664216998</v>
      </c>
      <c r="M807" s="78">
        <v>2760800.1986915092</v>
      </c>
      <c r="N807" s="78" t="s">
        <v>798</v>
      </c>
      <c r="O807" s="25">
        <f t="shared" si="21"/>
        <v>7.5947553199113838E-3</v>
      </c>
    </row>
    <row r="808" spans="1:15">
      <c r="A808" s="77">
        <v>421.64349556819406</v>
      </c>
      <c r="B808" s="77">
        <v>422.96152520474158</v>
      </c>
      <c r="C808" s="77">
        <v>419.79563740054311</v>
      </c>
      <c r="D808" s="77">
        <v>420.23824338216906</v>
      </c>
      <c r="E808" s="77">
        <v>8192388.7146299593</v>
      </c>
      <c r="F808" s="77" t="s">
        <v>799</v>
      </c>
      <c r="G808" s="25">
        <f t="shared" si="20"/>
        <v>3.3439417001062122E-3</v>
      </c>
      <c r="I808" s="78">
        <v>135.80410845294</v>
      </c>
      <c r="J808" s="78">
        <v>142.859624607</v>
      </c>
      <c r="K808" s="78">
        <v>132.40268881944002</v>
      </c>
      <c r="L808" s="78">
        <v>135.25016296976997</v>
      </c>
      <c r="M808" s="78">
        <v>3795233.870252193</v>
      </c>
      <c r="N808" s="78" t="s">
        <v>799</v>
      </c>
      <c r="O808" s="25">
        <f t="shared" si="21"/>
        <v>4.0957102823886427E-3</v>
      </c>
    </row>
    <row r="809" spans="1:15">
      <c r="A809" s="77">
        <v>422.67078337315024</v>
      </c>
      <c r="B809" s="77">
        <v>422.8064628945595</v>
      </c>
      <c r="C809" s="77">
        <v>417.08854020659589</v>
      </c>
      <c r="D809" s="77">
        <v>417.16607136168687</v>
      </c>
      <c r="E809" s="77">
        <v>7452345.5676830057</v>
      </c>
      <c r="F809" s="77" t="s">
        <v>800</v>
      </c>
      <c r="G809" s="25">
        <f t="shared" si="20"/>
        <v>1.3195493088628218E-2</v>
      </c>
      <c r="I809" s="78">
        <v>129.89535663245999</v>
      </c>
      <c r="J809" s="78">
        <v>131.54747474016</v>
      </c>
      <c r="K809" s="78">
        <v>124.63783089666809</v>
      </c>
      <c r="L809" s="78">
        <v>125.63872291967999</v>
      </c>
      <c r="M809" s="78">
        <v>1699289.8915128815</v>
      </c>
      <c r="N809" s="78" t="s">
        <v>800</v>
      </c>
      <c r="O809" s="25">
        <f t="shared" si="21"/>
        <v>3.3879950495049549E-2</v>
      </c>
    </row>
    <row r="810" spans="1:15">
      <c r="A810" s="77">
        <v>416.71057582552709</v>
      </c>
      <c r="B810" s="77">
        <v>418.95897932316706</v>
      </c>
      <c r="C810" s="77">
        <v>415.41192897775227</v>
      </c>
      <c r="D810" s="77">
        <v>416.33261144445828</v>
      </c>
      <c r="E810" s="77">
        <v>5906898.1941811666</v>
      </c>
      <c r="F810" s="77" t="s">
        <v>801</v>
      </c>
      <c r="G810" s="25">
        <f t="shared" si="20"/>
        <v>9.0784236132135376E-4</v>
      </c>
      <c r="I810" s="78">
        <v>126.80492393687999</v>
      </c>
      <c r="J810" s="78">
        <v>130.28409030486</v>
      </c>
      <c r="K810" s="78">
        <v>124.44336687705001</v>
      </c>
      <c r="L810" s="78">
        <v>124.48224024429</v>
      </c>
      <c r="M810" s="78">
        <v>1685118.7496974857</v>
      </c>
      <c r="N810" s="78" t="s">
        <v>801</v>
      </c>
      <c r="O810" s="25">
        <f t="shared" si="21"/>
        <v>1.8658755562495077E-2</v>
      </c>
    </row>
    <row r="811" spans="1:15">
      <c r="A811" s="77">
        <v>416.17754913427626</v>
      </c>
      <c r="B811" s="77">
        <v>419.42416625371322</v>
      </c>
      <c r="C811" s="77">
        <v>415.96433845777591</v>
      </c>
      <c r="D811" s="77">
        <v>417.04977462905038</v>
      </c>
      <c r="E811" s="77">
        <v>4070888.9172283928</v>
      </c>
      <c r="F811" s="77" t="s">
        <v>802</v>
      </c>
      <c r="G811" s="25">
        <f t="shared" si="20"/>
        <v>-2.0914182139288862E-3</v>
      </c>
      <c r="I811" s="78">
        <v>127.72816640883001</v>
      </c>
      <c r="J811" s="78">
        <v>128.61253551354</v>
      </c>
      <c r="K811" s="78">
        <v>124.52111361153</v>
      </c>
      <c r="L811" s="78">
        <v>125.13336914555998</v>
      </c>
      <c r="M811" s="78">
        <v>1633073.8628342196</v>
      </c>
      <c r="N811" s="78" t="s">
        <v>802</v>
      </c>
      <c r="O811" s="25">
        <f t="shared" si="21"/>
        <v>2.073625349487429E-2</v>
      </c>
    </row>
    <row r="812" spans="1:15">
      <c r="A812" s="77">
        <v>417.49557877082384</v>
      </c>
      <c r="B812" s="77">
        <v>419.63737693021358</v>
      </c>
      <c r="C812" s="77">
        <v>416.97224347395934</v>
      </c>
      <c r="D812" s="77">
        <v>418.97836211193982</v>
      </c>
      <c r="E812" s="77">
        <v>4958057.435732197</v>
      </c>
      <c r="F812" s="77" t="s">
        <v>803</v>
      </c>
      <c r="G812" s="25">
        <f t="shared" si="20"/>
        <v>-3.5390451517394172E-3</v>
      </c>
      <c r="I812" s="78">
        <v>126.66886715154</v>
      </c>
      <c r="J812" s="78">
        <v>132.58733731383001</v>
      </c>
      <c r="K812" s="78">
        <v>125.17224251280001</v>
      </c>
      <c r="L812" s="78">
        <v>132.58733731383001</v>
      </c>
      <c r="M812" s="78">
        <v>2199270.2477296381</v>
      </c>
      <c r="N812" s="78" t="s">
        <v>803</v>
      </c>
      <c r="O812" s="25">
        <f t="shared" si="21"/>
        <v>-4.4638276038994396E-2</v>
      </c>
    </row>
    <row r="813" spans="1:15">
      <c r="A813" s="77">
        <v>420.61620776323787</v>
      </c>
      <c r="B813" s="77">
        <v>421.83732345592159</v>
      </c>
      <c r="C813" s="77">
        <v>419.01712768948533</v>
      </c>
      <c r="D813" s="77">
        <v>420.51929381937407</v>
      </c>
      <c r="E813" s="77">
        <v>9365051.7543234807</v>
      </c>
      <c r="F813" s="77" t="s">
        <v>804</v>
      </c>
      <c r="G813" s="25">
        <f t="shared" si="20"/>
        <v>2.3046253831449093E-4</v>
      </c>
      <c r="I813" s="78">
        <v>133.73410164741</v>
      </c>
      <c r="J813" s="78">
        <v>135.61945995855001</v>
      </c>
      <c r="K813" s="78">
        <v>131.80015162722</v>
      </c>
      <c r="L813" s="78">
        <v>134.00621521808998</v>
      </c>
      <c r="M813" s="78">
        <v>2241859.8178530214</v>
      </c>
      <c r="N813" s="78" t="s">
        <v>804</v>
      </c>
      <c r="O813" s="25">
        <f t="shared" si="21"/>
        <v>-2.0306041047210011E-3</v>
      </c>
    </row>
    <row r="814" spans="1:15">
      <c r="A814" s="77">
        <v>423.32010679703762</v>
      </c>
      <c r="B814" s="77">
        <v>424.81258153253998</v>
      </c>
      <c r="C814" s="77">
        <v>421.51750744117112</v>
      </c>
      <c r="D814" s="77">
        <v>424.35708599638019</v>
      </c>
      <c r="E814" s="77">
        <v>4516259.297167358</v>
      </c>
      <c r="F814" s="77" t="s">
        <v>805</v>
      </c>
      <c r="G814" s="25">
        <f t="shared" si="20"/>
        <v>-2.4436476579806632E-3</v>
      </c>
      <c r="I814" s="78">
        <v>135.31819136243999</v>
      </c>
      <c r="J814" s="78">
        <v>138.73904767955997</v>
      </c>
      <c r="K814" s="78">
        <v>134.5990340685</v>
      </c>
      <c r="L814" s="78">
        <v>137.24242304082</v>
      </c>
      <c r="M814" s="78">
        <v>1261218.2448026079</v>
      </c>
      <c r="N814" s="78" t="s">
        <v>805</v>
      </c>
      <c r="O814" s="25">
        <f t="shared" si="21"/>
        <v>-1.4020676957938072E-2</v>
      </c>
    </row>
    <row r="815" spans="1:15">
      <c r="A815" s="77">
        <v>424.45399994024399</v>
      </c>
      <c r="B815" s="77">
        <v>425.29715125185891</v>
      </c>
      <c r="C815" s="77">
        <v>424.15356671426622</v>
      </c>
      <c r="D815" s="77">
        <v>424.72535898306256</v>
      </c>
      <c r="E815" s="77">
        <v>4853434.7199932663</v>
      </c>
      <c r="F815" s="77" t="s">
        <v>806</v>
      </c>
      <c r="G815" s="25">
        <f t="shared" si="20"/>
        <v>-6.3890473474037535E-4</v>
      </c>
      <c r="I815" s="78">
        <v>138.12679214553</v>
      </c>
      <c r="J815" s="78">
        <v>138.93341451576001</v>
      </c>
      <c r="K815" s="78">
        <v>137.22298635719997</v>
      </c>
      <c r="L815" s="78">
        <v>138.33087732353999</v>
      </c>
      <c r="M815" s="78">
        <v>961240.11509737174</v>
      </c>
      <c r="N815" s="78" t="s">
        <v>806</v>
      </c>
      <c r="O815" s="25">
        <f t="shared" si="21"/>
        <v>-1.4753407334550106E-3</v>
      </c>
    </row>
    <row r="816" spans="1:15">
      <c r="A816" s="77">
        <v>424.38616017953927</v>
      </c>
      <c r="B816" s="77">
        <v>424.50245691217583</v>
      </c>
      <c r="C816" s="77">
        <v>422.95183381035525</v>
      </c>
      <c r="D816" s="77">
        <v>423.4121750437082</v>
      </c>
      <c r="E816" s="77">
        <v>4407011.8599267425</v>
      </c>
      <c r="F816" s="77" t="s">
        <v>807</v>
      </c>
      <c r="G816" s="25">
        <f t="shared" si="20"/>
        <v>2.3003238764462974E-3</v>
      </c>
      <c r="I816" s="78">
        <v>138.51552581792998</v>
      </c>
      <c r="J816" s="78">
        <v>138.73904767955997</v>
      </c>
      <c r="K816" s="78">
        <v>135.87213684560999</v>
      </c>
      <c r="L816" s="78">
        <v>137.52425495330999</v>
      </c>
      <c r="M816" s="78">
        <v>1259456.627405864</v>
      </c>
      <c r="N816" s="78" t="s">
        <v>807</v>
      </c>
      <c r="O816" s="25">
        <f t="shared" si="21"/>
        <v>7.2079711681152236E-3</v>
      </c>
    </row>
    <row r="817" spans="1:15">
      <c r="A817" s="77">
        <v>423.61084862862901</v>
      </c>
      <c r="B817" s="77">
        <v>424.40554296831209</v>
      </c>
      <c r="C817" s="77">
        <v>422.13775668189936</v>
      </c>
      <c r="D817" s="77">
        <v>422.22071501784677</v>
      </c>
      <c r="E817" s="77">
        <v>3957982.5637796163</v>
      </c>
      <c r="F817" s="77" t="s">
        <v>808</v>
      </c>
      <c r="G817" s="25">
        <f t="shared" si="20"/>
        <v>3.2924334627293383E-3</v>
      </c>
      <c r="I817" s="78">
        <v>136.67875921583999</v>
      </c>
      <c r="J817" s="78">
        <v>137.62143837141002</v>
      </c>
      <c r="K817" s="78">
        <v>135.32790970425</v>
      </c>
      <c r="L817" s="78">
        <v>136.72735092489</v>
      </c>
      <c r="M817" s="78">
        <v>1104773.8605934051</v>
      </c>
      <c r="N817" s="78" t="s">
        <v>808</v>
      </c>
      <c r="O817" s="25">
        <f t="shared" si="21"/>
        <v>-3.5539128580575063E-4</v>
      </c>
    </row>
    <row r="818" spans="1:15">
      <c r="A818" s="77">
        <v>421.85670624469441</v>
      </c>
      <c r="B818" s="77">
        <v>423.35693409570587</v>
      </c>
      <c r="C818" s="77">
        <v>420.1025638607598</v>
      </c>
      <c r="D818" s="77">
        <v>422.02145994926281</v>
      </c>
      <c r="E818" s="77">
        <v>4166406.6480206759</v>
      </c>
      <c r="F818" s="77" t="s">
        <v>809</v>
      </c>
      <c r="G818" s="25">
        <f t="shared" si="20"/>
        <v>-3.9039176962285538E-4</v>
      </c>
      <c r="I818" s="78">
        <v>136.05678534</v>
      </c>
      <c r="J818" s="78">
        <v>138.86538612308999</v>
      </c>
      <c r="K818" s="78">
        <v>134.2103003961</v>
      </c>
      <c r="L818" s="78">
        <v>136.54270243049999</v>
      </c>
      <c r="M818" s="78">
        <v>1707765.6172704631</v>
      </c>
      <c r="N818" s="78" t="s">
        <v>809</v>
      </c>
      <c r="O818" s="25">
        <f t="shared" si="21"/>
        <v>-3.5587188612098419E-3</v>
      </c>
    </row>
    <row r="819" spans="1:15">
      <c r="A819" s="77">
        <v>420.87787541167006</v>
      </c>
      <c r="B819" s="77">
        <v>421.22676560957973</v>
      </c>
      <c r="C819" s="77">
        <v>417.55876666222304</v>
      </c>
      <c r="D819" s="77">
        <v>419.76336505723651</v>
      </c>
      <c r="E819" s="77">
        <v>4768773.012163775</v>
      </c>
      <c r="F819" s="77" t="s">
        <v>810</v>
      </c>
      <c r="G819" s="25">
        <f t="shared" si="20"/>
        <v>2.6550920047097026E-3</v>
      </c>
      <c r="I819" s="78">
        <v>136.28030720163</v>
      </c>
      <c r="J819" s="78">
        <v>139.87609367133001</v>
      </c>
      <c r="K819" s="78">
        <v>135.08495115899998</v>
      </c>
      <c r="L819" s="78">
        <v>135.20157126071999</v>
      </c>
      <c r="M819" s="78">
        <v>2608148.6425923519</v>
      </c>
      <c r="N819" s="78" t="s">
        <v>810</v>
      </c>
      <c r="O819" s="25">
        <f t="shared" si="21"/>
        <v>7.9787234042554278E-3</v>
      </c>
    </row>
    <row r="820" spans="1:15">
      <c r="A820" s="77">
        <v>416.81718116377726</v>
      </c>
      <c r="B820" s="77">
        <v>423.80952221354977</v>
      </c>
      <c r="C820" s="77">
        <v>416.63304467043605</v>
      </c>
      <c r="D820" s="77">
        <v>422.0699169211947</v>
      </c>
      <c r="E820" s="77">
        <v>5967391.0372775085</v>
      </c>
      <c r="F820" s="77" t="s">
        <v>811</v>
      </c>
      <c r="G820" s="25">
        <f t="shared" si="20"/>
        <v>-1.2445179215172963E-2</v>
      </c>
      <c r="I820" s="78">
        <v>133.0440993789</v>
      </c>
      <c r="J820" s="78">
        <v>139.696304347845</v>
      </c>
      <c r="K820" s="78">
        <v>132.9469159608</v>
      </c>
      <c r="L820" s="78">
        <v>135.08495115899998</v>
      </c>
      <c r="M820" s="78">
        <v>2793846.9885944463</v>
      </c>
      <c r="N820" s="78" t="s">
        <v>811</v>
      </c>
      <c r="O820" s="25">
        <f t="shared" si="21"/>
        <v>-1.510791366906461E-2</v>
      </c>
    </row>
    <row r="821" spans="1:15">
      <c r="A821" s="77">
        <v>422.92169359173687</v>
      </c>
      <c r="B821" s="77">
        <v>422.9506482707751</v>
      </c>
      <c r="C821" s="77">
        <v>420.75974422355068</v>
      </c>
      <c r="D821" s="77">
        <v>420.84660826066533</v>
      </c>
      <c r="E821" s="77">
        <v>4208136.4410642581</v>
      </c>
      <c r="F821" s="77" t="s">
        <v>812</v>
      </c>
      <c r="G821" s="25">
        <f t="shared" si="20"/>
        <v>4.9307402990550475E-3</v>
      </c>
      <c r="I821" s="78">
        <v>135.60002327493001</v>
      </c>
      <c r="J821" s="78">
        <v>136.27058885981998</v>
      </c>
      <c r="K821" s="78">
        <v>126.9410779056381</v>
      </c>
      <c r="L821" s="78">
        <v>128.05859003037</v>
      </c>
      <c r="M821" s="78">
        <v>4235775.0740607055</v>
      </c>
      <c r="N821" s="78" t="s">
        <v>812</v>
      </c>
      <c r="O821" s="25">
        <f t="shared" si="21"/>
        <v>5.8890491007057788E-2</v>
      </c>
    </row>
    <row r="822" spans="1:15">
      <c r="A822" s="77">
        <v>420.36403027669525</v>
      </c>
      <c r="B822" s="77">
        <v>421.19406440912377</v>
      </c>
      <c r="C822" s="77">
        <v>419.3120102716403</v>
      </c>
      <c r="D822" s="77">
        <v>419.49538990554896</v>
      </c>
      <c r="E822" s="77">
        <v>4435008.581188201</v>
      </c>
      <c r="F822" s="77" t="s">
        <v>813</v>
      </c>
      <c r="G822" s="25">
        <f t="shared" si="20"/>
        <v>2.0706791827720394E-3</v>
      </c>
      <c r="I822" s="78">
        <v>125.46379276709999</v>
      </c>
      <c r="J822" s="78">
        <v>128.88950825512501</v>
      </c>
      <c r="K822" s="78">
        <v>122.83984047840001</v>
      </c>
      <c r="L822" s="78">
        <v>128.32098525923999</v>
      </c>
      <c r="M822" s="78">
        <v>3612754.1803348036</v>
      </c>
      <c r="N822" s="78" t="s">
        <v>813</v>
      </c>
      <c r="O822" s="25">
        <f t="shared" si="21"/>
        <v>-2.2265980006058728E-2</v>
      </c>
    </row>
    <row r="823" spans="1:15">
      <c r="A823" s="77">
        <v>417.99939815524158</v>
      </c>
      <c r="B823" s="77">
        <v>419.11897907805229</v>
      </c>
      <c r="C823" s="77">
        <v>417.17901558249241</v>
      </c>
      <c r="D823" s="77">
        <v>418.09591375203564</v>
      </c>
      <c r="E823" s="77">
        <v>5518321.5738347238</v>
      </c>
      <c r="F823" s="77" t="s">
        <v>814</v>
      </c>
      <c r="G823" s="25">
        <f t="shared" si="20"/>
        <v>-2.3084558738672989E-4</v>
      </c>
      <c r="I823" s="78">
        <v>123.52012440509999</v>
      </c>
      <c r="J823" s="78">
        <v>130.55620387554001</v>
      </c>
      <c r="K823" s="78">
        <v>123.24801083441999</v>
      </c>
      <c r="L823" s="78">
        <v>129.94394834151001</v>
      </c>
      <c r="M823" s="78">
        <v>4661486.5874942923</v>
      </c>
      <c r="N823" s="78" t="s">
        <v>814</v>
      </c>
      <c r="O823" s="25">
        <f t="shared" si="21"/>
        <v>-4.9435345149951515E-2</v>
      </c>
    </row>
    <row r="824" spans="1:15">
      <c r="A824" s="77">
        <v>418.63640109408215</v>
      </c>
      <c r="B824" s="77">
        <v>420.19435585753126</v>
      </c>
      <c r="C824" s="77">
        <v>416.21385961455212</v>
      </c>
      <c r="D824" s="77">
        <v>419.09002439901411</v>
      </c>
      <c r="E824" s="77">
        <v>8650563.5123595856</v>
      </c>
      <c r="F824" s="77" t="s">
        <v>815</v>
      </c>
      <c r="G824" s="25">
        <f t="shared" si="20"/>
        <v>-1.08240062641074E-3</v>
      </c>
      <c r="I824" s="78">
        <v>127.78647645969001</v>
      </c>
      <c r="J824" s="78">
        <v>132.83029585908</v>
      </c>
      <c r="K824" s="78">
        <v>126.03231576298499</v>
      </c>
      <c r="L824" s="78">
        <v>126.1440766938</v>
      </c>
      <c r="M824" s="78">
        <v>3821482.1752601024</v>
      </c>
      <c r="N824" s="78" t="s">
        <v>815</v>
      </c>
      <c r="O824" s="25">
        <f t="shared" si="21"/>
        <v>1.3020030816641048E-2</v>
      </c>
    </row>
    <row r="825" spans="1:15">
      <c r="A825" s="77">
        <v>417.41065301479807</v>
      </c>
      <c r="B825" s="77">
        <v>417.53612329063031</v>
      </c>
      <c r="C825" s="77">
        <v>411.64867188619473</v>
      </c>
      <c r="D825" s="77">
        <v>412.00577959433264</v>
      </c>
      <c r="E825" s="77">
        <v>8971727.1483898517</v>
      </c>
      <c r="F825" s="77" t="s">
        <v>816</v>
      </c>
      <c r="G825" s="25">
        <f t="shared" si="20"/>
        <v>1.311844077961033E-2</v>
      </c>
      <c r="I825" s="78">
        <v>123.10223570727</v>
      </c>
      <c r="J825" s="78">
        <v>123.79223797578</v>
      </c>
      <c r="K825" s="78">
        <v>114.69587004162</v>
      </c>
      <c r="L825" s="78">
        <v>114.92911024506</v>
      </c>
      <c r="M825" s="78">
        <v>3168467.4815939614</v>
      </c>
      <c r="N825" s="78" t="s">
        <v>816</v>
      </c>
      <c r="O825" s="25">
        <f t="shared" si="21"/>
        <v>7.1114493488922736E-2</v>
      </c>
    </row>
    <row r="826" spans="1:15">
      <c r="A826" s="77">
        <v>411.80309684106521</v>
      </c>
      <c r="B826" s="77">
        <v>411.80309684106521</v>
      </c>
      <c r="C826" s="77">
        <v>408.52533065834336</v>
      </c>
      <c r="D826" s="77">
        <v>409.4384647196116</v>
      </c>
      <c r="E826" s="77">
        <v>6198539.0949480003</v>
      </c>
      <c r="F826" s="77" t="s">
        <v>817</v>
      </c>
      <c r="G826" s="25">
        <f t="shared" si="20"/>
        <v>5.7753052661355664E-3</v>
      </c>
      <c r="I826" s="78">
        <v>114.32657305283999</v>
      </c>
      <c r="J826" s="78">
        <v>114.91939190325</v>
      </c>
      <c r="K826" s="78">
        <v>109.36050038793</v>
      </c>
      <c r="L826" s="78">
        <v>112.44121474169999</v>
      </c>
      <c r="M826" s="78">
        <v>2460746.9532912015</v>
      </c>
      <c r="N826" s="78" t="s">
        <v>817</v>
      </c>
      <c r="O826" s="25">
        <f t="shared" si="21"/>
        <v>1.6767502160760506E-2</v>
      </c>
    </row>
    <row r="827" spans="1:15">
      <c r="A827" s="77">
        <v>409.76661774871127</v>
      </c>
      <c r="B827" s="77">
        <v>409.91139114390228</v>
      </c>
      <c r="C827" s="77">
        <v>407.50815278373113</v>
      </c>
      <c r="D827" s="77">
        <v>407.69153241763979</v>
      </c>
      <c r="E827" s="77">
        <v>5436516.1427721158</v>
      </c>
      <c r="F827" s="77" t="s">
        <v>818</v>
      </c>
      <c r="G827" s="25">
        <f t="shared" si="20"/>
        <v>5.0898416230675814E-3</v>
      </c>
      <c r="I827" s="78">
        <v>114.32657305283999</v>
      </c>
      <c r="J827" s="78">
        <v>114.89995521963</v>
      </c>
      <c r="K827" s="78">
        <v>110.09909436549</v>
      </c>
      <c r="L827" s="78">
        <v>112.44121474169999</v>
      </c>
      <c r="M827" s="78">
        <v>2035076.5991425856</v>
      </c>
      <c r="N827" s="78" t="s">
        <v>818</v>
      </c>
      <c r="O827" s="25">
        <f t="shared" si="21"/>
        <v>1.6767502160760506E-2</v>
      </c>
    </row>
    <row r="828" spans="1:15">
      <c r="A828" s="77">
        <v>408.18376196128929</v>
      </c>
      <c r="B828" s="77">
        <v>408.61808214686238</v>
      </c>
      <c r="C828" s="77">
        <v>405.51027993009478</v>
      </c>
      <c r="D828" s="77">
        <v>405.72261424304168</v>
      </c>
      <c r="E828" s="77">
        <v>5310310.6339775613</v>
      </c>
      <c r="F828" s="77" t="s">
        <v>819</v>
      </c>
      <c r="G828" s="25">
        <f t="shared" ref="G828:G891" si="22">A828/D828-1</f>
        <v>6.0660846397220247E-3</v>
      </c>
      <c r="I828" s="78">
        <v>109.75895240214</v>
      </c>
      <c r="J828" s="78">
        <v>114.20995295111999</v>
      </c>
      <c r="K828" s="78">
        <v>109.7200790349</v>
      </c>
      <c r="L828" s="78">
        <v>112.94656851581999</v>
      </c>
      <c r="M828" s="78">
        <v>2406616.3196620476</v>
      </c>
      <c r="N828" s="78" t="s">
        <v>819</v>
      </c>
      <c r="O828" s="25">
        <f t="shared" ref="O828:O891" si="23">I828/L828-1</f>
        <v>-2.8222336947169135E-2</v>
      </c>
    </row>
    <row r="829" spans="1:15">
      <c r="A829" s="77">
        <v>406.45613277867625</v>
      </c>
      <c r="B829" s="77">
        <v>406.97731700136399</v>
      </c>
      <c r="C829" s="77">
        <v>404.67059423798673</v>
      </c>
      <c r="D829" s="77">
        <v>405.18212690099512</v>
      </c>
      <c r="E829" s="77">
        <v>3365519.2610290111</v>
      </c>
      <c r="F829" s="77" t="s">
        <v>820</v>
      </c>
      <c r="G829" s="25">
        <f t="shared" si="22"/>
        <v>3.1442795550367109E-3</v>
      </c>
      <c r="I829" s="78">
        <v>113.83093762052999</v>
      </c>
      <c r="J829" s="78">
        <v>114.28769968559999</v>
      </c>
      <c r="K829" s="78">
        <v>109.817262453</v>
      </c>
      <c r="L829" s="78">
        <v>110.05050265643999</v>
      </c>
      <c r="M829" s="78">
        <v>2221802.8982868223</v>
      </c>
      <c r="N829" s="78" t="s">
        <v>820</v>
      </c>
      <c r="O829" s="25">
        <f t="shared" si="23"/>
        <v>3.4351819145178375E-2</v>
      </c>
    </row>
    <row r="830" spans="1:15">
      <c r="A830" s="77">
        <v>403.30007276351165</v>
      </c>
      <c r="B830" s="77">
        <v>406.97731700136399</v>
      </c>
      <c r="C830" s="77">
        <v>402.91401037633551</v>
      </c>
      <c r="D830" s="77">
        <v>406.91940764328757</v>
      </c>
      <c r="E830" s="77">
        <v>4353494.2947792392</v>
      </c>
      <c r="F830" s="77" t="s">
        <v>821</v>
      </c>
      <c r="G830" s="25">
        <f t="shared" si="22"/>
        <v>-8.8944759374777194E-3</v>
      </c>
      <c r="I830" s="78">
        <v>110.77937829218999</v>
      </c>
      <c r="J830" s="78">
        <v>114.4722509965719</v>
      </c>
      <c r="K830" s="78">
        <v>108.73852651208999</v>
      </c>
      <c r="L830" s="78">
        <v>110.13796773272999</v>
      </c>
      <c r="M830" s="78">
        <v>2016567.2686912832</v>
      </c>
      <c r="N830" s="78" t="s">
        <v>821</v>
      </c>
      <c r="O830" s="25">
        <f t="shared" si="23"/>
        <v>5.8237006970793814E-3</v>
      </c>
    </row>
    <row r="831" spans="1:15">
      <c r="A831" s="77">
        <v>404.9890957074071</v>
      </c>
      <c r="B831" s="77">
        <v>405.81912983983568</v>
      </c>
      <c r="C831" s="77">
        <v>403.43519459902325</v>
      </c>
      <c r="D831" s="77">
        <v>403.76334762812292</v>
      </c>
      <c r="E831" s="77">
        <v>3542725.8532080986</v>
      </c>
      <c r="F831" s="77" t="s">
        <v>822</v>
      </c>
      <c r="G831" s="25">
        <f t="shared" si="22"/>
        <v>3.0358081942918336E-3</v>
      </c>
      <c r="I831" s="78">
        <v>108.61218806856</v>
      </c>
      <c r="J831" s="78">
        <v>111.62487402965999</v>
      </c>
      <c r="K831" s="78">
        <v>107.65007222937</v>
      </c>
      <c r="L831" s="78">
        <v>109.88529084566999</v>
      </c>
      <c r="M831" s="78">
        <v>2188514.2975846822</v>
      </c>
      <c r="N831" s="78" t="s">
        <v>822</v>
      </c>
      <c r="O831" s="25">
        <f t="shared" si="23"/>
        <v>-1.1585743344830535E-2</v>
      </c>
    </row>
    <row r="832" spans="1:15">
      <c r="A832" s="77">
        <v>405.11456598323929</v>
      </c>
      <c r="B832" s="77">
        <v>405.24003625907153</v>
      </c>
      <c r="C832" s="77">
        <v>402.95261661505316</v>
      </c>
      <c r="D832" s="77">
        <v>404.0625459781844</v>
      </c>
      <c r="E832" s="77">
        <v>6015689.891438826</v>
      </c>
      <c r="F832" s="77" t="s">
        <v>823</v>
      </c>
      <c r="G832" s="25">
        <f t="shared" si="22"/>
        <v>2.6036068314820859E-3</v>
      </c>
      <c r="I832" s="78">
        <v>111.11952025554</v>
      </c>
      <c r="J832" s="78">
        <v>112.62586323609</v>
      </c>
      <c r="K832" s="78">
        <v>106.491645885618</v>
      </c>
      <c r="L832" s="78">
        <v>106.67823804836999</v>
      </c>
      <c r="M832" s="78">
        <v>3864308.4112720666</v>
      </c>
      <c r="N832" s="78" t="s">
        <v>823</v>
      </c>
      <c r="O832" s="25">
        <f t="shared" si="23"/>
        <v>4.1632504327229647E-2</v>
      </c>
    </row>
    <row r="833" spans="1:15">
      <c r="A833" s="77">
        <v>407.16069663527264</v>
      </c>
      <c r="B833" s="77">
        <v>407.65292617892214</v>
      </c>
      <c r="C833" s="77">
        <v>403.67648359100832</v>
      </c>
      <c r="D833" s="77">
        <v>404.23627405241365</v>
      </c>
      <c r="E833" s="77">
        <v>5153182.6618803209</v>
      </c>
      <c r="F833" s="77" t="s">
        <v>824</v>
      </c>
      <c r="G833" s="25">
        <f t="shared" si="22"/>
        <v>7.2344387937828269E-3</v>
      </c>
      <c r="I833" s="78">
        <v>106.69767473199001</v>
      </c>
      <c r="J833" s="78">
        <v>107.46542373497999</v>
      </c>
      <c r="K833" s="78">
        <v>97.363207423484994</v>
      </c>
      <c r="L833" s="78">
        <v>98.573140978829997</v>
      </c>
      <c r="M833" s="78">
        <v>4255139.4886572734</v>
      </c>
      <c r="N833" s="78" t="s">
        <v>824</v>
      </c>
      <c r="O833" s="25">
        <f t="shared" si="23"/>
        <v>8.242137434684027E-2</v>
      </c>
    </row>
    <row r="834" spans="1:15">
      <c r="A834" s="77">
        <v>404.78641295413956</v>
      </c>
      <c r="B834" s="77">
        <v>405.0759597445217</v>
      </c>
      <c r="C834" s="77">
        <v>402.0550215648687</v>
      </c>
      <c r="D834" s="77">
        <v>403.95637882171104</v>
      </c>
      <c r="E834" s="77">
        <v>4564744.0893954635</v>
      </c>
      <c r="F834" s="77" t="s">
        <v>825</v>
      </c>
      <c r="G834" s="25">
        <f t="shared" si="22"/>
        <v>2.0547617909874027E-3</v>
      </c>
      <c r="I834" s="78">
        <v>99.078494752949993</v>
      </c>
      <c r="J834" s="78">
        <v>99.389481690869999</v>
      </c>
      <c r="K834" s="78">
        <v>96.435105780629996</v>
      </c>
      <c r="L834" s="78">
        <v>98.806381182270002</v>
      </c>
      <c r="M834" s="78">
        <v>3428827.7415506956</v>
      </c>
      <c r="N834" s="78" t="s">
        <v>825</v>
      </c>
      <c r="O834" s="25">
        <f t="shared" si="23"/>
        <v>2.7540080653092325E-3</v>
      </c>
    </row>
    <row r="835" spans="1:15">
      <c r="A835" s="77">
        <v>403.22286028607641</v>
      </c>
      <c r="B835" s="77">
        <v>406.44648121899684</v>
      </c>
      <c r="C835" s="77">
        <v>402.82232055938124</v>
      </c>
      <c r="D835" s="77">
        <v>405.42283679939942</v>
      </c>
      <c r="E835" s="77">
        <v>4240369.5733593339</v>
      </c>
      <c r="F835" s="77" t="s">
        <v>826</v>
      </c>
      <c r="G835" s="25">
        <f t="shared" si="22"/>
        <v>-5.4263754126202546E-3</v>
      </c>
      <c r="I835" s="78">
        <v>98.709197764169986</v>
      </c>
      <c r="J835" s="78">
        <v>100.0017372249</v>
      </c>
      <c r="K835" s="78">
        <v>94.472000735009985</v>
      </c>
      <c r="L835" s="78">
        <v>94.472000735009985</v>
      </c>
      <c r="M835" s="78">
        <v>3790574.6391935148</v>
      </c>
      <c r="N835" s="78" t="s">
        <v>826</v>
      </c>
      <c r="O835" s="25">
        <f t="shared" si="23"/>
        <v>4.4851352741487549E-2</v>
      </c>
    </row>
    <row r="836" spans="1:15">
      <c r="A836" s="77">
        <v>403.48345239742031</v>
      </c>
      <c r="B836" s="77">
        <v>404.64163955894855</v>
      </c>
      <c r="C836" s="77">
        <v>402.19014340038035</v>
      </c>
      <c r="D836" s="77">
        <v>402.71132762306809</v>
      </c>
      <c r="E836" s="77">
        <v>3504554.8205214096</v>
      </c>
      <c r="F836" s="77" t="s">
        <v>827</v>
      </c>
      <c r="G836" s="25">
        <f t="shared" si="22"/>
        <v>1.9173157579388533E-3</v>
      </c>
      <c r="I836" s="78">
        <v>93.82087183374</v>
      </c>
      <c r="J836" s="78">
        <v>94.054112037179991</v>
      </c>
      <c r="K836" s="78">
        <v>90.876214265309997</v>
      </c>
      <c r="L836" s="78">
        <v>92.032696940700006</v>
      </c>
      <c r="M836" s="78">
        <v>3564619.4255437492</v>
      </c>
      <c r="N836" s="78" t="s">
        <v>827</v>
      </c>
      <c r="O836" s="25">
        <f t="shared" si="23"/>
        <v>1.9429778247096019E-2</v>
      </c>
    </row>
    <row r="837" spans="1:15">
      <c r="A837" s="77">
        <v>403.08773845056476</v>
      </c>
      <c r="B837" s="77">
        <v>403.94412134091817</v>
      </c>
      <c r="C837" s="77">
        <v>402.69202450370932</v>
      </c>
      <c r="D837" s="77">
        <v>403.23251184575582</v>
      </c>
      <c r="E837" s="77">
        <v>3763694.2843054482</v>
      </c>
      <c r="F837" s="77" t="s">
        <v>828</v>
      </c>
      <c r="G837" s="25">
        <f t="shared" si="22"/>
        <v>-3.5903204959442103E-4</v>
      </c>
      <c r="I837" s="78">
        <v>91.984105231650005</v>
      </c>
      <c r="J837" s="78">
        <v>95.045382901799996</v>
      </c>
      <c r="K837" s="78">
        <v>91.877203471740003</v>
      </c>
      <c r="L837" s="78">
        <v>94.131858771659992</v>
      </c>
      <c r="M837" s="78">
        <v>3376533.841013357</v>
      </c>
      <c r="N837" s="78" t="s">
        <v>828</v>
      </c>
      <c r="O837" s="25">
        <f t="shared" si="23"/>
        <v>-2.2816436093330394E-2</v>
      </c>
    </row>
    <row r="838" spans="1:15">
      <c r="A838" s="77">
        <v>403.79230230716115</v>
      </c>
      <c r="B838" s="77">
        <v>403.90812102331398</v>
      </c>
      <c r="C838" s="77">
        <v>403.28076964415283</v>
      </c>
      <c r="D838" s="77">
        <v>403.61857423293191</v>
      </c>
      <c r="E838" s="77">
        <v>1400055.5815696488</v>
      </c>
      <c r="F838" s="77" t="s">
        <v>829</v>
      </c>
      <c r="G838" s="25">
        <f t="shared" si="22"/>
        <v>4.304263612233683E-4</v>
      </c>
      <c r="I838" s="78">
        <v>95.570173359539993</v>
      </c>
      <c r="J838" s="78">
        <v>96.036653766419988</v>
      </c>
      <c r="K838" s="78">
        <v>93.505025724915001</v>
      </c>
      <c r="L838" s="78">
        <v>94.267915556999995</v>
      </c>
      <c r="M838" s="78">
        <v>1911508.1938036918</v>
      </c>
      <c r="N838" s="78" t="s">
        <v>829</v>
      </c>
      <c r="O838" s="25">
        <f t="shared" si="23"/>
        <v>1.3814432989690761E-2</v>
      </c>
    </row>
    <row r="839" spans="1:15">
      <c r="A839" s="77">
        <v>403.5703164345349</v>
      </c>
      <c r="B839" s="77">
        <v>404.69954891702497</v>
      </c>
      <c r="C839" s="77">
        <v>402.52794798915943</v>
      </c>
      <c r="D839" s="77">
        <v>403.50275551677908</v>
      </c>
      <c r="E839" s="77">
        <v>3827426.9887006492</v>
      </c>
      <c r="F839" s="77" t="s">
        <v>830</v>
      </c>
      <c r="G839" s="25">
        <f t="shared" si="22"/>
        <v>1.6743607529834392E-4</v>
      </c>
      <c r="I839" s="78">
        <v>95.006509534559996</v>
      </c>
      <c r="J839" s="78">
        <v>96.065808791849989</v>
      </c>
      <c r="K839" s="78">
        <v>94.180450480709993</v>
      </c>
      <c r="L839" s="78">
        <v>94.773269331119991</v>
      </c>
      <c r="M839" s="78">
        <v>2502203.6140957675</v>
      </c>
      <c r="N839" s="78" t="s">
        <v>830</v>
      </c>
      <c r="O839" s="25">
        <f t="shared" si="23"/>
        <v>2.4610336341264194E-3</v>
      </c>
    </row>
    <row r="840" spans="1:15">
      <c r="A840" s="77">
        <v>401.83303569224245</v>
      </c>
      <c r="B840" s="77">
        <v>402.31561367621254</v>
      </c>
      <c r="C840" s="77">
        <v>400.82927348558462</v>
      </c>
      <c r="D840" s="77">
        <v>401.89094505031886</v>
      </c>
      <c r="E840" s="77">
        <v>5437656.8910413822</v>
      </c>
      <c r="F840" s="77" t="s">
        <v>831</v>
      </c>
      <c r="G840" s="25">
        <f t="shared" si="22"/>
        <v>-1.4409221902011993E-4</v>
      </c>
      <c r="I840" s="78">
        <v>93.266926350569989</v>
      </c>
      <c r="J840" s="78">
        <v>96.435105780629996</v>
      </c>
      <c r="K840" s="78">
        <v>92.139598700609994</v>
      </c>
      <c r="L840" s="78">
        <v>94.967636167319995</v>
      </c>
      <c r="M840" s="78">
        <v>3429133.3492416027</v>
      </c>
      <c r="N840" s="78" t="s">
        <v>831</v>
      </c>
      <c r="O840" s="25">
        <f t="shared" si="23"/>
        <v>-1.7908309455587412E-2</v>
      </c>
    </row>
    <row r="841" spans="1:15">
      <c r="A841" s="77">
        <v>402.88505569729733</v>
      </c>
      <c r="B841" s="77">
        <v>403.62822579261132</v>
      </c>
      <c r="C841" s="77">
        <v>399.55517109230669</v>
      </c>
      <c r="D841" s="77">
        <v>399.5649191675829</v>
      </c>
      <c r="E841" s="77">
        <v>3651650.2172405329</v>
      </c>
      <c r="F841" s="77" t="s">
        <v>832</v>
      </c>
      <c r="G841" s="25">
        <f t="shared" si="22"/>
        <v>8.3093794536099885E-3</v>
      </c>
      <c r="I841" s="78">
        <v>94.860734407409993</v>
      </c>
      <c r="J841" s="78">
        <v>94.899607774650008</v>
      </c>
      <c r="K841" s="78">
        <v>90.759594163589995</v>
      </c>
      <c r="L841" s="78">
        <v>92.324247194999998</v>
      </c>
      <c r="M841" s="78">
        <v>8872216.2366503552</v>
      </c>
      <c r="N841" s="78" t="s">
        <v>832</v>
      </c>
      <c r="O841" s="25">
        <f t="shared" si="23"/>
        <v>2.7473684210526317E-2</v>
      </c>
    </row>
    <row r="842" spans="1:15">
      <c r="A842" s="77">
        <v>399.87376907732374</v>
      </c>
      <c r="B842" s="77">
        <v>400.33704394193512</v>
      </c>
      <c r="C842" s="77">
        <v>398.48394448348978</v>
      </c>
      <c r="D842" s="77">
        <v>399.51666136918584</v>
      </c>
      <c r="E842" s="77">
        <v>4869823.2784392694</v>
      </c>
      <c r="F842" s="77" t="s">
        <v>833</v>
      </c>
      <c r="G842" s="25">
        <f t="shared" si="22"/>
        <v>8.9384935014735767E-4</v>
      </c>
      <c r="I842" s="78">
        <v>91.663399951919985</v>
      </c>
      <c r="J842" s="78">
        <v>93.490448212199993</v>
      </c>
      <c r="K842" s="78">
        <v>90.079310236889995</v>
      </c>
      <c r="L842" s="78">
        <v>93.286363034189989</v>
      </c>
      <c r="M842" s="78">
        <v>7144663.2931302506</v>
      </c>
      <c r="N842" s="78" t="s">
        <v>833</v>
      </c>
      <c r="O842" s="25">
        <f t="shared" si="23"/>
        <v>-1.73976455880821E-2</v>
      </c>
    </row>
    <row r="843" spans="1:15">
      <c r="A843" s="77">
        <v>399.28502393688018</v>
      </c>
      <c r="B843" s="77">
        <v>399.52631292886525</v>
      </c>
      <c r="C843" s="77">
        <v>397.40296979939671</v>
      </c>
      <c r="D843" s="77">
        <v>398.35847420765759</v>
      </c>
      <c r="E843" s="77">
        <v>3936036.3777341214</v>
      </c>
      <c r="F843" s="77" t="s">
        <v>834</v>
      </c>
      <c r="G843" s="25">
        <f t="shared" si="22"/>
        <v>2.3259194650384618E-3</v>
      </c>
      <c r="I843" s="78">
        <v>92.518614031200002</v>
      </c>
      <c r="J843" s="78">
        <v>98.874409574939989</v>
      </c>
      <c r="K843" s="78">
        <v>92.236782118709996</v>
      </c>
      <c r="L843" s="78">
        <v>97.368066594390001</v>
      </c>
      <c r="M843" s="78">
        <v>3336996.2318705479</v>
      </c>
      <c r="N843" s="78" t="s">
        <v>834</v>
      </c>
      <c r="O843" s="25">
        <f t="shared" si="23"/>
        <v>-4.9805369797384924E-2</v>
      </c>
    </row>
    <row r="844" spans="1:15">
      <c r="A844" s="77">
        <v>398.72523347547485</v>
      </c>
      <c r="B844" s="77">
        <v>400.26948302417929</v>
      </c>
      <c r="C844" s="77">
        <v>398.00136649951969</v>
      </c>
      <c r="D844" s="77">
        <v>399.13059898200976</v>
      </c>
      <c r="E844" s="77">
        <v>4574190.2310584076</v>
      </c>
      <c r="F844" s="77" t="s">
        <v>835</v>
      </c>
      <c r="G844" s="25">
        <f t="shared" si="22"/>
        <v>-1.0156212216472227E-3</v>
      </c>
      <c r="I844" s="78">
        <v>97.348629910770001</v>
      </c>
      <c r="J844" s="78">
        <v>99.61300355249999</v>
      </c>
      <c r="K844" s="78">
        <v>94.374817316909997</v>
      </c>
      <c r="L844" s="78">
        <v>95.356369839720003</v>
      </c>
      <c r="M844" s="78">
        <v>3770241.9524180125</v>
      </c>
      <c r="N844" s="78" t="s">
        <v>835</v>
      </c>
      <c r="O844" s="25">
        <f t="shared" si="23"/>
        <v>2.0892784345699189E-2</v>
      </c>
    </row>
    <row r="845" spans="1:15">
      <c r="A845" s="77">
        <v>397.85659310432868</v>
      </c>
      <c r="B845" s="77">
        <v>399.10164430297152</v>
      </c>
      <c r="C845" s="77">
        <v>395.60353301276893</v>
      </c>
      <c r="D845" s="77">
        <v>395.75255309421891</v>
      </c>
      <c r="E845" s="77">
        <v>7224858.1904139528</v>
      </c>
      <c r="F845" s="77" t="s">
        <v>836</v>
      </c>
      <c r="G845" s="25">
        <f t="shared" si="22"/>
        <v>5.3165544824895772E-3</v>
      </c>
      <c r="I845" s="78">
        <v>94.74411430568999</v>
      </c>
      <c r="J845" s="78">
        <v>96.784966085790003</v>
      </c>
      <c r="K845" s="78">
        <v>92.499177347580002</v>
      </c>
      <c r="L845" s="78">
        <v>92.64495247472999</v>
      </c>
      <c r="M845" s="78">
        <v>4018946.9318531821</v>
      </c>
      <c r="N845" s="78" t="s">
        <v>836</v>
      </c>
      <c r="O845" s="25">
        <f t="shared" si="23"/>
        <v>2.2658134899821603E-2</v>
      </c>
    </row>
    <row r="846" spans="1:15">
      <c r="A846" s="77">
        <v>390.35733123343289</v>
      </c>
      <c r="B846" s="77">
        <v>391.36109344009077</v>
      </c>
      <c r="C846" s="77">
        <v>388.78412700569032</v>
      </c>
      <c r="D846" s="77">
        <v>389.52729710100431</v>
      </c>
      <c r="E846" s="77">
        <v>2976659.8305672645</v>
      </c>
      <c r="F846" s="77" t="s">
        <v>837</v>
      </c>
      <c r="G846" s="25">
        <f t="shared" si="22"/>
        <v>2.1308753933446667E-3</v>
      </c>
      <c r="I846" s="78">
        <v>90.176493654989997</v>
      </c>
      <c r="J846" s="78">
        <v>94.991932021845003</v>
      </c>
      <c r="K846" s="78">
        <v>89.661421539060001</v>
      </c>
      <c r="L846" s="78">
        <v>94.763550989310005</v>
      </c>
      <c r="M846" s="78">
        <v>4080711.5838622679</v>
      </c>
      <c r="N846" s="78" t="s">
        <v>837</v>
      </c>
      <c r="O846" s="25">
        <f t="shared" si="23"/>
        <v>-4.8405291764947234E-2</v>
      </c>
    </row>
    <row r="847" spans="1:15">
      <c r="A847" s="77">
        <v>390.75304518028844</v>
      </c>
      <c r="B847" s="77">
        <v>390.99336901630551</v>
      </c>
      <c r="C847" s="77">
        <v>385.23235304367017</v>
      </c>
      <c r="D847" s="77">
        <v>386.63182919718355</v>
      </c>
      <c r="E847" s="77">
        <v>4138646.1180202705</v>
      </c>
      <c r="F847" s="77" t="s">
        <v>838</v>
      </c>
      <c r="G847" s="25">
        <f t="shared" si="22"/>
        <v>1.065927756559093E-2</v>
      </c>
      <c r="I847" s="78">
        <v>95.599328384970008</v>
      </c>
      <c r="J847" s="78">
        <v>95.783976879359997</v>
      </c>
      <c r="K847" s="78">
        <v>86.493242108999993</v>
      </c>
      <c r="L847" s="78">
        <v>91.371849697619993</v>
      </c>
      <c r="M847" s="78">
        <v>9345371.0288874898</v>
      </c>
      <c r="N847" s="78" t="s">
        <v>838</v>
      </c>
      <c r="O847" s="25">
        <f t="shared" si="23"/>
        <v>4.6266751754945989E-2</v>
      </c>
    </row>
    <row r="848" spans="1:15">
      <c r="A848" s="77">
        <v>384.74977505970008</v>
      </c>
      <c r="B848" s="77">
        <v>388.84203636376674</v>
      </c>
      <c r="C848" s="77">
        <v>384.33475799348577</v>
      </c>
      <c r="D848" s="77">
        <v>388.77447544601091</v>
      </c>
      <c r="E848" s="77">
        <v>4295279.8694776921</v>
      </c>
      <c r="F848" s="77" t="s">
        <v>839</v>
      </c>
      <c r="G848" s="25">
        <f t="shared" si="22"/>
        <v>-1.0352275266254596E-2</v>
      </c>
      <c r="I848" s="78">
        <v>103.96682068338001</v>
      </c>
      <c r="J848" s="78">
        <v>108.47613128322</v>
      </c>
      <c r="K848" s="78">
        <v>103.51977696012</v>
      </c>
      <c r="L848" s="78">
        <v>108.31091947245</v>
      </c>
      <c r="M848" s="78">
        <v>2461399.3279579864</v>
      </c>
      <c r="N848" s="78" t="s">
        <v>839</v>
      </c>
      <c r="O848" s="25">
        <f t="shared" si="23"/>
        <v>-4.0107671601614991E-2</v>
      </c>
    </row>
    <row r="849" spans="1:15">
      <c r="A849" s="77">
        <v>387.67419764255902</v>
      </c>
      <c r="B849" s="77">
        <v>388.47778650146603</v>
      </c>
      <c r="C849" s="77">
        <v>385.63771855020514</v>
      </c>
      <c r="D849" s="77">
        <v>387.98304755229992</v>
      </c>
      <c r="E849" s="77">
        <v>3866585.4265650045</v>
      </c>
      <c r="F849" s="77" t="s">
        <v>840</v>
      </c>
      <c r="G849" s="25">
        <f t="shared" si="22"/>
        <v>-7.9603970248021128E-4</v>
      </c>
      <c r="I849" s="78">
        <v>107.5820438367</v>
      </c>
      <c r="J849" s="78">
        <v>111.23614035725998</v>
      </c>
      <c r="K849" s="78">
        <v>107.30993026602</v>
      </c>
      <c r="L849" s="78">
        <v>110.38092627798</v>
      </c>
      <c r="M849" s="78">
        <v>2066425.5685404835</v>
      </c>
      <c r="N849" s="78" t="s">
        <v>840</v>
      </c>
      <c r="O849" s="25">
        <f t="shared" si="23"/>
        <v>-2.5356576862123559E-2</v>
      </c>
    </row>
    <row r="850" spans="1:15">
      <c r="A850" s="77">
        <v>387.35569617313871</v>
      </c>
      <c r="B850" s="77">
        <v>388.03130535069693</v>
      </c>
      <c r="C850" s="77">
        <v>385.31921708078482</v>
      </c>
      <c r="D850" s="77">
        <v>386.31332772776329</v>
      </c>
      <c r="E850" s="77">
        <v>3479829.2831029049</v>
      </c>
      <c r="F850" s="77" t="s">
        <v>841</v>
      </c>
      <c r="G850" s="25">
        <f t="shared" si="22"/>
        <v>2.6982461400089086E-3</v>
      </c>
      <c r="I850" s="78">
        <v>111.2750137245</v>
      </c>
      <c r="J850" s="78">
        <v>111.98435549321189</v>
      </c>
      <c r="K850" s="78">
        <v>108.97176671552999</v>
      </c>
      <c r="L850" s="78">
        <v>109.66176898403999</v>
      </c>
      <c r="M850" s="78">
        <v>1341558.0821189496</v>
      </c>
      <c r="N850" s="78" t="s">
        <v>841</v>
      </c>
      <c r="O850" s="25">
        <f t="shared" si="23"/>
        <v>1.4711095356256587E-2</v>
      </c>
    </row>
    <row r="851" spans="1:15">
      <c r="A851" s="77">
        <v>386.26506992936623</v>
      </c>
      <c r="B851" s="77">
        <v>386.76984650059904</v>
      </c>
      <c r="C851" s="77">
        <v>384.57604698547084</v>
      </c>
      <c r="D851" s="77">
        <v>386.17820589225164</v>
      </c>
      <c r="E851" s="77">
        <v>4151769.3855757006</v>
      </c>
      <c r="F851" s="77" t="s">
        <v>842</v>
      </c>
      <c r="G851" s="25">
        <f t="shared" si="22"/>
        <v>2.2493252024391452E-4</v>
      </c>
      <c r="I851" s="78">
        <v>109.66176898403999</v>
      </c>
      <c r="J851" s="78">
        <v>113.59769741708999</v>
      </c>
      <c r="K851" s="78">
        <v>109.17099272263499</v>
      </c>
      <c r="L851" s="78">
        <v>113.22840042831</v>
      </c>
      <c r="M851" s="78">
        <v>1479493.1358768498</v>
      </c>
      <c r="N851" s="78" t="s">
        <v>842</v>
      </c>
      <c r="O851" s="25">
        <f t="shared" si="23"/>
        <v>-3.1499442107973619E-2</v>
      </c>
    </row>
    <row r="852" spans="1:15">
      <c r="A852" s="77">
        <v>385.52189983405231</v>
      </c>
      <c r="B852" s="77">
        <v>386.88276974884803</v>
      </c>
      <c r="C852" s="77">
        <v>383.97765028534786</v>
      </c>
      <c r="D852" s="77">
        <v>384.0548627627831</v>
      </c>
      <c r="E852" s="77">
        <v>6197376.5885373577</v>
      </c>
      <c r="F852" s="77" t="s">
        <v>843</v>
      </c>
      <c r="G852" s="25">
        <f t="shared" si="22"/>
        <v>3.8198632891033313E-3</v>
      </c>
      <c r="I852" s="78">
        <v>113.62685244252</v>
      </c>
      <c r="J852" s="78">
        <v>115.04573034677999</v>
      </c>
      <c r="K852" s="78">
        <v>111.72205744775999</v>
      </c>
      <c r="L852" s="78">
        <v>111.72205744775999</v>
      </c>
      <c r="M852" s="78">
        <v>1545993.1636218093</v>
      </c>
      <c r="N852" s="78" t="s">
        <v>843</v>
      </c>
      <c r="O852" s="25">
        <f t="shared" si="23"/>
        <v>1.7049408489909545E-2</v>
      </c>
    </row>
    <row r="853" spans="1:15">
      <c r="A853" s="77">
        <v>381.98942899139092</v>
      </c>
      <c r="B853" s="77">
        <v>382.11451320483604</v>
      </c>
      <c r="C853" s="77">
        <v>378.26392695514164</v>
      </c>
      <c r="D853" s="77">
        <v>378.27357851482105</v>
      </c>
      <c r="E853" s="77">
        <v>4923726.4834425263</v>
      </c>
      <c r="F853" s="77" t="s">
        <v>844</v>
      </c>
      <c r="G853" s="25">
        <f t="shared" si="22"/>
        <v>9.8231827111983083E-3</v>
      </c>
      <c r="I853" s="78">
        <v>109.09810515906</v>
      </c>
      <c r="J853" s="78">
        <v>109.95331923834</v>
      </c>
      <c r="K853" s="78">
        <v>105.86189733633</v>
      </c>
      <c r="L853" s="78">
        <v>106.60049131388999</v>
      </c>
      <c r="M853" s="78">
        <v>2592709.7947998601</v>
      </c>
      <c r="N853" s="78" t="s">
        <v>844</v>
      </c>
      <c r="O853" s="25">
        <f t="shared" si="23"/>
        <v>2.3429665420731327E-2</v>
      </c>
    </row>
    <row r="854" spans="1:15">
      <c r="A854" s="77">
        <v>374.86657794799191</v>
      </c>
      <c r="B854" s="77">
        <v>375.5228840061913</v>
      </c>
      <c r="C854" s="77">
        <v>371.21828838917781</v>
      </c>
      <c r="D854" s="77">
        <v>371.67191169410972</v>
      </c>
      <c r="E854" s="77">
        <v>5749494.5732372543</v>
      </c>
      <c r="F854" s="77" t="s">
        <v>845</v>
      </c>
      <c r="G854" s="25">
        <f t="shared" si="22"/>
        <v>8.5953932846867254E-3</v>
      </c>
      <c r="I854" s="78">
        <v>103.65583374545999</v>
      </c>
      <c r="J854" s="78">
        <v>105.7355588928</v>
      </c>
      <c r="K854" s="78">
        <v>102.26611086663</v>
      </c>
      <c r="L854" s="78">
        <v>105.7355588928</v>
      </c>
      <c r="M854" s="78">
        <v>3354034.1178841498</v>
      </c>
      <c r="N854" s="78" t="s">
        <v>845</v>
      </c>
      <c r="O854" s="25">
        <f t="shared" si="23"/>
        <v>-1.966911764705892E-2</v>
      </c>
    </row>
    <row r="855" spans="1:15">
      <c r="A855" s="77">
        <v>370.78396820360473</v>
      </c>
      <c r="B855" s="77">
        <v>371.08316655366622</v>
      </c>
      <c r="C855" s="77">
        <v>367.29975515934041</v>
      </c>
      <c r="D855" s="77">
        <v>369.02738434195351</v>
      </c>
      <c r="E855" s="77">
        <v>4686454.9878429901</v>
      </c>
      <c r="F855" s="77" t="s">
        <v>846</v>
      </c>
      <c r="G855" s="25">
        <f t="shared" si="22"/>
        <v>4.7600366156661522E-3</v>
      </c>
      <c r="I855" s="78">
        <v>106.33809608502</v>
      </c>
      <c r="J855" s="78">
        <v>108.13598931986999</v>
      </c>
      <c r="K855" s="78">
        <v>105.01640159886</v>
      </c>
      <c r="L855" s="78">
        <v>105.13302170058</v>
      </c>
      <c r="M855" s="78">
        <v>1640390.9547198773</v>
      </c>
      <c r="N855" s="78" t="s">
        <v>846</v>
      </c>
      <c r="O855" s="25">
        <f t="shared" si="23"/>
        <v>1.1462377518949962E-2</v>
      </c>
    </row>
    <row r="856" spans="1:15">
      <c r="A856" s="77">
        <v>368.55445791766277</v>
      </c>
      <c r="B856" s="77">
        <v>369.46170452752659</v>
      </c>
      <c r="C856" s="77">
        <v>365.51421661865095</v>
      </c>
      <c r="D856" s="77">
        <v>366.67240378017931</v>
      </c>
      <c r="E856" s="77">
        <v>6004999.3913095882</v>
      </c>
      <c r="F856" s="77" t="s">
        <v>847</v>
      </c>
      <c r="G856" s="25">
        <f t="shared" si="22"/>
        <v>5.1327946092494248E-3</v>
      </c>
      <c r="I856" s="78">
        <v>104.83175310447</v>
      </c>
      <c r="J856" s="78">
        <v>106.5357671574354</v>
      </c>
      <c r="K856" s="78">
        <v>100.99300808952</v>
      </c>
      <c r="L856" s="78">
        <v>106.24091266692</v>
      </c>
      <c r="M856" s="78">
        <v>3119617.5842265422</v>
      </c>
      <c r="N856" s="78" t="s">
        <v>847</v>
      </c>
      <c r="O856" s="25">
        <f t="shared" si="23"/>
        <v>-1.3263812660080476E-2</v>
      </c>
    </row>
    <row r="857" spans="1:15">
      <c r="A857" s="77">
        <v>364.17264982321399</v>
      </c>
      <c r="B857" s="77">
        <v>367.61825662876066</v>
      </c>
      <c r="C857" s="77">
        <v>362.84556036729617</v>
      </c>
      <c r="D857" s="77">
        <v>367.27080048030217</v>
      </c>
      <c r="E857" s="77">
        <v>5842322.057059586</v>
      </c>
      <c r="F857" s="77" t="s">
        <v>848</v>
      </c>
      <c r="G857" s="25">
        <f t="shared" si="22"/>
        <v>-8.4356029747982841E-3</v>
      </c>
      <c r="I857" s="78">
        <v>106.14372924881999</v>
      </c>
      <c r="J857" s="78">
        <v>108.94261169009999</v>
      </c>
      <c r="K857" s="78">
        <v>105.80358728547</v>
      </c>
      <c r="L857" s="78">
        <v>108.84542827199999</v>
      </c>
      <c r="M857" s="78">
        <v>1772447.4336018441</v>
      </c>
      <c r="N857" s="78" t="s">
        <v>848</v>
      </c>
      <c r="O857" s="25">
        <f t="shared" si="23"/>
        <v>-2.482142857142855E-2</v>
      </c>
    </row>
    <row r="858" spans="1:15">
      <c r="A858" s="77">
        <v>365.79411184935361</v>
      </c>
      <c r="B858" s="77">
        <v>370.0379991559837</v>
      </c>
      <c r="C858" s="77">
        <v>364.97372927660439</v>
      </c>
      <c r="D858" s="77">
        <v>369.2976280129767</v>
      </c>
      <c r="E858" s="77">
        <v>7210649.0879936805</v>
      </c>
      <c r="F858" s="77" t="s">
        <v>849</v>
      </c>
      <c r="G858" s="25">
        <f t="shared" si="22"/>
        <v>-9.4869717481640414E-3</v>
      </c>
      <c r="I858" s="78">
        <v>108.48584962502999</v>
      </c>
      <c r="J858" s="78">
        <v>110.74050492495</v>
      </c>
      <c r="K858" s="78">
        <v>107.88817160371499</v>
      </c>
      <c r="L858" s="78">
        <v>109.98247426377</v>
      </c>
      <c r="M858" s="78">
        <v>1586305.596304191</v>
      </c>
      <c r="N858" s="78" t="s">
        <v>849</v>
      </c>
      <c r="O858" s="25">
        <f t="shared" si="23"/>
        <v>-1.3607846602456619E-2</v>
      </c>
    </row>
    <row r="859" spans="1:15">
      <c r="A859" s="77">
        <v>370.33999645835218</v>
      </c>
      <c r="B859" s="77">
        <v>374.17166565107499</v>
      </c>
      <c r="C859" s="77">
        <v>369.77055443726744</v>
      </c>
      <c r="D859" s="77">
        <v>374.09445317363981</v>
      </c>
      <c r="E859" s="77">
        <v>5668735.6051646192</v>
      </c>
      <c r="F859" s="77" t="s">
        <v>850</v>
      </c>
      <c r="G859" s="25">
        <f t="shared" si="22"/>
        <v>-1.0036119711042457E-2</v>
      </c>
      <c r="I859" s="78">
        <v>110.72106824133</v>
      </c>
      <c r="J859" s="78">
        <v>111.61515568784999</v>
      </c>
      <c r="K859" s="78">
        <v>107.38767700049999</v>
      </c>
      <c r="L859" s="78">
        <v>111.45966221888999</v>
      </c>
      <c r="M859" s="78">
        <v>1755824.2273843216</v>
      </c>
      <c r="N859" s="78" t="s">
        <v>850</v>
      </c>
      <c r="O859" s="25">
        <f t="shared" si="23"/>
        <v>-6.6265585491322998E-3</v>
      </c>
    </row>
    <row r="860" spans="1:15">
      <c r="A860" s="77">
        <v>375.63870272234414</v>
      </c>
      <c r="B860" s="77">
        <v>376.66176804836078</v>
      </c>
      <c r="C860" s="77">
        <v>373.08103940730251</v>
      </c>
      <c r="D860" s="77">
        <v>374.75075923183908</v>
      </c>
      <c r="E860" s="77">
        <v>4612221.3899791101</v>
      </c>
      <c r="F860" s="77" t="s">
        <v>851</v>
      </c>
      <c r="G860" s="25">
        <f t="shared" si="22"/>
        <v>2.3694241269187621E-3</v>
      </c>
      <c r="I860" s="78">
        <v>112.82994841409999</v>
      </c>
      <c r="J860" s="78">
        <v>115.779465153435</v>
      </c>
      <c r="K860" s="78">
        <v>112.70846914147499</v>
      </c>
      <c r="L860" s="78">
        <v>115.57052080452</v>
      </c>
      <c r="M860" s="78">
        <v>1864657.608703722</v>
      </c>
      <c r="N860" s="78" t="s">
        <v>851</v>
      </c>
      <c r="O860" s="25">
        <f t="shared" si="23"/>
        <v>-2.3713420787083828E-2</v>
      </c>
    </row>
    <row r="861" spans="1:15">
      <c r="A861" s="77">
        <v>372.84940197499685</v>
      </c>
      <c r="B861" s="77">
        <v>376.35291813861994</v>
      </c>
      <c r="C861" s="77">
        <v>370.47511829386383</v>
      </c>
      <c r="D861" s="77">
        <v>372.04832252160645</v>
      </c>
      <c r="E861" s="77">
        <v>5737032.3387388559</v>
      </c>
      <c r="F861" s="77" t="s">
        <v>852</v>
      </c>
      <c r="G861" s="25">
        <f t="shared" si="22"/>
        <v>2.1531596970010281E-3</v>
      </c>
      <c r="I861" s="78">
        <v>116.10502960407</v>
      </c>
      <c r="J861" s="78">
        <v>117.25179393765001</v>
      </c>
      <c r="K861" s="78">
        <v>114.05445948216</v>
      </c>
      <c r="L861" s="78">
        <v>115.25953386659999</v>
      </c>
      <c r="M861" s="78">
        <v>1342543.8469939968</v>
      </c>
      <c r="N861" s="78" t="s">
        <v>852</v>
      </c>
      <c r="O861" s="25">
        <f t="shared" si="23"/>
        <v>7.3355817875211393E-3</v>
      </c>
    </row>
    <row r="862" spans="1:15">
      <c r="A862" s="77">
        <v>373.50570803319624</v>
      </c>
      <c r="B862" s="77">
        <v>378.16741135834758</v>
      </c>
      <c r="C862" s="77">
        <v>373.36093463800512</v>
      </c>
      <c r="D862" s="77">
        <v>377.74274273245391</v>
      </c>
      <c r="E862" s="77">
        <v>7822169.9401721954</v>
      </c>
      <c r="F862" s="77" t="s">
        <v>853</v>
      </c>
      <c r="G862" s="25">
        <f t="shared" si="22"/>
        <v>-1.1216720322959728E-2</v>
      </c>
      <c r="I862" s="78">
        <v>116.27024141484</v>
      </c>
      <c r="J862" s="78">
        <v>117.71827434452999</v>
      </c>
      <c r="K862" s="78">
        <v>115.49277407004</v>
      </c>
      <c r="L862" s="78">
        <v>116.62010171999999</v>
      </c>
      <c r="M862" s="78">
        <v>1635612.3617347844</v>
      </c>
      <c r="N862" s="78" t="s">
        <v>853</v>
      </c>
      <c r="O862" s="25">
        <f t="shared" si="23"/>
        <v>-2.9999999999998916E-3</v>
      </c>
    </row>
    <row r="863" spans="1:15">
      <c r="A863" s="77">
        <v>378.21566915674464</v>
      </c>
      <c r="B863" s="77">
        <v>383.74601285304226</v>
      </c>
      <c r="C863" s="77">
        <v>377.50627952030851</v>
      </c>
      <c r="D863" s="77">
        <v>382.17280862529964</v>
      </c>
      <c r="E863" s="77">
        <v>6951107.6166451778</v>
      </c>
      <c r="F863" s="77" t="s">
        <v>854</v>
      </c>
      <c r="G863" s="25">
        <f t="shared" si="22"/>
        <v>-1.0354319771699871E-2</v>
      </c>
      <c r="I863" s="78">
        <v>116.60066503637999</v>
      </c>
      <c r="J863" s="78">
        <v>121.43068091594999</v>
      </c>
      <c r="K863" s="78">
        <v>116.26052307302999</v>
      </c>
      <c r="L863" s="78">
        <v>121.21687739613</v>
      </c>
      <c r="M863" s="78">
        <v>2605550.4627285795</v>
      </c>
      <c r="N863" s="78" t="s">
        <v>854</v>
      </c>
      <c r="O863" s="25">
        <f t="shared" si="23"/>
        <v>-3.8082257676581466E-2</v>
      </c>
    </row>
    <row r="864" spans="1:15">
      <c r="A864" s="77">
        <v>381.44894164934448</v>
      </c>
      <c r="B864" s="77">
        <v>385.87900754219015</v>
      </c>
      <c r="C864" s="77">
        <v>380.48378568140424</v>
      </c>
      <c r="D864" s="77">
        <v>384.99106405168516</v>
      </c>
      <c r="E864" s="77">
        <v>7593861.7627174594</v>
      </c>
      <c r="F864" s="77" t="s">
        <v>855</v>
      </c>
      <c r="G864" s="25">
        <f t="shared" si="22"/>
        <v>-9.2005314748425659E-3</v>
      </c>
      <c r="I864" s="78">
        <v>120.94476382545</v>
      </c>
      <c r="J864" s="78">
        <v>126.4144409629542</v>
      </c>
      <c r="K864" s="78">
        <v>120.8961721164</v>
      </c>
      <c r="L864" s="78">
        <v>126.28013347913999</v>
      </c>
      <c r="M864" s="78">
        <v>1488340.3241812917</v>
      </c>
      <c r="N864" s="78" t="s">
        <v>855</v>
      </c>
      <c r="O864" s="25">
        <f t="shared" si="23"/>
        <v>-4.2250269355086911E-2</v>
      </c>
    </row>
    <row r="865" spans="1:15">
      <c r="A865" s="77">
        <v>386.62217763750414</v>
      </c>
      <c r="B865" s="77">
        <v>388.47527709594942</v>
      </c>
      <c r="C865" s="77">
        <v>383.46370473241973</v>
      </c>
      <c r="D865" s="77">
        <v>383.77496753208044</v>
      </c>
      <c r="E865" s="77">
        <v>4366764.6888144482</v>
      </c>
      <c r="F865" s="77" t="s">
        <v>856</v>
      </c>
      <c r="G865" s="25">
        <f t="shared" si="22"/>
        <v>7.4189573221334904E-3</v>
      </c>
      <c r="I865" s="78">
        <v>128.15577344847</v>
      </c>
      <c r="J865" s="78">
        <v>129.94394834151001</v>
      </c>
      <c r="K865" s="78">
        <v>125.701892141445</v>
      </c>
      <c r="L865" s="78">
        <v>126.30928850456999</v>
      </c>
      <c r="M865" s="78">
        <v>1198622.175237115</v>
      </c>
      <c r="N865" s="78" t="s">
        <v>856</v>
      </c>
      <c r="O865" s="25">
        <f t="shared" si="23"/>
        <v>1.4618758174963498E-2</v>
      </c>
    </row>
    <row r="866" spans="1:15">
      <c r="A866" s="77">
        <v>386.61252607782478</v>
      </c>
      <c r="B866" s="77">
        <v>387.60663672480325</v>
      </c>
      <c r="C866" s="77">
        <v>384.46022826931801</v>
      </c>
      <c r="D866" s="77">
        <v>384.68221414194426</v>
      </c>
      <c r="E866" s="77">
        <v>5336900.1188405808</v>
      </c>
      <c r="F866" s="77" t="s">
        <v>857</v>
      </c>
      <c r="G866" s="25">
        <f t="shared" si="22"/>
        <v>5.0179391323983413E-3</v>
      </c>
      <c r="I866" s="78">
        <v>127.67957469977999</v>
      </c>
      <c r="J866" s="78">
        <v>128.21408349933</v>
      </c>
      <c r="K866" s="78">
        <v>122.48998017324</v>
      </c>
      <c r="L866" s="78">
        <v>125.66787794510999</v>
      </c>
      <c r="M866" s="78">
        <v>2080095.5960613615</v>
      </c>
      <c r="N866" s="78" t="s">
        <v>857</v>
      </c>
      <c r="O866" s="25">
        <f t="shared" si="23"/>
        <v>1.6008042688113733E-2</v>
      </c>
    </row>
    <row r="867" spans="1:15">
      <c r="A867" s="77">
        <v>382.60712881087272</v>
      </c>
      <c r="B867" s="77">
        <v>386.98893690532145</v>
      </c>
      <c r="C867" s="77">
        <v>381.19800109767993</v>
      </c>
      <c r="D867" s="77">
        <v>385.87900754219015</v>
      </c>
      <c r="E867" s="77">
        <v>3908403.5381870409</v>
      </c>
      <c r="F867" s="77" t="s">
        <v>858</v>
      </c>
      <c r="G867" s="25">
        <f t="shared" si="22"/>
        <v>-8.4790275380806079E-3</v>
      </c>
      <c r="I867" s="78">
        <v>125.47351110891</v>
      </c>
      <c r="J867" s="78">
        <v>126.66886715154</v>
      </c>
      <c r="K867" s="78">
        <v>123.98660481197999</v>
      </c>
      <c r="L867" s="78">
        <v>125.99830156665</v>
      </c>
      <c r="M867" s="78">
        <v>1594820.4233824948</v>
      </c>
      <c r="N867" s="78" t="s">
        <v>858</v>
      </c>
      <c r="O867" s="25">
        <f t="shared" si="23"/>
        <v>-4.1650597763208674E-3</v>
      </c>
    </row>
    <row r="868" spans="1:15">
      <c r="A868" s="77">
        <v>384.63395634354725</v>
      </c>
      <c r="B868" s="77">
        <v>387.79966791839126</v>
      </c>
      <c r="C868" s="77">
        <v>382.39479449792589</v>
      </c>
      <c r="D868" s="77">
        <v>387.49081800865042</v>
      </c>
      <c r="E868" s="77">
        <v>4012749.3676128555</v>
      </c>
      <c r="F868" s="77" t="s">
        <v>859</v>
      </c>
      <c r="G868" s="25">
        <f t="shared" si="22"/>
        <v>-7.3727209325497034E-3</v>
      </c>
      <c r="I868" s="78">
        <v>126.7271772024</v>
      </c>
      <c r="J868" s="78">
        <v>134.39494889048999</v>
      </c>
      <c r="K868" s="78">
        <v>125.65815960330001</v>
      </c>
      <c r="L868" s="78">
        <v>134.12283531980998</v>
      </c>
      <c r="M868" s="78">
        <v>1328117.5176117828</v>
      </c>
      <c r="N868" s="78" t="s">
        <v>859</v>
      </c>
      <c r="O868" s="25">
        <f t="shared" si="23"/>
        <v>-5.5140931816534899E-2</v>
      </c>
    </row>
    <row r="869" spans="1:15">
      <c r="A869" s="77">
        <v>386.95998222628327</v>
      </c>
      <c r="B869" s="77">
        <v>387.11440718115364</v>
      </c>
      <c r="C869" s="77">
        <v>384.12242368053893</v>
      </c>
      <c r="D869" s="77">
        <v>386.32297928744265</v>
      </c>
      <c r="E869" s="77">
        <v>4332754.6416403605</v>
      </c>
      <c r="F869" s="77" t="s">
        <v>860</v>
      </c>
      <c r="G869" s="25">
        <f t="shared" si="22"/>
        <v>1.6488870012743018E-3</v>
      </c>
      <c r="I869" s="78">
        <v>134.03537024351999</v>
      </c>
      <c r="J869" s="78">
        <v>136.00819363094999</v>
      </c>
      <c r="K869" s="78">
        <v>132.80114083365001</v>
      </c>
      <c r="L869" s="78">
        <v>135.18213457709999</v>
      </c>
      <c r="M869" s="78">
        <v>909543.02419210761</v>
      </c>
      <c r="N869" s="78" t="s">
        <v>860</v>
      </c>
      <c r="O869" s="25">
        <f t="shared" si="23"/>
        <v>-8.4831056793672754E-3</v>
      </c>
    </row>
    <row r="870" spans="1:15">
      <c r="A870" s="77">
        <v>385.32886864046424</v>
      </c>
      <c r="B870" s="77">
        <v>387.68384920223843</v>
      </c>
      <c r="C870" s="77">
        <v>383.54091720985491</v>
      </c>
      <c r="D870" s="77">
        <v>383.91008936759204</v>
      </c>
      <c r="E870" s="77">
        <v>3408402.4854764841</v>
      </c>
      <c r="F870" s="77" t="s">
        <v>861</v>
      </c>
      <c r="G870" s="25">
        <f t="shared" si="22"/>
        <v>3.6956029866506146E-3</v>
      </c>
      <c r="I870" s="78">
        <v>134.88086598099</v>
      </c>
      <c r="J870" s="78">
        <v>135.72636171846</v>
      </c>
      <c r="K870" s="78">
        <v>132.44156218667999</v>
      </c>
      <c r="L870" s="78">
        <v>134.46297728316</v>
      </c>
      <c r="M870" s="78">
        <v>1440834.2774681642</v>
      </c>
      <c r="N870" s="78" t="s">
        <v>861</v>
      </c>
      <c r="O870" s="25">
        <f t="shared" si="23"/>
        <v>3.1078346342874319E-3</v>
      </c>
    </row>
    <row r="871" spans="1:15">
      <c r="A871" s="77">
        <v>383.35029890618671</v>
      </c>
      <c r="B871" s="77">
        <v>383.83287689015685</v>
      </c>
      <c r="C871" s="77">
        <v>378.64033778263831</v>
      </c>
      <c r="D871" s="77">
        <v>379.11326420692905</v>
      </c>
      <c r="E871" s="77">
        <v>3066345.8532157396</v>
      </c>
      <c r="F871" s="77" t="s">
        <v>862</v>
      </c>
      <c r="G871" s="25">
        <f t="shared" si="22"/>
        <v>1.1176171079429587E-2</v>
      </c>
      <c r="I871" s="78">
        <v>133.90903179998998</v>
      </c>
      <c r="J871" s="78">
        <v>135.47368483139999</v>
      </c>
      <c r="K871" s="78">
        <v>131.23648780223999</v>
      </c>
      <c r="L871" s="78">
        <v>134.72537251202999</v>
      </c>
      <c r="M871" s="78">
        <v>998250.54414298281</v>
      </c>
      <c r="N871" s="78" t="s">
        <v>862</v>
      </c>
      <c r="O871" s="25">
        <f t="shared" si="23"/>
        <v>-6.0592945249947627E-3</v>
      </c>
    </row>
    <row r="872" spans="1:15">
      <c r="A872" s="77">
        <v>380.81193871050385</v>
      </c>
      <c r="B872" s="77">
        <v>382.28380156161273</v>
      </c>
      <c r="C872" s="77">
        <v>372.94630363417804</v>
      </c>
      <c r="D872" s="77">
        <v>374.1813172107544</v>
      </c>
      <c r="E872" s="77">
        <v>5074018.2547399299</v>
      </c>
      <c r="F872" s="77" t="s">
        <v>863</v>
      </c>
      <c r="G872" s="25">
        <f t="shared" si="22"/>
        <v>1.7720343573473629E-2</v>
      </c>
      <c r="I872" s="78">
        <v>136.07622202362001</v>
      </c>
      <c r="J872" s="78">
        <v>137.61172002959998</v>
      </c>
      <c r="K872" s="78">
        <v>132.9469159608</v>
      </c>
      <c r="L872" s="78">
        <v>133.66607325473998</v>
      </c>
      <c r="M872" s="78">
        <v>1448835.642466459</v>
      </c>
      <c r="N872" s="78" t="s">
        <v>863</v>
      </c>
      <c r="O872" s="25">
        <f t="shared" si="23"/>
        <v>1.8031118220154241E-2</v>
      </c>
    </row>
    <row r="873" spans="1:15">
      <c r="A873" s="77">
        <v>376.32396345958176</v>
      </c>
      <c r="B873" s="77">
        <v>377.17223903980442</v>
      </c>
      <c r="C873" s="77">
        <v>373.46710179447859</v>
      </c>
      <c r="D873" s="77">
        <v>376.30466034022288</v>
      </c>
      <c r="E873" s="77">
        <v>3449277.7443055757</v>
      </c>
      <c r="F873" s="77" t="s">
        <v>864</v>
      </c>
      <c r="G873" s="25">
        <f t="shared" si="22"/>
        <v>5.1296519531396356E-5</v>
      </c>
      <c r="I873" s="78">
        <v>135.50283985683001</v>
      </c>
      <c r="J873" s="78">
        <v>136.23657466348499</v>
      </c>
      <c r="K873" s="78">
        <v>131.53775639834998</v>
      </c>
      <c r="L873" s="78">
        <v>134.47269562496999</v>
      </c>
      <c r="M873" s="78">
        <v>1247167.4938957514</v>
      </c>
      <c r="N873" s="78" t="s">
        <v>864</v>
      </c>
      <c r="O873" s="25">
        <f t="shared" si="23"/>
        <v>7.6606200766062837E-3</v>
      </c>
    </row>
    <row r="874" spans="1:15">
      <c r="A874" s="77">
        <v>376.64246492900202</v>
      </c>
      <c r="B874" s="77">
        <v>377.23121006944558</v>
      </c>
      <c r="C874" s="77">
        <v>372.93626601211145</v>
      </c>
      <c r="D874" s="77">
        <v>374.21992344947199</v>
      </c>
      <c r="E874" s="77">
        <v>4490196.5526345922</v>
      </c>
      <c r="F874" s="77" t="s">
        <v>865</v>
      </c>
      <c r="G874" s="25">
        <f t="shared" si="22"/>
        <v>6.4735769736672388E-3</v>
      </c>
      <c r="I874" s="78">
        <v>134.42410391592</v>
      </c>
      <c r="J874" s="78">
        <v>134.80311924650999</v>
      </c>
      <c r="K874" s="78">
        <v>128.81176152064498</v>
      </c>
      <c r="L874" s="78">
        <v>130.80888076259998</v>
      </c>
      <c r="M874" s="78">
        <v>1396967.7405285665</v>
      </c>
      <c r="N874" s="78" t="s">
        <v>865</v>
      </c>
      <c r="O874" s="25">
        <f t="shared" si="23"/>
        <v>2.7637444279346335E-2</v>
      </c>
    </row>
    <row r="875" spans="1:15">
      <c r="A875" s="77">
        <v>373.89177042037227</v>
      </c>
      <c r="B875" s="77">
        <v>378.27357851482105</v>
      </c>
      <c r="C875" s="77">
        <v>372.57915830397354</v>
      </c>
      <c r="D875" s="77">
        <v>376.97061795810168</v>
      </c>
      <c r="E875" s="77">
        <v>7135285.1028802367</v>
      </c>
      <c r="F875" s="77" t="s">
        <v>866</v>
      </c>
      <c r="G875" s="25">
        <f t="shared" si="22"/>
        <v>-8.167340877669127E-3</v>
      </c>
      <c r="I875" s="78">
        <v>130.14803351951997</v>
      </c>
      <c r="J875" s="78">
        <v>132.07226519790001</v>
      </c>
      <c r="K875" s="78">
        <v>129.78845487255001</v>
      </c>
      <c r="L875" s="78">
        <v>131.20733277680998</v>
      </c>
      <c r="M875" s="78">
        <v>1949682.401631848</v>
      </c>
      <c r="N875" s="78" t="s">
        <v>866</v>
      </c>
      <c r="O875" s="25">
        <f t="shared" si="23"/>
        <v>-8.073476038812033E-3</v>
      </c>
    </row>
    <row r="876" spans="1:15">
      <c r="A876" s="77">
        <v>378.9877939310968</v>
      </c>
      <c r="B876" s="77">
        <v>380.03971742055489</v>
      </c>
      <c r="C876" s="77">
        <v>376.38187281765818</v>
      </c>
      <c r="D876" s="77">
        <v>378.24462383578282</v>
      </c>
      <c r="E876" s="77">
        <v>6098654.720606165</v>
      </c>
      <c r="F876" s="77" t="s">
        <v>867</v>
      </c>
      <c r="G876" s="25">
        <f t="shared" si="22"/>
        <v>1.9647869354426639E-3</v>
      </c>
      <c r="I876" s="78">
        <v>132.59705565563999</v>
      </c>
      <c r="J876" s="78">
        <v>133.35508631682001</v>
      </c>
      <c r="K876" s="78">
        <v>131.00324759880002</v>
      </c>
      <c r="L876" s="78">
        <v>133.00522601166</v>
      </c>
      <c r="M876" s="78">
        <v>1876442.5409729441</v>
      </c>
      <c r="N876" s="78" t="s">
        <v>867</v>
      </c>
      <c r="O876" s="25">
        <f t="shared" si="23"/>
        <v>-3.068829460762923E-3</v>
      </c>
    </row>
    <row r="877" spans="1:15">
      <c r="A877" s="77">
        <v>379.01674861013498</v>
      </c>
      <c r="B877" s="77">
        <v>382.91597872061362</v>
      </c>
      <c r="C877" s="77">
        <v>377.66553025501867</v>
      </c>
      <c r="D877" s="77">
        <v>382.80016000446079</v>
      </c>
      <c r="E877" s="77">
        <v>5974770.0802250132</v>
      </c>
      <c r="F877" s="77" t="s">
        <v>868</v>
      </c>
      <c r="G877" s="25">
        <f t="shared" si="22"/>
        <v>-9.8835157077303837E-3</v>
      </c>
      <c r="I877" s="78">
        <v>133.41339636768001</v>
      </c>
      <c r="J877" s="78">
        <v>134.444512433721</v>
      </c>
      <c r="K877" s="78">
        <v>129.66211642901999</v>
      </c>
      <c r="L877" s="78">
        <v>130.225780254</v>
      </c>
      <c r="M877" s="78">
        <v>2267922.9060785631</v>
      </c>
      <c r="N877" s="78" t="s">
        <v>868</v>
      </c>
      <c r="O877" s="25">
        <f t="shared" si="23"/>
        <v>2.4477611940298516E-2</v>
      </c>
    </row>
    <row r="878" spans="1:15">
      <c r="A878" s="77">
        <v>379.92399521999886</v>
      </c>
      <c r="B878" s="77">
        <v>381.49719944774142</v>
      </c>
      <c r="C878" s="77">
        <v>376.72932896611661</v>
      </c>
      <c r="D878" s="77">
        <v>377.25051318880435</v>
      </c>
      <c r="E878" s="77">
        <v>4212557.4881713968</v>
      </c>
      <c r="F878" s="77" t="s">
        <v>869</v>
      </c>
      <c r="G878" s="25">
        <f t="shared" si="22"/>
        <v>7.0867551871467427E-3</v>
      </c>
      <c r="I878" s="78">
        <v>128.62225385534998</v>
      </c>
      <c r="J878" s="78">
        <v>130.10916015228</v>
      </c>
      <c r="K878" s="78">
        <v>126.30666455228129</v>
      </c>
      <c r="L878" s="78">
        <v>126.73689554420999</v>
      </c>
      <c r="M878" s="78">
        <v>2108934.8780581737</v>
      </c>
      <c r="N878" s="78" t="s">
        <v>869</v>
      </c>
      <c r="O878" s="25">
        <f t="shared" si="23"/>
        <v>1.4876159803695943E-2</v>
      </c>
    </row>
    <row r="879" spans="1:15">
      <c r="A879" s="77">
        <v>377.72102671738435</v>
      </c>
      <c r="B879" s="77">
        <v>379.20172006381364</v>
      </c>
      <c r="C879" s="77">
        <v>374.45196348500781</v>
      </c>
      <c r="D879" s="77">
        <v>378.67290101151741</v>
      </c>
      <c r="E879" s="77">
        <v>5031463.7652459061</v>
      </c>
      <c r="F879" s="77" t="s">
        <v>870</v>
      </c>
      <c r="G879" s="25">
        <f t="shared" si="22"/>
        <v>-2.5137111517364863E-3</v>
      </c>
      <c r="I879" s="78">
        <v>129.54549632730001</v>
      </c>
      <c r="J879" s="78">
        <v>129.83704658159999</v>
      </c>
      <c r="K879" s="78">
        <v>126.35788021362001</v>
      </c>
      <c r="L879" s="78">
        <v>126.35788021362001</v>
      </c>
      <c r="M879" s="78">
        <v>2665585.3957867739</v>
      </c>
      <c r="N879" s="78" t="s">
        <v>870</v>
      </c>
      <c r="O879" s="25">
        <f t="shared" si="23"/>
        <v>2.5226888171050676E-2</v>
      </c>
    </row>
    <row r="880" spans="1:15">
      <c r="A880" s="77">
        <v>377.63449269064489</v>
      </c>
      <c r="B880" s="77">
        <v>381.09585376022005</v>
      </c>
      <c r="C880" s="77">
        <v>376.86530134185045</v>
      </c>
      <c r="D880" s="77">
        <v>380.48050068118448</v>
      </c>
      <c r="E880" s="77">
        <v>5964429.0165123409</v>
      </c>
      <c r="F880" s="77" t="s">
        <v>871</v>
      </c>
      <c r="G880" s="25">
        <f t="shared" si="22"/>
        <v>-7.4800363893663402E-3</v>
      </c>
      <c r="I880" s="78">
        <v>125.27914427271</v>
      </c>
      <c r="J880" s="78">
        <v>127.45605283815</v>
      </c>
      <c r="K880" s="78">
        <v>123.78251963397</v>
      </c>
      <c r="L880" s="78">
        <v>127.11591087480001</v>
      </c>
      <c r="M880" s="78">
        <v>1443270.9071384268</v>
      </c>
      <c r="N880" s="78" t="s">
        <v>871</v>
      </c>
      <c r="O880" s="25">
        <f t="shared" si="23"/>
        <v>-1.4449541284403788E-2</v>
      </c>
    </row>
    <row r="881" spans="1:15">
      <c r="A881" s="77">
        <v>383.25920442870449</v>
      </c>
      <c r="B881" s="77">
        <v>383.2872799129355</v>
      </c>
      <c r="C881" s="77">
        <v>380.14397946608688</v>
      </c>
      <c r="D881" s="77">
        <v>380.51896024862418</v>
      </c>
      <c r="E881" s="77">
        <v>3357188.0443626824</v>
      </c>
      <c r="F881" s="77" t="s">
        <v>872</v>
      </c>
      <c r="G881" s="25">
        <f t="shared" si="22"/>
        <v>7.2013341419041588E-3</v>
      </c>
      <c r="I881" s="78">
        <v>127.70872972520999</v>
      </c>
      <c r="J881" s="78">
        <v>128.89922659693499</v>
      </c>
      <c r="K881" s="78">
        <v>125.96914654122</v>
      </c>
      <c r="L881" s="78">
        <v>128.64169053897001</v>
      </c>
      <c r="M881" s="78">
        <v>2026490.7722977076</v>
      </c>
      <c r="N881" s="78" t="s">
        <v>872</v>
      </c>
      <c r="O881" s="25">
        <f t="shared" si="23"/>
        <v>-7.2523985797388058E-3</v>
      </c>
    </row>
    <row r="882" spans="1:15">
      <c r="A882" s="77">
        <v>381.67274727181587</v>
      </c>
      <c r="B882" s="77">
        <v>384.90911987186865</v>
      </c>
      <c r="C882" s="77">
        <v>381.28334415148868</v>
      </c>
      <c r="D882" s="77">
        <v>383.43707992811323</v>
      </c>
      <c r="E882" s="77">
        <v>7495173.2218981115</v>
      </c>
      <c r="F882" s="77" t="s">
        <v>873</v>
      </c>
      <c r="G882" s="25">
        <f t="shared" si="22"/>
        <v>-4.6013616018256709E-3</v>
      </c>
      <c r="I882" s="78">
        <v>128.70971893164</v>
      </c>
      <c r="J882" s="78">
        <v>131.10043101689999</v>
      </c>
      <c r="K882" s="78">
        <v>128.08774505580001</v>
      </c>
      <c r="L882" s="78">
        <v>129.98282170875001</v>
      </c>
      <c r="M882" s="78">
        <v>1991048.5120094784</v>
      </c>
      <c r="N882" s="78" t="s">
        <v>873</v>
      </c>
      <c r="O882" s="25">
        <f t="shared" si="23"/>
        <v>-9.794392523364559E-3</v>
      </c>
    </row>
    <row r="883" spans="1:15">
      <c r="A883" s="77">
        <v>382.59577689036928</v>
      </c>
      <c r="B883" s="77">
        <v>386.56672722852073</v>
      </c>
      <c r="C883" s="77">
        <v>382.37463437759084</v>
      </c>
      <c r="D883" s="77">
        <v>386.32635493202247</v>
      </c>
      <c r="E883" s="77">
        <v>4818711.5024227751</v>
      </c>
      <c r="F883" s="77" t="s">
        <v>874</v>
      </c>
      <c r="G883" s="25">
        <f t="shared" si="22"/>
        <v>-9.656545545047357E-3</v>
      </c>
      <c r="I883" s="78">
        <v>129.57465135273</v>
      </c>
      <c r="J883" s="78">
        <v>133.33555244978191</v>
      </c>
      <c r="K883" s="78">
        <v>129.45803125101</v>
      </c>
      <c r="L883" s="78">
        <v>132.82057751726998</v>
      </c>
      <c r="M883" s="78">
        <v>1645160.2868658516</v>
      </c>
      <c r="N883" s="78" t="s">
        <v>874</v>
      </c>
      <c r="O883" s="25">
        <f t="shared" si="23"/>
        <v>-2.4438428331016171E-2</v>
      </c>
    </row>
    <row r="884" spans="1:15">
      <c r="A884" s="77">
        <v>388.97045019350344</v>
      </c>
      <c r="B884" s="77">
        <v>394.05672798740682</v>
      </c>
      <c r="C884" s="77">
        <v>388.75892257258494</v>
      </c>
      <c r="D884" s="77">
        <v>393.69136209672945</v>
      </c>
      <c r="E884" s="77">
        <v>4170005.298456707</v>
      </c>
      <c r="F884" s="77" t="s">
        <v>875</v>
      </c>
      <c r="G884" s="25">
        <f t="shared" si="22"/>
        <v>-1.1991403311678694E-2</v>
      </c>
      <c r="I884" s="78">
        <v>134.45325894134999</v>
      </c>
      <c r="J884" s="78">
        <v>139.31242984635</v>
      </c>
      <c r="K884" s="78">
        <v>134.14227200343001</v>
      </c>
      <c r="L884" s="78">
        <v>138.17538385457999</v>
      </c>
      <c r="M884" s="78">
        <v>1586335.4367857948</v>
      </c>
      <c r="N884" s="78" t="s">
        <v>875</v>
      </c>
      <c r="O884" s="25">
        <f t="shared" si="23"/>
        <v>-2.6937684625123137E-2</v>
      </c>
    </row>
    <row r="885" spans="1:15">
      <c r="A885" s="77">
        <v>392.64333888399705</v>
      </c>
      <c r="B885" s="77">
        <v>393.061586679904</v>
      </c>
      <c r="C885" s="77">
        <v>390.08577764925536</v>
      </c>
      <c r="D885" s="77">
        <v>392.49911550609806</v>
      </c>
      <c r="E885" s="77">
        <v>3775157.3838565219</v>
      </c>
      <c r="F885" s="77" t="s">
        <v>876</v>
      </c>
      <c r="G885" s="25">
        <f t="shared" si="22"/>
        <v>3.6744892459950051E-4</v>
      </c>
      <c r="I885" s="78">
        <v>136.57185745593</v>
      </c>
      <c r="J885" s="78">
        <v>137.66031173864999</v>
      </c>
      <c r="K885" s="78">
        <v>134.13255366161999</v>
      </c>
      <c r="L885" s="78">
        <v>137.27157806624999</v>
      </c>
      <c r="M885" s="78">
        <v>2530525.3180840737</v>
      </c>
      <c r="N885" s="78" t="s">
        <v>876</v>
      </c>
      <c r="O885" s="25">
        <f t="shared" si="23"/>
        <v>-5.0973451327432917E-3</v>
      </c>
    </row>
    <row r="886" spans="1:15">
      <c r="A886" s="77">
        <v>393.43176001651136</v>
      </c>
      <c r="B886" s="77">
        <v>394.53747258040335</v>
      </c>
      <c r="C886" s="77">
        <v>392.44142615493848</v>
      </c>
      <c r="D886" s="77">
        <v>392.84525161305555</v>
      </c>
      <c r="E886" s="77">
        <v>3135314.5141059067</v>
      </c>
      <c r="F886" s="77" t="s">
        <v>877</v>
      </c>
      <c r="G886" s="25">
        <f t="shared" si="22"/>
        <v>1.4929756718391474E-3</v>
      </c>
      <c r="I886" s="78">
        <v>138.39890571620998</v>
      </c>
      <c r="J886" s="78">
        <v>141.92666379323998</v>
      </c>
      <c r="K886" s="78">
        <v>138.00045370199999</v>
      </c>
      <c r="L886" s="78">
        <v>141.92666379323998</v>
      </c>
      <c r="M886" s="78">
        <v>2001421.6808042072</v>
      </c>
      <c r="N886" s="78" t="s">
        <v>877</v>
      </c>
      <c r="O886" s="25">
        <f t="shared" si="23"/>
        <v>-2.4856203779786368E-2</v>
      </c>
    </row>
    <row r="887" spans="1:15">
      <c r="A887" s="77">
        <v>392.99908988281447</v>
      </c>
      <c r="B887" s="77">
        <v>396.7777423837673</v>
      </c>
      <c r="C887" s="77">
        <v>392.74910269445627</v>
      </c>
      <c r="D887" s="77">
        <v>396.46045095238952</v>
      </c>
      <c r="E887" s="77">
        <v>4164404.6114407238</v>
      </c>
      <c r="F887" s="77" t="s">
        <v>878</v>
      </c>
      <c r="G887" s="25">
        <f t="shared" si="22"/>
        <v>-8.7306591647667853E-3</v>
      </c>
      <c r="I887" s="78">
        <v>142.03356555315</v>
      </c>
      <c r="J887" s="78">
        <v>144.93449058343498</v>
      </c>
      <c r="K887" s="78">
        <v>141.05201303033999</v>
      </c>
      <c r="L887" s="78">
        <v>144.23962914401997</v>
      </c>
      <c r="M887" s="78">
        <v>3646147.7372136186</v>
      </c>
      <c r="N887" s="78" t="s">
        <v>878</v>
      </c>
      <c r="O887" s="25">
        <f t="shared" si="23"/>
        <v>-1.529443471230274E-2</v>
      </c>
    </row>
    <row r="888" spans="1:15">
      <c r="A888" s="77">
        <v>397.96037408253875</v>
      </c>
      <c r="B888" s="77">
        <v>398.54688248599456</v>
      </c>
      <c r="C888" s="77">
        <v>395.57588090127592</v>
      </c>
      <c r="D888" s="77">
        <v>396.7777423837673</v>
      </c>
      <c r="E888" s="77">
        <v>3807532.1629528143</v>
      </c>
      <c r="F888" s="77" t="s">
        <v>879</v>
      </c>
      <c r="G888" s="25">
        <f t="shared" si="22"/>
        <v>2.9805898175296885E-3</v>
      </c>
      <c r="I888" s="78">
        <v>146.25132589869</v>
      </c>
      <c r="J888" s="78">
        <v>148.56429124946999</v>
      </c>
      <c r="K888" s="78">
        <v>143.41357009017</v>
      </c>
      <c r="L888" s="78">
        <v>147.36893520683998</v>
      </c>
      <c r="M888" s="78">
        <v>2079798.2202274485</v>
      </c>
      <c r="N888" s="78" t="s">
        <v>879</v>
      </c>
      <c r="O888" s="25">
        <f t="shared" si="23"/>
        <v>-7.5837509891847343E-3</v>
      </c>
    </row>
    <row r="889" spans="1:15">
      <c r="A889" s="77">
        <v>394.54708747226334</v>
      </c>
      <c r="B889" s="77">
        <v>395.55665111755604</v>
      </c>
      <c r="C889" s="77">
        <v>393.23946217931274</v>
      </c>
      <c r="D889" s="77">
        <v>394.2394109327455</v>
      </c>
      <c r="E889" s="77">
        <v>2631072.7534466395</v>
      </c>
      <c r="F889" s="77" t="s">
        <v>880</v>
      </c>
      <c r="G889" s="25">
        <f t="shared" si="22"/>
        <v>7.8043070019284677E-4</v>
      </c>
      <c r="I889" s="78">
        <v>146.52343946937</v>
      </c>
      <c r="J889" s="78">
        <v>150.41077619337</v>
      </c>
      <c r="K889" s="78">
        <v>144.10357235868</v>
      </c>
      <c r="L889" s="78">
        <v>145.05596985605999</v>
      </c>
      <c r="M889" s="78">
        <v>1876413.7294734647</v>
      </c>
      <c r="N889" s="78" t="s">
        <v>880</v>
      </c>
      <c r="O889" s="25">
        <f t="shared" si="23"/>
        <v>1.0116575103845671E-2</v>
      </c>
    </row>
    <row r="890" spans="1:15">
      <c r="A890" s="77">
        <v>394.08557266298664</v>
      </c>
      <c r="B890" s="77">
        <v>396.27776800705084</v>
      </c>
      <c r="C890" s="77">
        <v>393.5279089351107</v>
      </c>
      <c r="D890" s="77">
        <v>394.88360868736089</v>
      </c>
      <c r="E890" s="77">
        <v>7899512.6629064428</v>
      </c>
      <c r="F890" s="77" t="s">
        <v>881</v>
      </c>
      <c r="G890" s="25">
        <f t="shared" si="22"/>
        <v>-2.020939858777715E-3</v>
      </c>
      <c r="I890" s="78">
        <v>146.19301584783</v>
      </c>
      <c r="J890" s="78">
        <v>149.662463874</v>
      </c>
      <c r="K890" s="78">
        <v>145.24547752135501</v>
      </c>
      <c r="L890" s="78">
        <v>148.74893974386001</v>
      </c>
      <c r="M890" s="78">
        <v>1845794.3084016717</v>
      </c>
      <c r="N890" s="78" t="s">
        <v>881</v>
      </c>
      <c r="O890" s="25">
        <f t="shared" si="23"/>
        <v>-1.7182804129099782E-2</v>
      </c>
    </row>
    <row r="891" spans="1:15">
      <c r="A891" s="77">
        <v>396.21046376403137</v>
      </c>
      <c r="B891" s="77">
        <v>396.49891051982928</v>
      </c>
      <c r="C891" s="77">
        <v>394.48939812110376</v>
      </c>
      <c r="D891" s="77">
        <v>396.01816592683275</v>
      </c>
      <c r="E891" s="77">
        <v>3480603.889001057</v>
      </c>
      <c r="F891" s="77" t="s">
        <v>882</v>
      </c>
      <c r="G891" s="25">
        <f t="shared" si="22"/>
        <v>4.8557832378359755E-4</v>
      </c>
      <c r="I891" s="78">
        <v>150.39133950975</v>
      </c>
      <c r="J891" s="78">
        <v>154.79374834967999</v>
      </c>
      <c r="K891" s="78">
        <v>150.09978925544999</v>
      </c>
      <c r="L891" s="78">
        <v>154.79374834967999</v>
      </c>
      <c r="M891" s="78">
        <v>1616314.8309762939</v>
      </c>
      <c r="N891" s="78" t="s">
        <v>882</v>
      </c>
      <c r="O891" s="25">
        <f t="shared" si="23"/>
        <v>-2.8440482169763914E-2</v>
      </c>
    </row>
    <row r="892" spans="1:15">
      <c r="A892" s="77">
        <v>393.62405785370993</v>
      </c>
      <c r="B892" s="77">
        <v>395.01821717339993</v>
      </c>
      <c r="C892" s="77">
        <v>392.75871758631621</v>
      </c>
      <c r="D892" s="77">
        <v>393.07600901769388</v>
      </c>
      <c r="E892" s="77">
        <v>4290451.7909259759</v>
      </c>
      <c r="F892" s="77" t="s">
        <v>883</v>
      </c>
      <c r="G892" s="25">
        <f t="shared" ref="G892:G955" si="24">A892/D892-1</f>
        <v>1.3942566410645174E-3</v>
      </c>
      <c r="I892" s="78">
        <v>153.89966090316</v>
      </c>
      <c r="J892" s="78">
        <v>157.59263079095999</v>
      </c>
      <c r="K892" s="78">
        <v>153.23881366008001</v>
      </c>
      <c r="L892" s="78">
        <v>153.8413508523</v>
      </c>
      <c r="M892" s="78">
        <v>1597210.7488571655</v>
      </c>
      <c r="N892" s="78" t="s">
        <v>883</v>
      </c>
      <c r="O892" s="25">
        <f t="shared" ref="O892:O955" si="25">I892/L892-1</f>
        <v>3.7902716361348787E-4</v>
      </c>
    </row>
    <row r="893" spans="1:15">
      <c r="A893" s="77">
        <v>393.08562390955382</v>
      </c>
      <c r="B893" s="77">
        <v>393.66251742114969</v>
      </c>
      <c r="C893" s="77">
        <v>391.18668276721752</v>
      </c>
      <c r="D893" s="77">
        <v>391.48955186080531</v>
      </c>
      <c r="E893" s="77">
        <v>2335709.0570711279</v>
      </c>
      <c r="F893" s="77" t="s">
        <v>884</v>
      </c>
      <c r="G893" s="25">
        <f t="shared" si="24"/>
        <v>4.0769211877103029E-3</v>
      </c>
      <c r="I893" s="78">
        <v>154.37585965184999</v>
      </c>
      <c r="J893" s="78">
        <v>155.284524611085</v>
      </c>
      <c r="K893" s="78">
        <v>151.74218902133998</v>
      </c>
      <c r="L893" s="78">
        <v>154.43416970270999</v>
      </c>
      <c r="M893" s="78">
        <v>1773022.634609309</v>
      </c>
      <c r="N893" s="78" t="s">
        <v>884</v>
      </c>
      <c r="O893" s="25">
        <f t="shared" si="25"/>
        <v>-3.7757221068535074E-4</v>
      </c>
    </row>
    <row r="894" spans="1:15">
      <c r="A894" s="77">
        <v>394.25864071646544</v>
      </c>
      <c r="B894" s="77">
        <v>396.25853822333102</v>
      </c>
      <c r="C894" s="77">
        <v>392.12413472356076</v>
      </c>
      <c r="D894" s="77">
        <v>396.22969354775125</v>
      </c>
      <c r="E894" s="77">
        <v>3894030.2756841602</v>
      </c>
      <c r="F894" s="77" t="s">
        <v>885</v>
      </c>
      <c r="G894" s="25">
        <f t="shared" si="24"/>
        <v>-4.9745207473913533E-3</v>
      </c>
      <c r="I894" s="78">
        <v>155.48375061819002</v>
      </c>
      <c r="J894" s="78">
        <v>157.74812425991999</v>
      </c>
      <c r="K894" s="78">
        <v>153.13191190017</v>
      </c>
      <c r="L894" s="78">
        <v>155.00755186949999</v>
      </c>
      <c r="M894" s="78">
        <v>2746036.3631725358</v>
      </c>
      <c r="N894" s="78" t="s">
        <v>885</v>
      </c>
      <c r="O894" s="25">
        <f t="shared" si="25"/>
        <v>3.0721003134797087E-3</v>
      </c>
    </row>
    <row r="895" spans="1:15">
      <c r="A895" s="77">
        <v>396.99888489654569</v>
      </c>
      <c r="B895" s="77">
        <v>398.50842291855486</v>
      </c>
      <c r="C895" s="77">
        <v>396.87389130236659</v>
      </c>
      <c r="D895" s="77">
        <v>398.24882083833671</v>
      </c>
      <c r="E895" s="77">
        <v>4603990.4187043309</v>
      </c>
      <c r="F895" s="77" t="s">
        <v>886</v>
      </c>
      <c r="G895" s="25">
        <f t="shared" si="24"/>
        <v>-3.1385803959440572E-3</v>
      </c>
      <c r="I895" s="78">
        <v>154.93952347683</v>
      </c>
      <c r="J895" s="78">
        <v>163.06405722999</v>
      </c>
      <c r="K895" s="78">
        <v>154.2110365747524</v>
      </c>
      <c r="L895" s="78">
        <v>163.00574717913</v>
      </c>
      <c r="M895" s="78">
        <v>1963850.4565008709</v>
      </c>
      <c r="N895" s="78" t="s">
        <v>886</v>
      </c>
      <c r="O895" s="25">
        <f t="shared" si="25"/>
        <v>-4.9484290228343109E-2</v>
      </c>
    </row>
    <row r="896" spans="1:15">
      <c r="A896" s="77">
        <v>398.73918032319318</v>
      </c>
      <c r="B896" s="77">
        <v>400.82561185679816</v>
      </c>
      <c r="C896" s="77">
        <v>397.29694654420354</v>
      </c>
      <c r="D896" s="77">
        <v>400.42178639868109</v>
      </c>
      <c r="E896" s="77">
        <v>3731681.0758449822</v>
      </c>
      <c r="F896" s="77" t="s">
        <v>887</v>
      </c>
      <c r="G896" s="25">
        <f t="shared" si="24"/>
        <v>-4.2020842337799902E-3</v>
      </c>
      <c r="I896" s="78">
        <v>163.71518613126</v>
      </c>
      <c r="J896" s="78">
        <v>166.6695620415</v>
      </c>
      <c r="K896" s="78">
        <v>162.67289397213747</v>
      </c>
      <c r="L896" s="78">
        <v>163.96786301832</v>
      </c>
      <c r="M896" s="78">
        <v>1025155.3397461743</v>
      </c>
      <c r="N896" s="78" t="s">
        <v>887</v>
      </c>
      <c r="O896" s="25">
        <f t="shared" si="25"/>
        <v>-1.5410146989094375E-3</v>
      </c>
    </row>
    <row r="897" spans="1:15">
      <c r="A897" s="77">
        <v>397.89306983951928</v>
      </c>
      <c r="B897" s="77">
        <v>400.09488007544343</v>
      </c>
      <c r="C897" s="77">
        <v>397.72961667790048</v>
      </c>
      <c r="D897" s="77">
        <v>399.00070538178335</v>
      </c>
      <c r="E897" s="77">
        <v>4941429.4712974122</v>
      </c>
      <c r="F897" s="77" t="s">
        <v>888</v>
      </c>
      <c r="G897" s="25">
        <f t="shared" si="24"/>
        <v>-2.7760240203190678E-3</v>
      </c>
      <c r="I897" s="78">
        <v>160.56644338481999</v>
      </c>
      <c r="J897" s="78">
        <v>163.53053763687001</v>
      </c>
      <c r="K897" s="78">
        <v>160.42552742857498</v>
      </c>
      <c r="L897" s="78">
        <v>162.5878584813</v>
      </c>
      <c r="M897" s="78">
        <v>1582557.0144254887</v>
      </c>
      <c r="N897" s="78" t="s">
        <v>888</v>
      </c>
      <c r="O897" s="25">
        <f t="shared" si="25"/>
        <v>-1.2432755528989925E-2</v>
      </c>
    </row>
    <row r="898" spans="1:15">
      <c r="A898" s="77">
        <v>398.40265910809563</v>
      </c>
      <c r="B898" s="77">
        <v>399.04608767136216</v>
      </c>
      <c r="C898" s="77">
        <v>396.51814030354916</v>
      </c>
      <c r="D898" s="77">
        <v>397.12387849072479</v>
      </c>
      <c r="E898" s="77">
        <v>3124856.77818284</v>
      </c>
      <c r="F898" s="77" t="s">
        <v>889</v>
      </c>
      <c r="G898" s="25">
        <f t="shared" si="24"/>
        <v>3.2201050771132333E-3</v>
      </c>
      <c r="I898" s="78">
        <v>161.38278409686001</v>
      </c>
      <c r="J898" s="78">
        <v>161.71320771839999</v>
      </c>
      <c r="K898" s="78">
        <v>157.06181496129778</v>
      </c>
      <c r="L898" s="78">
        <v>157.13586872588999</v>
      </c>
      <c r="M898" s="78">
        <v>1008083.4973224718</v>
      </c>
      <c r="N898" s="78" t="s">
        <v>889</v>
      </c>
      <c r="O898" s="25">
        <f t="shared" si="25"/>
        <v>2.7027027027027195E-2</v>
      </c>
    </row>
    <row r="899" spans="1:15">
      <c r="A899" s="77">
        <v>396.74889770818749</v>
      </c>
      <c r="B899" s="77">
        <v>397.07580403142515</v>
      </c>
      <c r="C899" s="77">
        <v>390.91265834920944</v>
      </c>
      <c r="D899" s="77">
        <v>391.114571078268</v>
      </c>
      <c r="E899" s="77">
        <v>3622156.1830702061</v>
      </c>
      <c r="F899" s="77" t="s">
        <v>890</v>
      </c>
      <c r="G899" s="25">
        <f t="shared" si="24"/>
        <v>1.4405821328482116E-2</v>
      </c>
      <c r="I899" s="78">
        <v>157.36910892933</v>
      </c>
      <c r="J899" s="78">
        <v>157.64122250001</v>
      </c>
      <c r="K899" s="78">
        <v>153.46243270512809</v>
      </c>
      <c r="L899" s="78">
        <v>154.24952120832</v>
      </c>
      <c r="M899" s="78">
        <v>1158166.7140394603</v>
      </c>
      <c r="N899" s="78" t="s">
        <v>890</v>
      </c>
      <c r="O899" s="25">
        <f t="shared" si="25"/>
        <v>2.0224294354838745E-2</v>
      </c>
    </row>
    <row r="900" spans="1:15">
      <c r="A900" s="77">
        <v>391.19149021314746</v>
      </c>
      <c r="B900" s="77">
        <v>391.74915394102345</v>
      </c>
      <c r="C900" s="77">
        <v>389.49926924579967</v>
      </c>
      <c r="D900" s="77">
        <v>390.71074562015093</v>
      </c>
      <c r="E900" s="77">
        <v>3366351.9539815928</v>
      </c>
      <c r="F900" s="77" t="s">
        <v>891</v>
      </c>
      <c r="G900" s="25">
        <f t="shared" si="24"/>
        <v>1.2304360665420511E-3</v>
      </c>
      <c r="I900" s="78">
        <v>153.74416743419999</v>
      </c>
      <c r="J900" s="78">
        <v>157.20389711855998</v>
      </c>
      <c r="K900" s="78">
        <v>153.37487044541999</v>
      </c>
      <c r="L900" s="78">
        <v>154.52163477899998</v>
      </c>
      <c r="M900" s="78">
        <v>1006048.170680673</v>
      </c>
      <c r="N900" s="78" t="s">
        <v>891</v>
      </c>
      <c r="O900" s="25">
        <f t="shared" si="25"/>
        <v>-5.031446540880391E-3</v>
      </c>
    </row>
    <row r="901" spans="1:15">
      <c r="A901" s="77">
        <v>388.63392897840583</v>
      </c>
      <c r="B901" s="77">
        <v>390.17231167599482</v>
      </c>
      <c r="C901" s="77">
        <v>384.31684253329684</v>
      </c>
      <c r="D901" s="77">
        <v>387.55706109009355</v>
      </c>
      <c r="E901" s="77">
        <v>4594783.8669001553</v>
      </c>
      <c r="F901" s="77" t="s">
        <v>892</v>
      </c>
      <c r="G901" s="25">
        <f t="shared" si="24"/>
        <v>2.7786047434752437E-3</v>
      </c>
      <c r="I901" s="78">
        <v>153.62754733248002</v>
      </c>
      <c r="J901" s="78">
        <v>155.81417423972999</v>
      </c>
      <c r="K901" s="78">
        <v>153.42346215447</v>
      </c>
      <c r="L901" s="78">
        <v>154.52163477899998</v>
      </c>
      <c r="M901" s="78">
        <v>940355.89390326256</v>
      </c>
      <c r="N901" s="78" t="s">
        <v>892</v>
      </c>
      <c r="O901" s="25">
        <f t="shared" si="25"/>
        <v>-5.7861635220123331E-3</v>
      </c>
    </row>
    <row r="902" spans="1:15">
      <c r="A902" s="77">
        <v>386.07636774366426</v>
      </c>
      <c r="B902" s="77">
        <v>393.32503471686613</v>
      </c>
      <c r="C902" s="77">
        <v>385.94175925762516</v>
      </c>
      <c r="D902" s="77">
        <v>392.86448139677543</v>
      </c>
      <c r="E902" s="77">
        <v>3597326.9906593286</v>
      </c>
      <c r="F902" s="77" t="s">
        <v>893</v>
      </c>
      <c r="G902" s="25">
        <f t="shared" si="24"/>
        <v>-1.7278511992168344E-2</v>
      </c>
      <c r="I902" s="78">
        <v>155.10473528759999</v>
      </c>
      <c r="J902" s="78">
        <v>159.38080568399999</v>
      </c>
      <c r="K902" s="78">
        <v>155.00755186949999</v>
      </c>
      <c r="L902" s="78">
        <v>159.35165065856998</v>
      </c>
      <c r="M902" s="78">
        <v>1072438.0973383361</v>
      </c>
      <c r="N902" s="78" t="s">
        <v>893</v>
      </c>
      <c r="O902" s="25">
        <f t="shared" si="25"/>
        <v>-2.6651216685979029E-2</v>
      </c>
    </row>
    <row r="903" spans="1:15">
      <c r="A903" s="77">
        <v>391.2780242398868</v>
      </c>
      <c r="B903" s="77">
        <v>391.97029645380189</v>
      </c>
      <c r="C903" s="77">
        <v>387.93204187263092</v>
      </c>
      <c r="D903" s="77">
        <v>388.01857589937026</v>
      </c>
      <c r="E903" s="77">
        <v>3380135.7803553771</v>
      </c>
      <c r="F903" s="77" t="s">
        <v>894</v>
      </c>
      <c r="G903" s="25">
        <f t="shared" si="24"/>
        <v>8.4002378828427204E-3</v>
      </c>
      <c r="I903" s="78">
        <v>159.32249563313999</v>
      </c>
      <c r="J903" s="78">
        <v>160.41094991585999</v>
      </c>
      <c r="K903" s="78">
        <v>158.03967451422</v>
      </c>
      <c r="L903" s="78">
        <v>159.75982101458999</v>
      </c>
      <c r="M903" s="78">
        <v>1168941.185862653</v>
      </c>
      <c r="N903" s="78" t="s">
        <v>894</v>
      </c>
      <c r="O903" s="25">
        <f t="shared" si="25"/>
        <v>-2.7373927854491553E-3</v>
      </c>
    </row>
    <row r="904" spans="1:15">
      <c r="A904" s="77">
        <v>387.10516117267684</v>
      </c>
      <c r="B904" s="77">
        <v>389.78771600159752</v>
      </c>
      <c r="C904" s="77">
        <v>386.57634212038062</v>
      </c>
      <c r="D904" s="77">
        <v>389.73964154229793</v>
      </c>
      <c r="E904" s="77">
        <v>2754114.1788973161</v>
      </c>
      <c r="F904" s="77" t="s">
        <v>895</v>
      </c>
      <c r="G904" s="25">
        <f t="shared" si="24"/>
        <v>-6.7595904773652959E-3</v>
      </c>
      <c r="I904" s="78">
        <v>158.35066145214</v>
      </c>
      <c r="J904" s="78">
        <v>163.09321225541999</v>
      </c>
      <c r="K904" s="78">
        <v>158.02995617241001</v>
      </c>
      <c r="L904" s="78">
        <v>162.33518159424</v>
      </c>
      <c r="M904" s="78">
        <v>1216034.6107439497</v>
      </c>
      <c r="N904" s="78" t="s">
        <v>895</v>
      </c>
      <c r="O904" s="25">
        <f t="shared" si="25"/>
        <v>-2.4545019157088066E-2</v>
      </c>
    </row>
    <row r="905" spans="1:15">
      <c r="A905" s="77">
        <v>388.19164395284901</v>
      </c>
      <c r="B905" s="77">
        <v>388.81661192374452</v>
      </c>
      <c r="C905" s="77">
        <v>384.58605950537498</v>
      </c>
      <c r="D905" s="77">
        <v>386.65326125526008</v>
      </c>
      <c r="E905" s="77">
        <v>3424306.8439707565</v>
      </c>
      <c r="F905" s="77" t="s">
        <v>896</v>
      </c>
      <c r="G905" s="25">
        <f t="shared" si="24"/>
        <v>3.9787138807381162E-3</v>
      </c>
      <c r="I905" s="78">
        <v>162.69476024120999</v>
      </c>
      <c r="J905" s="78">
        <v>163.67631276401997</v>
      </c>
      <c r="K905" s="78">
        <v>160.89686700636</v>
      </c>
      <c r="L905" s="78">
        <v>161.37306575504999</v>
      </c>
      <c r="M905" s="78">
        <v>912072.26225355419</v>
      </c>
      <c r="N905" s="78" t="s">
        <v>896</v>
      </c>
      <c r="O905" s="25">
        <f t="shared" si="25"/>
        <v>8.1903041252635589E-3</v>
      </c>
    </row>
    <row r="906" spans="1:15">
      <c r="A906" s="77">
        <v>385.64369760996732</v>
      </c>
      <c r="B906" s="77">
        <v>386.53788255294091</v>
      </c>
      <c r="C906" s="77">
        <v>382.52847264734976</v>
      </c>
      <c r="D906" s="77">
        <v>382.83614918686754</v>
      </c>
      <c r="E906" s="77">
        <v>4324195.2801639643</v>
      </c>
      <c r="F906" s="77" t="s">
        <v>897</v>
      </c>
      <c r="G906" s="25">
        <f t="shared" si="24"/>
        <v>7.3335509958056821E-3</v>
      </c>
      <c r="I906" s="78">
        <v>162.51011174682</v>
      </c>
      <c r="J906" s="78">
        <v>164.78420373035999</v>
      </c>
      <c r="K906" s="78">
        <v>161.32544588018101</v>
      </c>
      <c r="L906" s="78">
        <v>162.98631049551</v>
      </c>
      <c r="M906" s="78">
        <v>1025664.6858976862</v>
      </c>
      <c r="N906" s="78" t="s">
        <v>897</v>
      </c>
      <c r="O906" s="25">
        <f t="shared" si="25"/>
        <v>-2.9217100948064623E-3</v>
      </c>
    </row>
    <row r="907" spans="1:15">
      <c r="A907" s="77">
        <v>385.28794661114995</v>
      </c>
      <c r="B907" s="77">
        <v>389.96078405507626</v>
      </c>
      <c r="C907" s="77">
        <v>384.95142539605234</v>
      </c>
      <c r="D907" s="77">
        <v>389.720411758578</v>
      </c>
      <c r="E907" s="77">
        <v>7386982.7175061591</v>
      </c>
      <c r="F907" s="77" t="s">
        <v>898</v>
      </c>
      <c r="G907" s="25">
        <f t="shared" si="24"/>
        <v>-1.1373448794808949E-2</v>
      </c>
      <c r="I907" s="78">
        <v>164.92997885751001</v>
      </c>
      <c r="J907" s="78">
        <v>167.82604471688998</v>
      </c>
      <c r="K907" s="78">
        <v>163.15152230627999</v>
      </c>
      <c r="L907" s="78">
        <v>164.10391980366001</v>
      </c>
      <c r="M907" s="78">
        <v>1019004.0846073102</v>
      </c>
      <c r="N907" s="78" t="s">
        <v>898</v>
      </c>
      <c r="O907" s="25">
        <f t="shared" si="25"/>
        <v>5.0337557740138816E-3</v>
      </c>
    </row>
    <row r="908" spans="1:15">
      <c r="A908" s="77">
        <v>388.43201624934733</v>
      </c>
      <c r="B908" s="77">
        <v>392.39335169563884</v>
      </c>
      <c r="C908" s="77">
        <v>388.31663754702811</v>
      </c>
      <c r="D908" s="77">
        <v>390.93188813292932</v>
      </c>
      <c r="E908" s="77">
        <v>3487977.8668921106</v>
      </c>
      <c r="F908" s="77" t="s">
        <v>899</v>
      </c>
      <c r="G908" s="25">
        <f t="shared" si="24"/>
        <v>-6.3946481713764713E-3</v>
      </c>
      <c r="I908" s="78">
        <v>164.76476704673999</v>
      </c>
      <c r="J908" s="78">
        <v>169.60450126812</v>
      </c>
      <c r="K908" s="78">
        <v>164.69673865407</v>
      </c>
      <c r="L908" s="78">
        <v>169.29351433019997</v>
      </c>
      <c r="M908" s="78">
        <v>1478294.3717020797</v>
      </c>
      <c r="N908" s="78" t="s">
        <v>899</v>
      </c>
      <c r="O908" s="25">
        <f t="shared" si="25"/>
        <v>-2.6750861079219201E-2</v>
      </c>
    </row>
    <row r="909" spans="1:15">
      <c r="A909" s="77">
        <v>391.3260986991865</v>
      </c>
      <c r="B909" s="77">
        <v>395.85711648817886</v>
      </c>
      <c r="C909" s="77">
        <v>390.75882007945057</v>
      </c>
      <c r="D909" s="77">
        <v>394.29710028390508</v>
      </c>
      <c r="E909" s="77">
        <v>4873813.5262123393</v>
      </c>
      <c r="F909" s="77" t="s">
        <v>900</v>
      </c>
      <c r="G909" s="25">
        <f t="shared" si="24"/>
        <v>-7.5349313565313825E-3</v>
      </c>
      <c r="I909" s="78">
        <v>171.06225253962</v>
      </c>
      <c r="J909" s="78">
        <v>173.41409125764</v>
      </c>
      <c r="K909" s="78">
        <v>167.43731104448997</v>
      </c>
      <c r="L909" s="78">
        <v>168.61323040349998</v>
      </c>
      <c r="M909" s="78">
        <v>1345437.3447274335</v>
      </c>
      <c r="N909" s="78" t="s">
        <v>900</v>
      </c>
      <c r="O909" s="25">
        <f t="shared" si="25"/>
        <v>1.4524495677233462E-2</v>
      </c>
    </row>
    <row r="910" spans="1:15">
      <c r="A910" s="77">
        <v>395.86432765707389</v>
      </c>
      <c r="B910" s="77">
        <v>395.88355744079371</v>
      </c>
      <c r="C910" s="77">
        <v>392.58564953283741</v>
      </c>
      <c r="D910" s="77">
        <v>392.82602182933573</v>
      </c>
      <c r="E910" s="77">
        <v>2883976.2738838922</v>
      </c>
      <c r="F910" s="77" t="s">
        <v>901</v>
      </c>
      <c r="G910" s="25">
        <f t="shared" si="24"/>
        <v>7.7344820834148731E-3</v>
      </c>
      <c r="I910" s="78">
        <v>170.20703846033999</v>
      </c>
      <c r="J910" s="78">
        <v>174.38223246875219</v>
      </c>
      <c r="K910" s="78">
        <v>169.43928945734999</v>
      </c>
      <c r="L910" s="78">
        <v>173.28775281411001</v>
      </c>
      <c r="M910" s="78">
        <v>1853886.223826902</v>
      </c>
      <c r="N910" s="78" t="s">
        <v>901</v>
      </c>
      <c r="O910" s="25">
        <f t="shared" si="25"/>
        <v>-1.7778027031574384E-2</v>
      </c>
    </row>
    <row r="911" spans="1:15">
      <c r="A911" s="77">
        <v>393.64328763742986</v>
      </c>
      <c r="B911" s="77">
        <v>394.60477682342292</v>
      </c>
      <c r="C911" s="77">
        <v>391.65300502242411</v>
      </c>
      <c r="D911" s="77">
        <v>392.23951342587992</v>
      </c>
      <c r="E911" s="77">
        <v>3035772.0528964801</v>
      </c>
      <c r="F911" s="77" t="s">
        <v>902</v>
      </c>
      <c r="G911" s="25">
        <f t="shared" si="24"/>
        <v>3.5788699595540319E-3</v>
      </c>
      <c r="I911" s="78">
        <v>175.39663298687998</v>
      </c>
      <c r="J911" s="78">
        <v>177.52009067236497</v>
      </c>
      <c r="K911" s="78">
        <v>172.0449712634472</v>
      </c>
      <c r="L911" s="78">
        <v>177.47635813421999</v>
      </c>
      <c r="M911" s="78">
        <v>2170108.8943279306</v>
      </c>
      <c r="N911" s="78" t="s">
        <v>902</v>
      </c>
      <c r="O911" s="25">
        <f t="shared" si="25"/>
        <v>-1.1718322199102071E-2</v>
      </c>
    </row>
    <row r="912" spans="1:15">
      <c r="A912" s="77">
        <v>394.00865352810723</v>
      </c>
      <c r="B912" s="77">
        <v>399.06608664643085</v>
      </c>
      <c r="C912" s="77">
        <v>392.88371118049531</v>
      </c>
      <c r="D912" s="77">
        <v>395.94124679195329</v>
      </c>
      <c r="E912" s="77">
        <v>4772103.5939274607</v>
      </c>
      <c r="F912" s="77" t="s">
        <v>903</v>
      </c>
      <c r="G912" s="25">
        <f t="shared" si="24"/>
        <v>-4.8810101991256793E-3</v>
      </c>
      <c r="I912" s="78">
        <v>179.90594358671999</v>
      </c>
      <c r="J912" s="78">
        <v>190.12963917083999</v>
      </c>
      <c r="K912" s="78">
        <v>170.85816736160999</v>
      </c>
      <c r="L912" s="78">
        <v>173.90972668994999</v>
      </c>
      <c r="M912" s="78">
        <v>3293107.0573242167</v>
      </c>
      <c r="N912" s="78" t="s">
        <v>903</v>
      </c>
      <c r="O912" s="25">
        <f t="shared" si="25"/>
        <v>3.4478904721989334E-2</v>
      </c>
    </row>
    <row r="913" spans="1:15">
      <c r="A913" s="77">
        <v>393.77789612346885</v>
      </c>
      <c r="B913" s="77">
        <v>396.83543173492689</v>
      </c>
      <c r="C913" s="77">
        <v>393.1048536932737</v>
      </c>
      <c r="D913" s="77">
        <v>396.76812749190736</v>
      </c>
      <c r="E913" s="77">
        <v>3271939.0356436293</v>
      </c>
      <c r="F913" s="77" t="s">
        <v>904</v>
      </c>
      <c r="G913" s="25">
        <f t="shared" si="24"/>
        <v>-7.5364707022731459E-3</v>
      </c>
      <c r="I913" s="78">
        <v>179.29368805269002</v>
      </c>
      <c r="J913" s="78">
        <v>184.26947905941</v>
      </c>
      <c r="K913" s="78">
        <v>178.99241945658</v>
      </c>
      <c r="L913" s="78">
        <v>181.29566646555</v>
      </c>
      <c r="M913" s="78">
        <v>1614452.3733313719</v>
      </c>
      <c r="N913" s="78" t="s">
        <v>904</v>
      </c>
      <c r="O913" s="25">
        <f t="shared" si="25"/>
        <v>-1.1042615920664578E-2</v>
      </c>
    </row>
    <row r="914" spans="1:15">
      <c r="A914" s="77">
        <v>396.41237649308994</v>
      </c>
      <c r="B914" s="77">
        <v>396.84504662678683</v>
      </c>
      <c r="C914" s="77">
        <v>393.36926321942178</v>
      </c>
      <c r="D914" s="77">
        <v>395.90278722451359</v>
      </c>
      <c r="E914" s="77">
        <v>3931490.9154133508</v>
      </c>
      <c r="F914" s="77" t="s">
        <v>905</v>
      </c>
      <c r="G914" s="25">
        <f t="shared" si="24"/>
        <v>1.2871575675150737E-3</v>
      </c>
      <c r="I914" s="78">
        <v>180.91665113495998</v>
      </c>
      <c r="J914" s="78">
        <v>181.26651144012001</v>
      </c>
      <c r="K914" s="78">
        <v>177.22368124716002</v>
      </c>
      <c r="L914" s="78">
        <v>180.33355062635999</v>
      </c>
      <c r="M914" s="78">
        <v>961285.39031083952</v>
      </c>
      <c r="N914" s="78" t="s">
        <v>905</v>
      </c>
      <c r="O914" s="25">
        <f t="shared" si="25"/>
        <v>3.233455486095993E-3</v>
      </c>
    </row>
    <row r="915" spans="1:15">
      <c r="A915" s="77">
        <v>398.13344213601755</v>
      </c>
      <c r="B915" s="77">
        <v>398.28728040577647</v>
      </c>
      <c r="C915" s="77">
        <v>395.78740852219443</v>
      </c>
      <c r="D915" s="77">
        <v>396.41237649308994</v>
      </c>
      <c r="E915" s="77">
        <v>2702034.5499951141</v>
      </c>
      <c r="F915" s="77" t="s">
        <v>906</v>
      </c>
      <c r="G915" s="25">
        <f t="shared" si="24"/>
        <v>4.341604210628347E-3</v>
      </c>
      <c r="I915" s="78">
        <v>181.94679536682</v>
      </c>
      <c r="J915" s="78">
        <v>183.86130870338999</v>
      </c>
      <c r="K915" s="78">
        <v>180.47932575351001</v>
      </c>
      <c r="L915" s="78">
        <v>182.49102250817998</v>
      </c>
      <c r="M915" s="78">
        <v>1107067.4617483946</v>
      </c>
      <c r="N915" s="78" t="s">
        <v>906</v>
      </c>
      <c r="O915" s="25">
        <f t="shared" si="25"/>
        <v>-2.982213228245767E-3</v>
      </c>
    </row>
    <row r="916" spans="1:15">
      <c r="A916" s="77">
        <v>394.5759321478431</v>
      </c>
      <c r="B916" s="77">
        <v>400.10305273352435</v>
      </c>
      <c r="C916" s="77">
        <v>394.2394109327455</v>
      </c>
      <c r="D916" s="77">
        <v>398.20074637903701</v>
      </c>
      <c r="E916" s="77">
        <v>5946261.3654825911</v>
      </c>
      <c r="F916" s="77" t="s">
        <v>907</v>
      </c>
      <c r="G916" s="25">
        <f t="shared" si="24"/>
        <v>-9.1029820113485149E-3</v>
      </c>
      <c r="I916" s="78">
        <v>182.38412074826999</v>
      </c>
      <c r="J916" s="78">
        <v>183.676660209</v>
      </c>
      <c r="K916" s="78">
        <v>179.60467499060999</v>
      </c>
      <c r="L916" s="78">
        <v>180.11002876473</v>
      </c>
      <c r="M916" s="78">
        <v>1366434.7539552122</v>
      </c>
      <c r="N916" s="78" t="s">
        <v>907</v>
      </c>
      <c r="O916" s="25">
        <f t="shared" si="25"/>
        <v>1.2626126369179147E-2</v>
      </c>
    </row>
    <row r="917" spans="1:15">
      <c r="A917" s="77">
        <v>396.51814030354916</v>
      </c>
      <c r="B917" s="77">
        <v>398.23920594647677</v>
      </c>
      <c r="C917" s="77">
        <v>395.2585894698982</v>
      </c>
      <c r="D917" s="77">
        <v>395.82586808963413</v>
      </c>
      <c r="E917" s="77">
        <v>3149488.3604668765</v>
      </c>
      <c r="F917" s="77" t="s">
        <v>908</v>
      </c>
      <c r="G917" s="25">
        <f t="shared" si="24"/>
        <v>1.748931208705784E-3</v>
      </c>
      <c r="I917" s="78">
        <v>180.11974710653999</v>
      </c>
      <c r="J917" s="78">
        <v>184.32778911026998</v>
      </c>
      <c r="K917" s="78">
        <v>178.56481241694001</v>
      </c>
      <c r="L917" s="78">
        <v>183.69609689262001</v>
      </c>
      <c r="M917" s="78">
        <v>1137471.8255562161</v>
      </c>
      <c r="N917" s="78" t="s">
        <v>908</v>
      </c>
      <c r="O917" s="25">
        <f t="shared" si="25"/>
        <v>-1.9468839276267191E-2</v>
      </c>
    </row>
    <row r="918" spans="1:15">
      <c r="A918" s="77">
        <v>397.64308265116108</v>
      </c>
      <c r="B918" s="77">
        <v>400.65254380331942</v>
      </c>
      <c r="C918" s="77">
        <v>396.97965511282581</v>
      </c>
      <c r="D918" s="77">
        <v>400.42178639868109</v>
      </c>
      <c r="E918" s="77">
        <v>5178496.100148336</v>
      </c>
      <c r="F918" s="77" t="s">
        <v>909</v>
      </c>
      <c r="G918" s="25">
        <f t="shared" si="24"/>
        <v>-6.9394419632137216E-3</v>
      </c>
      <c r="I918" s="78">
        <v>184.22088735035999</v>
      </c>
      <c r="J918" s="78">
        <v>185.07610142964</v>
      </c>
      <c r="K918" s="78">
        <v>180.92636947676999</v>
      </c>
      <c r="L918" s="78">
        <v>182.33552903922001</v>
      </c>
      <c r="M918" s="78">
        <v>1190258.6085310783</v>
      </c>
      <c r="N918" s="78" t="s">
        <v>909</v>
      </c>
      <c r="O918" s="25">
        <f t="shared" si="25"/>
        <v>1.0340049035284071E-2</v>
      </c>
    </row>
    <row r="919" spans="1:15">
      <c r="A919" s="77">
        <v>403.22933482178092</v>
      </c>
      <c r="B919" s="77">
        <v>403.90237725197608</v>
      </c>
      <c r="C919" s="77">
        <v>402.43129879740667</v>
      </c>
      <c r="D919" s="77">
        <v>403.1139561194617</v>
      </c>
      <c r="E919" s="77">
        <v>3262933.214126192</v>
      </c>
      <c r="F919" s="77" t="s">
        <v>910</v>
      </c>
      <c r="G919" s="25">
        <f t="shared" si="24"/>
        <v>2.8621857558563946E-4</v>
      </c>
      <c r="I919" s="78">
        <v>183.95849212149</v>
      </c>
      <c r="J919" s="78">
        <v>185.07610142964</v>
      </c>
      <c r="K919" s="78">
        <v>180.03228203025</v>
      </c>
      <c r="L919" s="78">
        <v>184.46384589561001</v>
      </c>
      <c r="M919" s="78">
        <v>918229.69128516386</v>
      </c>
      <c r="N919" s="78" t="s">
        <v>910</v>
      </c>
      <c r="O919" s="25">
        <f t="shared" si="25"/>
        <v>-2.7395816869502099E-3</v>
      </c>
    </row>
    <row r="920" spans="1:15">
      <c r="A920" s="77">
        <v>404.47927076357195</v>
      </c>
      <c r="B920" s="77">
        <v>404.75810262750991</v>
      </c>
      <c r="C920" s="77">
        <v>402.9120433904032</v>
      </c>
      <c r="D920" s="77">
        <v>404.1331346566144</v>
      </c>
      <c r="E920" s="77">
        <v>3592902.6039246968</v>
      </c>
      <c r="F920" s="77" t="s">
        <v>911</v>
      </c>
      <c r="G920" s="25">
        <f t="shared" si="24"/>
        <v>8.5649029311007929E-4</v>
      </c>
      <c r="I920" s="78">
        <v>186.73793787915</v>
      </c>
      <c r="J920" s="78">
        <v>187.563996933</v>
      </c>
      <c r="K920" s="78">
        <v>185.10525645506999</v>
      </c>
      <c r="L920" s="78">
        <v>187.01976979163999</v>
      </c>
      <c r="M920" s="78">
        <v>1289119.0951020892</v>
      </c>
      <c r="N920" s="78" t="s">
        <v>911</v>
      </c>
      <c r="O920" s="25">
        <f t="shared" si="25"/>
        <v>-1.5069632093119845E-3</v>
      </c>
    </row>
    <row r="921" spans="1:15">
      <c r="A921" s="77">
        <v>403.70046452291751</v>
      </c>
      <c r="B921" s="77">
        <v>404.42158141241237</v>
      </c>
      <c r="C921" s="77">
        <v>402.05631801486936</v>
      </c>
      <c r="D921" s="77">
        <v>402.79666468808404</v>
      </c>
      <c r="E921" s="77">
        <v>2810982.2131888564</v>
      </c>
      <c r="F921" s="77" t="s">
        <v>912</v>
      </c>
      <c r="G921" s="25">
        <f t="shared" si="24"/>
        <v>2.2438116153056242E-3</v>
      </c>
      <c r="I921" s="78">
        <v>187.01976979163999</v>
      </c>
      <c r="J921" s="78">
        <v>188.55526779761999</v>
      </c>
      <c r="K921" s="78">
        <v>180.08087373930002</v>
      </c>
      <c r="L921" s="78">
        <v>186.87399466449</v>
      </c>
      <c r="M921" s="78">
        <v>2243596.7396787829</v>
      </c>
      <c r="N921" s="78" t="s">
        <v>912</v>
      </c>
      <c r="O921" s="25">
        <f t="shared" si="25"/>
        <v>7.8007176660244149E-4</v>
      </c>
    </row>
    <row r="922" spans="1:15">
      <c r="A922" s="77">
        <v>399.80643331964552</v>
      </c>
      <c r="B922" s="77">
        <v>405.89265986698172</v>
      </c>
      <c r="C922" s="77">
        <v>398.94109305225174</v>
      </c>
      <c r="D922" s="77">
        <v>405.54652376002429</v>
      </c>
      <c r="E922" s="77">
        <v>4315641.8818316627</v>
      </c>
      <c r="F922" s="77" t="s">
        <v>913</v>
      </c>
      <c r="G922" s="25">
        <f t="shared" si="24"/>
        <v>-1.4153962872519577E-2</v>
      </c>
      <c r="I922" s="78">
        <v>184.35694413569999</v>
      </c>
      <c r="J922" s="78">
        <v>188.4147405750474</v>
      </c>
      <c r="K922" s="78">
        <v>184.13342227407</v>
      </c>
      <c r="L922" s="78">
        <v>187.38906678041999</v>
      </c>
      <c r="M922" s="78">
        <v>1236522.6738202162</v>
      </c>
      <c r="N922" s="78" t="s">
        <v>913</v>
      </c>
      <c r="O922" s="25">
        <f t="shared" si="25"/>
        <v>-1.6180894098122622E-2</v>
      </c>
    </row>
    <row r="923" spans="1:15">
      <c r="A923" s="77">
        <v>402.53706260786589</v>
      </c>
      <c r="B923" s="77">
        <v>403.71969430663739</v>
      </c>
      <c r="C923" s="77">
        <v>400.53716510100026</v>
      </c>
      <c r="D923" s="77">
        <v>401.53711385443307</v>
      </c>
      <c r="E923" s="77">
        <v>6384717.6748633096</v>
      </c>
      <c r="F923" s="77" t="s">
        <v>914</v>
      </c>
      <c r="G923" s="25">
        <f t="shared" si="24"/>
        <v>2.4903021885924748E-3</v>
      </c>
      <c r="I923" s="78">
        <v>185.80497706538998</v>
      </c>
      <c r="J923" s="78">
        <v>185.87300545805999</v>
      </c>
      <c r="K923" s="78">
        <v>180.6639742479</v>
      </c>
      <c r="L923" s="78">
        <v>182.83116447153</v>
      </c>
      <c r="M923" s="78">
        <v>908522.27392483538</v>
      </c>
      <c r="N923" s="78" t="s">
        <v>914</v>
      </c>
      <c r="O923" s="25">
        <f t="shared" si="25"/>
        <v>1.6265348429277404E-2</v>
      </c>
    </row>
    <row r="924" spans="1:15">
      <c r="A924" s="77">
        <v>402.44091368926655</v>
      </c>
      <c r="B924" s="77">
        <v>403.48893690199901</v>
      </c>
      <c r="C924" s="77">
        <v>401.00579493025333</v>
      </c>
      <c r="D924" s="77">
        <v>401.01790969399678</v>
      </c>
      <c r="E924" s="77">
        <v>4107490.8148040203</v>
      </c>
      <c r="F924" s="77" t="s">
        <v>915</v>
      </c>
      <c r="G924" s="25">
        <f t="shared" si="24"/>
        <v>3.548479907931279E-3</v>
      </c>
      <c r="I924" s="78">
        <v>184.01680217235</v>
      </c>
      <c r="J924" s="78">
        <v>187.07807984249999</v>
      </c>
      <c r="K924" s="78">
        <v>180.5667908298</v>
      </c>
      <c r="L924" s="78">
        <v>180.77087600780999</v>
      </c>
      <c r="M924" s="78">
        <v>883953.26774372847</v>
      </c>
      <c r="N924" s="78" t="s">
        <v>915</v>
      </c>
      <c r="O924" s="25">
        <f t="shared" si="25"/>
        <v>1.7956023869684534E-2</v>
      </c>
    </row>
    <row r="925" spans="1:15">
      <c r="A925" s="77">
        <v>401.25828199049505</v>
      </c>
      <c r="B925" s="77">
        <v>401.99862866370978</v>
      </c>
      <c r="C925" s="77">
        <v>399.99392371091415</v>
      </c>
      <c r="D925" s="77">
        <v>400.53716510100026</v>
      </c>
      <c r="E925" s="77">
        <v>3610156.0481044832</v>
      </c>
      <c r="F925" s="77" t="s">
        <v>916</v>
      </c>
      <c r="G925" s="25">
        <f t="shared" si="24"/>
        <v>1.8003744778913866E-3</v>
      </c>
      <c r="I925" s="78">
        <v>182.77285442066997</v>
      </c>
      <c r="J925" s="78">
        <v>186.09652731969001</v>
      </c>
      <c r="K925" s="78">
        <v>182.66595266076001</v>
      </c>
      <c r="L925" s="78">
        <v>184.72624112448</v>
      </c>
      <c r="M925" s="78">
        <v>1148502.513928351</v>
      </c>
      <c r="N925" s="78" t="s">
        <v>916</v>
      </c>
      <c r="O925" s="25">
        <f t="shared" si="25"/>
        <v>-1.0574494949495139E-2</v>
      </c>
    </row>
    <row r="926" spans="1:15">
      <c r="A926" s="77">
        <v>399.56606102314726</v>
      </c>
      <c r="B926" s="77">
        <v>401.22943731491529</v>
      </c>
      <c r="C926" s="77">
        <v>399.47952699640786</v>
      </c>
      <c r="D926" s="77">
        <v>401.0467543695766</v>
      </c>
      <c r="E926" s="77">
        <v>3303950.8361385143</v>
      </c>
      <c r="F926" s="77" t="s">
        <v>917</v>
      </c>
      <c r="G926" s="25">
        <f t="shared" si="24"/>
        <v>-3.6920716357795591E-3</v>
      </c>
      <c r="I926" s="78">
        <v>185.12469313868999</v>
      </c>
      <c r="J926" s="78">
        <v>186.12568234512</v>
      </c>
      <c r="K926" s="78">
        <v>178.44819231521998</v>
      </c>
      <c r="L926" s="78">
        <v>180.00312700481999</v>
      </c>
      <c r="M926" s="78">
        <v>3489551.0636500241</v>
      </c>
      <c r="N926" s="78" t="s">
        <v>917</v>
      </c>
      <c r="O926" s="25">
        <f t="shared" si="25"/>
        <v>2.8452650901630516E-2</v>
      </c>
    </row>
    <row r="927" spans="1:15">
      <c r="A927" s="77">
        <v>399.51798656384756</v>
      </c>
      <c r="B927" s="77">
        <v>402.05631801486936</v>
      </c>
      <c r="C927" s="77">
        <v>398.8449441336524</v>
      </c>
      <c r="D927" s="77">
        <v>401.22943731491529</v>
      </c>
      <c r="E927" s="77">
        <v>4248614.6069139149</v>
      </c>
      <c r="F927" s="77" t="s">
        <v>918</v>
      </c>
      <c r="G927" s="25">
        <f t="shared" si="24"/>
        <v>-4.2655164150492419E-3</v>
      </c>
      <c r="I927" s="78">
        <v>178.98270111476998</v>
      </c>
      <c r="J927" s="78">
        <v>180.61538253884999</v>
      </c>
      <c r="K927" s="78">
        <v>177.71931667947001</v>
      </c>
      <c r="L927" s="78">
        <v>179.34227976173997</v>
      </c>
      <c r="M927" s="78">
        <v>1417990.8743094518</v>
      </c>
      <c r="N927" s="78" t="s">
        <v>918</v>
      </c>
      <c r="O927" s="25">
        <f t="shared" si="25"/>
        <v>-2.0049853690256025E-3</v>
      </c>
    </row>
    <row r="928" spans="1:15">
      <c r="A928" s="77">
        <v>402.14285204160871</v>
      </c>
      <c r="B928" s="77">
        <v>403.21971992992098</v>
      </c>
      <c r="C928" s="77">
        <v>401.41212026025397</v>
      </c>
      <c r="D928" s="77">
        <v>401.96978398812996</v>
      </c>
      <c r="E928" s="77">
        <v>3634898.9160915297</v>
      </c>
      <c r="F928" s="77" t="s">
        <v>919</v>
      </c>
      <c r="G928" s="25">
        <f t="shared" si="24"/>
        <v>4.3054990791002723E-4</v>
      </c>
      <c r="I928" s="78">
        <v>179.33256141992999</v>
      </c>
      <c r="J928" s="78">
        <v>183.14215140944998</v>
      </c>
      <c r="K928" s="78">
        <v>176.62114405494</v>
      </c>
      <c r="L928" s="78">
        <v>176.62114405494</v>
      </c>
      <c r="M928" s="78">
        <v>4420876.6104307259</v>
      </c>
      <c r="N928" s="78" t="s">
        <v>919</v>
      </c>
      <c r="O928" s="25">
        <f t="shared" si="25"/>
        <v>1.5351601188510866E-2</v>
      </c>
    </row>
    <row r="929" spans="1:15">
      <c r="A929" s="77">
        <v>401.27751177421499</v>
      </c>
      <c r="B929" s="77">
        <v>401.83517550209092</v>
      </c>
      <c r="C929" s="77">
        <v>397.61423797558132</v>
      </c>
      <c r="D929" s="77">
        <v>397.96998897439875</v>
      </c>
      <c r="E929" s="77">
        <v>3741367.0922200712</v>
      </c>
      <c r="F929" s="77" t="s">
        <v>920</v>
      </c>
      <c r="G929" s="25">
        <f t="shared" si="24"/>
        <v>8.3109854799352512E-3</v>
      </c>
      <c r="I929" s="78">
        <v>175.25085785973002</v>
      </c>
      <c r="J929" s="78">
        <v>180.09059208111</v>
      </c>
      <c r="K929" s="78">
        <v>173.98747342442999</v>
      </c>
      <c r="L929" s="78">
        <v>179.48805488888999</v>
      </c>
      <c r="M929" s="78">
        <v>1660233.846004229</v>
      </c>
      <c r="N929" s="78" t="s">
        <v>920</v>
      </c>
      <c r="O929" s="25">
        <f t="shared" si="25"/>
        <v>-2.3607125453462441E-2</v>
      </c>
    </row>
    <row r="930" spans="1:15">
      <c r="A930" s="77">
        <v>398.25843573019665</v>
      </c>
      <c r="B930" s="77">
        <v>399.25790373903646</v>
      </c>
      <c r="C930" s="77">
        <v>396.73928281632755</v>
      </c>
      <c r="D930" s="77">
        <v>396.75851260004742</v>
      </c>
      <c r="E930" s="77">
        <v>3087155.8861415433</v>
      </c>
      <c r="F930" s="77" t="s">
        <v>921</v>
      </c>
      <c r="G930" s="25">
        <f t="shared" si="24"/>
        <v>3.7804434751000926E-3</v>
      </c>
      <c r="I930" s="78">
        <v>178.95354608933997</v>
      </c>
      <c r="J930" s="78">
        <v>181.68440013794998</v>
      </c>
      <c r="K930" s="78">
        <v>178.07889532644</v>
      </c>
      <c r="L930" s="78">
        <v>181.66496345433001</v>
      </c>
      <c r="M930" s="78">
        <v>2072214.6219716058</v>
      </c>
      <c r="N930" s="78" t="s">
        <v>921</v>
      </c>
      <c r="O930" s="25">
        <f t="shared" si="25"/>
        <v>-1.4925373134328623E-2</v>
      </c>
    </row>
    <row r="931" spans="1:15">
      <c r="A931" s="77">
        <v>396.87389130236659</v>
      </c>
      <c r="B931" s="77">
        <v>398.73918032319318</v>
      </c>
      <c r="C931" s="77">
        <v>396.21046376403137</v>
      </c>
      <c r="D931" s="77">
        <v>397.99883364997851</v>
      </c>
      <c r="E931" s="77">
        <v>3828378.991281203</v>
      </c>
      <c r="F931" s="77" t="s">
        <v>922</v>
      </c>
      <c r="G931" s="25">
        <f t="shared" si="24"/>
        <v>-2.8264965937092601E-3</v>
      </c>
      <c r="I931" s="78">
        <v>181.87876697415001</v>
      </c>
      <c r="J931" s="78">
        <v>183.9195215708319</v>
      </c>
      <c r="K931" s="78">
        <v>179.54636493974999</v>
      </c>
      <c r="L931" s="78">
        <v>183.55032176546999</v>
      </c>
      <c r="M931" s="78">
        <v>1132576.957591081</v>
      </c>
      <c r="N931" s="78" t="s">
        <v>922</v>
      </c>
      <c r="O931" s="25">
        <f t="shared" si="25"/>
        <v>-9.1067930322442647E-3</v>
      </c>
    </row>
    <row r="932" spans="1:15">
      <c r="A932" s="77">
        <v>397.19118273374431</v>
      </c>
      <c r="B932" s="77">
        <v>397.87384005579941</v>
      </c>
      <c r="C932" s="77">
        <v>395.29704903733796</v>
      </c>
      <c r="D932" s="77">
        <v>395.69125960359514</v>
      </c>
      <c r="E932" s="77">
        <v>3404538.5509135979</v>
      </c>
      <c r="F932" s="77" t="s">
        <v>923</v>
      </c>
      <c r="G932" s="25">
        <f t="shared" si="24"/>
        <v>3.7906400349903002E-3</v>
      </c>
      <c r="I932" s="78">
        <v>183.51144839823002</v>
      </c>
      <c r="J932" s="78">
        <v>188.03047733987998</v>
      </c>
      <c r="K932" s="78">
        <v>183.059545504065</v>
      </c>
      <c r="L932" s="78">
        <v>187.4668135149</v>
      </c>
      <c r="M932" s="78">
        <v>1083217.7140721499</v>
      </c>
      <c r="N932" s="78" t="s">
        <v>923</v>
      </c>
      <c r="O932" s="25">
        <f t="shared" si="25"/>
        <v>-2.1099015033696156E-2</v>
      </c>
    </row>
    <row r="933" spans="1:15">
      <c r="A933" s="77">
        <v>393.97980885252741</v>
      </c>
      <c r="B933" s="77">
        <v>395.29704903733796</v>
      </c>
      <c r="C933" s="77">
        <v>393.04716434211412</v>
      </c>
      <c r="D933" s="77">
        <v>394.39324920250442</v>
      </c>
      <c r="E933" s="77">
        <v>4416439.6873731762</v>
      </c>
      <c r="F933" s="77" t="s">
        <v>924</v>
      </c>
      <c r="G933" s="25">
        <f t="shared" si="24"/>
        <v>-1.0482946927032888E-3</v>
      </c>
      <c r="I933" s="78">
        <v>186.54357104294999</v>
      </c>
      <c r="J933" s="78">
        <v>187.30160170412998</v>
      </c>
      <c r="K933" s="78">
        <v>182.57848758447</v>
      </c>
      <c r="L933" s="78">
        <v>182.57848758447</v>
      </c>
      <c r="M933" s="78">
        <v>1486429.504376529</v>
      </c>
      <c r="N933" s="78" t="s">
        <v>924</v>
      </c>
      <c r="O933" s="25">
        <f t="shared" si="25"/>
        <v>2.1717144834193736E-2</v>
      </c>
    </row>
    <row r="934" spans="1:15">
      <c r="A934" s="77">
        <v>390.90304345734955</v>
      </c>
      <c r="B934" s="77">
        <v>391.3260986991865</v>
      </c>
      <c r="C934" s="77">
        <v>388.22048862842882</v>
      </c>
      <c r="D934" s="77">
        <v>389.18197781442188</v>
      </c>
      <c r="E934" s="77">
        <v>3309315.4310555882</v>
      </c>
      <c r="F934" s="77" t="s">
        <v>925</v>
      </c>
      <c r="G934" s="25">
        <f t="shared" si="24"/>
        <v>4.4222644958866741E-3</v>
      </c>
      <c r="I934" s="78">
        <v>179.61439333241998</v>
      </c>
      <c r="J934" s="78">
        <v>181.067285433015</v>
      </c>
      <c r="K934" s="78">
        <v>177.69987999584998</v>
      </c>
      <c r="L934" s="78">
        <v>178.80777096219001</v>
      </c>
      <c r="M934" s="78">
        <v>1606749.4131491142</v>
      </c>
      <c r="N934" s="78" t="s">
        <v>925</v>
      </c>
      <c r="O934" s="25">
        <f t="shared" si="25"/>
        <v>4.5111147344962799E-3</v>
      </c>
    </row>
    <row r="935" spans="1:15">
      <c r="A935" s="77">
        <v>388.41278646562745</v>
      </c>
      <c r="B935" s="77">
        <v>388.54739495166649</v>
      </c>
      <c r="C935" s="77">
        <v>386.57634212038062</v>
      </c>
      <c r="D935" s="77">
        <v>387.12439095639667</v>
      </c>
      <c r="E935" s="77">
        <v>3496947.2865440776</v>
      </c>
      <c r="F935" s="77" t="s">
        <v>926</v>
      </c>
      <c r="G935" s="25">
        <f t="shared" si="24"/>
        <v>3.3281176266051204E-3</v>
      </c>
      <c r="I935" s="78">
        <v>178.75917925313999</v>
      </c>
      <c r="J935" s="78">
        <v>181.49003330175</v>
      </c>
      <c r="K935" s="78">
        <v>176.02832520452998</v>
      </c>
      <c r="L935" s="78">
        <v>177.69016165404</v>
      </c>
      <c r="M935" s="78">
        <v>1445820.7248423588</v>
      </c>
      <c r="N935" s="78" t="s">
        <v>926</v>
      </c>
      <c r="O935" s="25">
        <f t="shared" si="25"/>
        <v>6.0161890177203858E-3</v>
      </c>
    </row>
    <row r="936" spans="1:15">
      <c r="A936" s="77">
        <v>387.37437814475487</v>
      </c>
      <c r="B936" s="77">
        <v>391.01746067048271</v>
      </c>
      <c r="C936" s="77">
        <v>387.20131009127613</v>
      </c>
      <c r="D936" s="77">
        <v>387.50898663079391</v>
      </c>
      <c r="E936" s="77">
        <v>3820374.7410908579</v>
      </c>
      <c r="F936" s="77" t="s">
        <v>927</v>
      </c>
      <c r="G936" s="25">
        <f t="shared" si="24"/>
        <v>-3.4736868223206319E-4</v>
      </c>
      <c r="I936" s="78">
        <v>178.15664206091998</v>
      </c>
      <c r="J936" s="78">
        <v>179.78932348499998</v>
      </c>
      <c r="K936" s="78">
        <v>176.42191804783499</v>
      </c>
      <c r="L936" s="78">
        <v>177.00015938553</v>
      </c>
      <c r="M936" s="78">
        <v>910794.2664552154</v>
      </c>
      <c r="N936" s="78" t="s">
        <v>927</v>
      </c>
      <c r="O936" s="25">
        <f t="shared" si="25"/>
        <v>6.5337945423598054E-3</v>
      </c>
    </row>
    <row r="937" spans="1:15">
      <c r="A937" s="77">
        <v>388.27817797958841</v>
      </c>
      <c r="B937" s="77">
        <v>388.77815235630482</v>
      </c>
      <c r="C937" s="77">
        <v>386.09559752738409</v>
      </c>
      <c r="D937" s="77">
        <v>388.23010352028871</v>
      </c>
      <c r="E937" s="77">
        <v>6282203.7813781798</v>
      </c>
      <c r="F937" s="77" t="s">
        <v>928</v>
      </c>
      <c r="G937" s="25">
        <f t="shared" si="24"/>
        <v>1.2382980831149304E-4</v>
      </c>
      <c r="I937" s="78">
        <v>177.34030134887999</v>
      </c>
      <c r="J937" s="78">
        <v>179.72129509233</v>
      </c>
      <c r="K937" s="78">
        <v>176.20811452801499</v>
      </c>
      <c r="L937" s="78">
        <v>179.44918152164999</v>
      </c>
      <c r="M937" s="78">
        <v>1182169.7800522207</v>
      </c>
      <c r="N937" s="78" t="s">
        <v>928</v>
      </c>
      <c r="O937" s="25">
        <f t="shared" si="25"/>
        <v>-1.1751963173571633E-2</v>
      </c>
    </row>
    <row r="938" spans="1:15">
      <c r="A938" s="77">
        <v>391.47032207708543</v>
      </c>
      <c r="B938" s="77">
        <v>392.13374961542064</v>
      </c>
      <c r="C938" s="77">
        <v>390.37422440505333</v>
      </c>
      <c r="D938" s="77">
        <v>390.37422440505333</v>
      </c>
      <c r="E938" s="77">
        <v>4403714.6352579379</v>
      </c>
      <c r="F938" s="77" t="s">
        <v>929</v>
      </c>
      <c r="G938" s="25">
        <f t="shared" si="24"/>
        <v>2.8078126154527094E-3</v>
      </c>
      <c r="I938" s="78">
        <v>181.76214687242998</v>
      </c>
      <c r="J938" s="78">
        <v>183.676660209</v>
      </c>
      <c r="K938" s="78">
        <v>179.36171644536</v>
      </c>
      <c r="L938" s="78">
        <v>182.70482602799999</v>
      </c>
      <c r="M938" s="78">
        <v>854331.95933247381</v>
      </c>
      <c r="N938" s="78" t="s">
        <v>929</v>
      </c>
      <c r="O938" s="25">
        <f t="shared" si="25"/>
        <v>-5.1595744680851263E-3</v>
      </c>
    </row>
    <row r="939" spans="1:15">
      <c r="A939" s="77">
        <v>392.34527723633914</v>
      </c>
      <c r="B939" s="77">
        <v>392.34527723633914</v>
      </c>
      <c r="C939" s="77">
        <v>391.01842215966872</v>
      </c>
      <c r="D939" s="77">
        <v>391.24917956430704</v>
      </c>
      <c r="E939" s="77">
        <v>2467026.1866232306</v>
      </c>
      <c r="F939" s="77" t="s">
        <v>930</v>
      </c>
      <c r="G939" s="25">
        <f t="shared" si="24"/>
        <v>2.8015334709525774E-3</v>
      </c>
      <c r="I939" s="78">
        <v>182.82144612971999</v>
      </c>
      <c r="J939" s="78">
        <v>183.96335129239498</v>
      </c>
      <c r="K939" s="78">
        <v>179.78932348499998</v>
      </c>
      <c r="L939" s="78">
        <v>182.30637401378999</v>
      </c>
      <c r="M939" s="78">
        <v>493437.05888854718</v>
      </c>
      <c r="N939" s="78" t="s">
        <v>930</v>
      </c>
      <c r="O939" s="25">
        <f t="shared" si="25"/>
        <v>2.8253105176181403E-3</v>
      </c>
    </row>
    <row r="940" spans="1:15">
      <c r="A940" s="77">
        <v>391.59531567126453</v>
      </c>
      <c r="B940" s="77">
        <v>392.49911550609806</v>
      </c>
      <c r="C940" s="77">
        <v>389.68195219113835</v>
      </c>
      <c r="D940" s="77">
        <v>389.78771600159752</v>
      </c>
      <c r="E940" s="77">
        <v>5380915.4334442997</v>
      </c>
      <c r="F940" s="77" t="s">
        <v>931</v>
      </c>
      <c r="G940" s="25">
        <f t="shared" si="24"/>
        <v>4.6373951652689538E-3</v>
      </c>
      <c r="I940" s="78">
        <v>182.20919059568999</v>
      </c>
      <c r="J940" s="78">
        <v>184.43469087017999</v>
      </c>
      <c r="K940" s="78">
        <v>180.85834108409998</v>
      </c>
      <c r="L940" s="78">
        <v>181.67468179613999</v>
      </c>
      <c r="M940" s="78">
        <v>1325499.7870876493</v>
      </c>
      <c r="N940" s="78" t="s">
        <v>931</v>
      </c>
      <c r="O940" s="25">
        <f t="shared" si="25"/>
        <v>2.9421204664599188E-3</v>
      </c>
    </row>
    <row r="941" spans="1:15">
      <c r="A941" s="77">
        <v>387.0090122540775</v>
      </c>
      <c r="B941" s="77">
        <v>387.16285052383643</v>
      </c>
      <c r="C941" s="77">
        <v>384.77835734257354</v>
      </c>
      <c r="D941" s="77">
        <v>385.17256790883073</v>
      </c>
      <c r="E941" s="77">
        <v>4071651.6181682218</v>
      </c>
      <c r="F941" s="77" t="s">
        <v>932</v>
      </c>
      <c r="G941" s="25">
        <f t="shared" si="24"/>
        <v>4.7678482276585221E-3</v>
      </c>
      <c r="I941" s="78">
        <v>180.26552223369001</v>
      </c>
      <c r="J941" s="78">
        <v>181.34425817459999</v>
      </c>
      <c r="K941" s="78">
        <v>176.75720084027998</v>
      </c>
      <c r="L941" s="78">
        <v>178.23438879540001</v>
      </c>
      <c r="M941" s="78">
        <v>1296152.1879214495</v>
      </c>
      <c r="N941" s="78" t="s">
        <v>932</v>
      </c>
      <c r="O941" s="25">
        <f t="shared" si="25"/>
        <v>1.1395856052344611E-2</v>
      </c>
    </row>
    <row r="942" spans="1:15">
      <c r="A942" s="77">
        <v>385.53197258297718</v>
      </c>
      <c r="B942" s="77">
        <v>386.42744493266071</v>
      </c>
      <c r="C942" s="77">
        <v>383.76975961675515</v>
      </c>
      <c r="D942" s="77">
        <v>384.38270325718025</v>
      </c>
      <c r="E942" s="77">
        <v>4511393.7034772318</v>
      </c>
      <c r="F942" s="77" t="s">
        <v>933</v>
      </c>
      <c r="G942" s="25">
        <f t="shared" si="24"/>
        <v>2.9899090569327491E-3</v>
      </c>
      <c r="I942" s="78">
        <v>179.31312473630999</v>
      </c>
      <c r="J942" s="78">
        <v>180.90333700668029</v>
      </c>
      <c r="K942" s="78">
        <v>176.50452395322</v>
      </c>
      <c r="L942" s="78">
        <v>177.91368351566999</v>
      </c>
      <c r="M942" s="78">
        <v>2047788.6443057719</v>
      </c>
      <c r="N942" s="78" t="s">
        <v>933</v>
      </c>
      <c r="O942" s="25">
        <f t="shared" si="25"/>
        <v>7.8658436663572306E-3</v>
      </c>
    </row>
    <row r="943" spans="1:15">
      <c r="A943" s="77">
        <v>385.35958218410764</v>
      </c>
      <c r="B943" s="77">
        <v>385.89590786947957</v>
      </c>
      <c r="C943" s="77">
        <v>381.5478389202143</v>
      </c>
      <c r="D943" s="77">
        <v>381.94050593986162</v>
      </c>
      <c r="E943" s="77">
        <v>4492274.4252482038</v>
      </c>
      <c r="F943" s="77" t="s">
        <v>934</v>
      </c>
      <c r="G943" s="25">
        <f t="shared" si="24"/>
        <v>8.9518555667000843E-3</v>
      </c>
      <c r="I943" s="78">
        <v>178.26354382082999</v>
      </c>
      <c r="J943" s="78">
        <v>185.8534715910219</v>
      </c>
      <c r="K943" s="78">
        <v>176.96128601829</v>
      </c>
      <c r="L943" s="78">
        <v>185.13441148050001</v>
      </c>
      <c r="M943" s="78">
        <v>3190014.3672760981</v>
      </c>
      <c r="N943" s="78" t="s">
        <v>934</v>
      </c>
      <c r="O943" s="25">
        <f t="shared" si="25"/>
        <v>-3.7112860892388522E-2</v>
      </c>
    </row>
    <row r="944" spans="1:15">
      <c r="A944" s="77">
        <v>381.13601741180372</v>
      </c>
      <c r="B944" s="77">
        <v>383.91341828247977</v>
      </c>
      <c r="C944" s="77">
        <v>380.915740791026</v>
      </c>
      <c r="D944" s="77">
        <v>382.17035980502106</v>
      </c>
      <c r="E944" s="77">
        <v>3394191.3461363041</v>
      </c>
      <c r="F944" s="77" t="s">
        <v>935</v>
      </c>
      <c r="G944" s="25">
        <f t="shared" si="24"/>
        <v>-2.7064955894147147E-3</v>
      </c>
      <c r="I944" s="78">
        <v>186.47554265027998</v>
      </c>
      <c r="J944" s="78">
        <v>195.50388219176997</v>
      </c>
      <c r="K944" s="78">
        <v>186.30061249769997</v>
      </c>
      <c r="L944" s="78">
        <v>195.50388219176997</v>
      </c>
      <c r="M944" s="78">
        <v>1638554.221628062</v>
      </c>
      <c r="N944" s="78" t="s">
        <v>935</v>
      </c>
      <c r="O944" s="25">
        <f t="shared" si="25"/>
        <v>-4.6179847889844416E-2</v>
      </c>
    </row>
    <row r="945" spans="1:15">
      <c r="A945" s="77">
        <v>382.7162627347746</v>
      </c>
      <c r="B945" s="77">
        <v>384.31566254650869</v>
      </c>
      <c r="C945" s="77">
        <v>382.06501011682298</v>
      </c>
      <c r="D945" s="77">
        <v>382.44809989208863</v>
      </c>
      <c r="E945" s="77">
        <v>4401377.7157866871</v>
      </c>
      <c r="F945" s="77" t="s">
        <v>936</v>
      </c>
      <c r="G945" s="25">
        <f t="shared" si="24"/>
        <v>7.0117446723272359E-4</v>
      </c>
      <c r="I945" s="78">
        <v>195.98979928226998</v>
      </c>
      <c r="J945" s="78">
        <v>197.13656361584998</v>
      </c>
      <c r="K945" s="78">
        <v>193.61852388062999</v>
      </c>
      <c r="L945" s="78">
        <v>193.64767890605998</v>
      </c>
      <c r="M945" s="78">
        <v>4552186.0482904753</v>
      </c>
      <c r="N945" s="78" t="s">
        <v>936</v>
      </c>
      <c r="O945" s="25">
        <f t="shared" si="25"/>
        <v>1.2094750577135382E-2</v>
      </c>
    </row>
    <row r="946" spans="1:15">
      <c r="A946" s="77">
        <v>385.60859053803034</v>
      </c>
      <c r="B946" s="77">
        <v>385.69478573746511</v>
      </c>
      <c r="C946" s="77">
        <v>383.04188904375042</v>
      </c>
      <c r="D946" s="77">
        <v>383.35793810834457</v>
      </c>
      <c r="E946" s="77">
        <v>3279670.931255545</v>
      </c>
      <c r="F946" s="77" t="s">
        <v>937</v>
      </c>
      <c r="G946" s="25">
        <f t="shared" si="24"/>
        <v>5.8708903767363818E-3</v>
      </c>
      <c r="I946" s="78">
        <v>196.45627968914999</v>
      </c>
      <c r="J946" s="78">
        <v>196.51458974001</v>
      </c>
      <c r="K946" s="78">
        <v>191.02372661735998</v>
      </c>
      <c r="L946" s="78">
        <v>193.89063745130997</v>
      </c>
      <c r="M946" s="78">
        <v>1456487.1535425035</v>
      </c>
      <c r="N946" s="78" t="s">
        <v>937</v>
      </c>
      <c r="O946" s="25">
        <f t="shared" si="25"/>
        <v>1.3232419427597675E-2</v>
      </c>
    </row>
    <row r="947" spans="1:15">
      <c r="A947" s="77">
        <v>384.21031285831066</v>
      </c>
      <c r="B947" s="77">
        <v>386.02041204644092</v>
      </c>
      <c r="C947" s="77">
        <v>383.73145063922863</v>
      </c>
      <c r="D947" s="77">
        <v>385.30211871781779</v>
      </c>
      <c r="E947" s="77">
        <v>3574663.9258392104</v>
      </c>
      <c r="F947" s="77" t="s">
        <v>938</v>
      </c>
      <c r="G947" s="25">
        <f t="shared" si="24"/>
        <v>-2.8336357535234669E-3</v>
      </c>
      <c r="I947" s="78">
        <v>194.24049775647001</v>
      </c>
      <c r="J947" s="78">
        <v>195.37754374823999</v>
      </c>
      <c r="K947" s="78">
        <v>191.54851707509999</v>
      </c>
      <c r="L947" s="78">
        <v>194.38627288361999</v>
      </c>
      <c r="M947" s="78">
        <v>1829738.07133462</v>
      </c>
      <c r="N947" s="78" t="s">
        <v>938</v>
      </c>
      <c r="O947" s="25">
        <f t="shared" si="25"/>
        <v>-7.4992500749915258E-4</v>
      </c>
    </row>
    <row r="948" spans="1:15">
      <c r="A948" s="77">
        <v>386.32688386665342</v>
      </c>
      <c r="B948" s="77">
        <v>387.22714483852775</v>
      </c>
      <c r="C948" s="77">
        <v>384.29650805774543</v>
      </c>
      <c r="D948" s="77">
        <v>386.43223355485151</v>
      </c>
      <c r="E948" s="77">
        <v>4434345.4450643528</v>
      </c>
      <c r="F948" s="77" t="s">
        <v>939</v>
      </c>
      <c r="G948" s="25">
        <f t="shared" si="24"/>
        <v>-2.7262137847294809E-4</v>
      </c>
      <c r="I948" s="78">
        <v>196.43684300552999</v>
      </c>
      <c r="J948" s="78">
        <v>197.46698723738999</v>
      </c>
      <c r="K948" s="78">
        <v>194.17246936379999</v>
      </c>
      <c r="L948" s="78">
        <v>196.09670104218</v>
      </c>
      <c r="M948" s="78">
        <v>1875585.3988634301</v>
      </c>
      <c r="N948" s="78" t="s">
        <v>939</v>
      </c>
      <c r="O948" s="25">
        <f t="shared" si="25"/>
        <v>1.7345623946871669E-3</v>
      </c>
    </row>
    <row r="949" spans="1:15">
      <c r="A949" s="77">
        <v>388.11782856602036</v>
      </c>
      <c r="B949" s="77">
        <v>391.47944134397653</v>
      </c>
      <c r="C949" s="77">
        <v>387.77304776828129</v>
      </c>
      <c r="D949" s="77">
        <v>391.41240063330503</v>
      </c>
      <c r="E949" s="77">
        <v>5368856.421640899</v>
      </c>
      <c r="F949" s="77" t="s">
        <v>940</v>
      </c>
      <c r="G949" s="25">
        <f t="shared" si="24"/>
        <v>-8.4171376838190204E-3</v>
      </c>
      <c r="I949" s="78">
        <v>200.07150284247001</v>
      </c>
      <c r="J949" s="78">
        <v>206.50096341712981</v>
      </c>
      <c r="K949" s="78">
        <v>199.22600710499998</v>
      </c>
      <c r="L949" s="78">
        <v>206.12602979009998</v>
      </c>
      <c r="M949" s="78">
        <v>2514150.0965584991</v>
      </c>
      <c r="N949" s="78" t="s">
        <v>940</v>
      </c>
      <c r="O949" s="25">
        <f t="shared" si="25"/>
        <v>-2.9372937293729251E-2</v>
      </c>
    </row>
    <row r="950" spans="1:15">
      <c r="A950" s="77">
        <v>389.55441522326663</v>
      </c>
      <c r="B950" s="77">
        <v>390.68453006030029</v>
      </c>
      <c r="C950" s="77">
        <v>383.94215001562469</v>
      </c>
      <c r="D950" s="77">
        <v>384.04749970382278</v>
      </c>
      <c r="E950" s="77">
        <v>5518272.0513331983</v>
      </c>
      <c r="F950" s="77" t="s">
        <v>941</v>
      </c>
      <c r="G950" s="25">
        <f t="shared" si="24"/>
        <v>1.4339152119700715E-2</v>
      </c>
      <c r="I950" s="78">
        <v>204.02200878823498</v>
      </c>
      <c r="J950" s="78">
        <v>205.29025239443999</v>
      </c>
      <c r="K950" s="78">
        <v>197.44755055376999</v>
      </c>
      <c r="L950" s="78">
        <v>198.21529955675999</v>
      </c>
      <c r="M950" s="78">
        <v>1835397.4730180849</v>
      </c>
      <c r="N950" s="78" t="s">
        <v>941</v>
      </c>
      <c r="O950" s="25">
        <f t="shared" si="25"/>
        <v>2.9294959796038356E-2</v>
      </c>
    </row>
    <row r="951" spans="1:15">
      <c r="A951" s="77">
        <v>384.6221343667213</v>
      </c>
      <c r="B951" s="77">
        <v>386.3805164351906</v>
      </c>
      <c r="C951" s="77">
        <v>381.61487963088581</v>
      </c>
      <c r="D951" s="77">
        <v>384.6317116111029</v>
      </c>
      <c r="E951" s="77">
        <v>5389105.4611633467</v>
      </c>
      <c r="F951" s="77" t="s">
        <v>942</v>
      </c>
      <c r="G951" s="25">
        <f t="shared" si="24"/>
        <v>-2.4899778391818117E-5</v>
      </c>
      <c r="I951" s="78">
        <v>199.07051363604</v>
      </c>
      <c r="J951" s="78">
        <v>201.33974644867502</v>
      </c>
      <c r="K951" s="78">
        <v>196.09670104218</v>
      </c>
      <c r="L951" s="78">
        <v>201.16967546699999</v>
      </c>
      <c r="M951" s="78">
        <v>1867427.6285822468</v>
      </c>
      <c r="N951" s="78" t="s">
        <v>942</v>
      </c>
      <c r="O951" s="25">
        <f t="shared" si="25"/>
        <v>-1.043478260869557E-2</v>
      </c>
    </row>
    <row r="952" spans="1:15">
      <c r="A952" s="77">
        <v>384.32523979089041</v>
      </c>
      <c r="B952" s="77">
        <v>384.86156547626229</v>
      </c>
      <c r="C952" s="77">
        <v>382.51514060276008</v>
      </c>
      <c r="D952" s="77">
        <v>383.10797202998373</v>
      </c>
      <c r="E952" s="77">
        <v>4085815.130186046</v>
      </c>
      <c r="F952" s="77" t="s">
        <v>943</v>
      </c>
      <c r="G952" s="25">
        <f t="shared" si="24"/>
        <v>3.1773490759190448E-3</v>
      </c>
      <c r="I952" s="78">
        <v>201.01418199803999</v>
      </c>
      <c r="J952" s="78">
        <v>204.66827851859998</v>
      </c>
      <c r="K952" s="78">
        <v>199.91600937351001</v>
      </c>
      <c r="L952" s="78">
        <v>202.71489181479001</v>
      </c>
      <c r="M952" s="78">
        <v>1159890.2590976064</v>
      </c>
      <c r="N952" s="78" t="s">
        <v>943</v>
      </c>
      <c r="O952" s="25">
        <f t="shared" si="25"/>
        <v>-8.3896639340333978E-3</v>
      </c>
    </row>
    <row r="953" spans="1:15">
      <c r="A953" s="77">
        <v>381.80642451851867</v>
      </c>
      <c r="B953" s="77">
        <v>381.83036762947279</v>
      </c>
      <c r="C953" s="77">
        <v>378.58847040628712</v>
      </c>
      <c r="D953" s="77">
        <v>379.23972302423874</v>
      </c>
      <c r="E953" s="77">
        <v>3964861.7584395208</v>
      </c>
      <c r="F953" s="77" t="s">
        <v>944</v>
      </c>
      <c r="G953" s="25">
        <f t="shared" si="24"/>
        <v>6.7680185867973197E-3</v>
      </c>
      <c r="I953" s="78">
        <v>202.27756643333998</v>
      </c>
      <c r="J953" s="78">
        <v>203.46077454870749</v>
      </c>
      <c r="K953" s="78">
        <v>193.395002019</v>
      </c>
      <c r="L953" s="78">
        <v>202.14150964799998</v>
      </c>
      <c r="M953" s="78">
        <v>2645308.2740459815</v>
      </c>
      <c r="N953" s="78" t="s">
        <v>944</v>
      </c>
      <c r="O953" s="25">
        <f t="shared" si="25"/>
        <v>6.7307692307694289E-4</v>
      </c>
    </row>
    <row r="954" spans="1:15">
      <c r="A954" s="77">
        <v>378.32988480798281</v>
      </c>
      <c r="B954" s="77">
        <v>380.14956124049468</v>
      </c>
      <c r="C954" s="77">
        <v>377.42004659172687</v>
      </c>
      <c r="D954" s="77">
        <v>378.34903929674613</v>
      </c>
      <c r="E954" s="77">
        <v>3198068.1268520039</v>
      </c>
      <c r="F954" s="77" t="s">
        <v>945</v>
      </c>
      <c r="G954" s="25">
        <f t="shared" si="24"/>
        <v>-5.0626502974382426E-5</v>
      </c>
      <c r="I954" s="78">
        <v>194.88190831592999</v>
      </c>
      <c r="J954" s="78">
        <v>196.69923823439999</v>
      </c>
      <c r="K954" s="78">
        <v>193.97810252759999</v>
      </c>
      <c r="L954" s="78">
        <v>195.98979928226998</v>
      </c>
      <c r="M954" s="78">
        <v>716488.48498363327</v>
      </c>
      <c r="N954" s="78" t="s">
        <v>945</v>
      </c>
      <c r="O954" s="25">
        <f t="shared" si="25"/>
        <v>-5.6527991272871114E-3</v>
      </c>
    </row>
    <row r="955" spans="1:15">
      <c r="A955" s="77">
        <v>377.6977866787945</v>
      </c>
      <c r="B955" s="77">
        <v>378.04256747653358</v>
      </c>
      <c r="C955" s="77">
        <v>374.74799540924892</v>
      </c>
      <c r="D955" s="77">
        <v>375.38967078281888</v>
      </c>
      <c r="E955" s="77">
        <v>3613096.6926490003</v>
      </c>
      <c r="F955" s="77" t="s">
        <v>946</v>
      </c>
      <c r="G955" s="25">
        <f t="shared" si="24"/>
        <v>6.1485865904684633E-3</v>
      </c>
      <c r="I955" s="78">
        <v>197.01022517231999</v>
      </c>
      <c r="J955" s="78">
        <v>199.84798098083999</v>
      </c>
      <c r="K955" s="78">
        <v>195.39698043185999</v>
      </c>
      <c r="L955" s="78">
        <v>196.63120984173</v>
      </c>
      <c r="M955" s="78">
        <v>929408.55308319314</v>
      </c>
      <c r="N955" s="78" t="s">
        <v>946</v>
      </c>
      <c r="O955" s="25">
        <f t="shared" si="25"/>
        <v>1.9275441111055169E-3</v>
      </c>
    </row>
    <row r="956" spans="1:15">
      <c r="A956" s="77">
        <v>375.44713424910873</v>
      </c>
      <c r="B956" s="77">
        <v>378.0712992096785</v>
      </c>
      <c r="C956" s="77">
        <v>374.98742651878996</v>
      </c>
      <c r="D956" s="77">
        <v>377.02737957207961</v>
      </c>
      <c r="E956" s="77">
        <v>4116938.9052639157</v>
      </c>
      <c r="F956" s="77" t="s">
        <v>947</v>
      </c>
      <c r="G956" s="25">
        <f t="shared" ref="G956:G1019" si="26">A956/D956-1</f>
        <v>-4.1913277618310651E-3</v>
      </c>
      <c r="I956" s="78">
        <v>196.63120984173</v>
      </c>
      <c r="J956" s="78">
        <v>198.79354089445499</v>
      </c>
      <c r="K956" s="78">
        <v>194.87218997412</v>
      </c>
      <c r="L956" s="78">
        <v>196.95191512145999</v>
      </c>
      <c r="M956" s="78">
        <v>1358779.1269506707</v>
      </c>
      <c r="N956" s="78" t="s">
        <v>947</v>
      </c>
      <c r="O956" s="25">
        <f t="shared" ref="O956:O1019" si="27">I956/L956-1</f>
        <v>-1.6283430375998442E-3</v>
      </c>
    </row>
    <row r="957" spans="1:15">
      <c r="A957" s="77">
        <v>376.68259877434048</v>
      </c>
      <c r="B957" s="77">
        <v>377.1423065046593</v>
      </c>
      <c r="C957" s="77">
        <v>374.86292234182861</v>
      </c>
      <c r="D957" s="77">
        <v>375.47586598225365</v>
      </c>
      <c r="E957" s="77">
        <v>3022438.276242333</v>
      </c>
      <c r="F957" s="77" t="s">
        <v>948</v>
      </c>
      <c r="G957" s="25">
        <f t="shared" si="26"/>
        <v>3.2138757811503993E-3</v>
      </c>
      <c r="I957" s="78">
        <v>197.35036713566998</v>
      </c>
      <c r="J957" s="78">
        <v>204.91123706385</v>
      </c>
      <c r="K957" s="78">
        <v>196.04810933312999</v>
      </c>
      <c r="L957" s="78">
        <v>204.76546193669998</v>
      </c>
      <c r="M957" s="78">
        <v>1263549.9182961956</v>
      </c>
      <c r="N957" s="78" t="s">
        <v>948</v>
      </c>
      <c r="O957" s="25">
        <f t="shared" si="27"/>
        <v>-3.6212624584717634E-2</v>
      </c>
    </row>
    <row r="958" spans="1:15">
      <c r="A958" s="77">
        <v>375.9068419794275</v>
      </c>
      <c r="B958" s="77">
        <v>378.0808764540601</v>
      </c>
      <c r="C958" s="77">
        <v>375.226857628331</v>
      </c>
      <c r="D958" s="77">
        <v>376.90287539511826</v>
      </c>
      <c r="E958" s="77">
        <v>4188864.6046143938</v>
      </c>
      <c r="F958" s="77" t="s">
        <v>949</v>
      </c>
      <c r="G958" s="25">
        <f t="shared" si="26"/>
        <v>-2.64267927021411E-3</v>
      </c>
      <c r="I958" s="78">
        <v>204.62940515136</v>
      </c>
      <c r="J958" s="78">
        <v>207.1139964185046</v>
      </c>
      <c r="K958" s="78">
        <v>201.08221039071</v>
      </c>
      <c r="L958" s="78">
        <v>202.27756643333998</v>
      </c>
      <c r="M958" s="78">
        <v>1190717.5345585011</v>
      </c>
      <c r="N958" s="78" t="s">
        <v>949</v>
      </c>
      <c r="O958" s="25">
        <f t="shared" si="27"/>
        <v>1.1626789660805326E-2</v>
      </c>
    </row>
    <row r="959" spans="1:15">
      <c r="A959" s="77">
        <v>376.63471255243223</v>
      </c>
      <c r="B959" s="77">
        <v>377.30511965914712</v>
      </c>
      <c r="C959" s="77">
        <v>373.07197764246166</v>
      </c>
      <c r="D959" s="77">
        <v>373.58914883907028</v>
      </c>
      <c r="E959" s="77">
        <v>7694177.6844761139</v>
      </c>
      <c r="F959" s="77" t="s">
        <v>950</v>
      </c>
      <c r="G959" s="25">
        <f t="shared" si="26"/>
        <v>8.152173913043459E-3</v>
      </c>
      <c r="I959" s="78">
        <v>201.47094406310998</v>
      </c>
      <c r="J959" s="78">
        <v>202.89468113827499</v>
      </c>
      <c r="K959" s="78">
        <v>194.23077941466002</v>
      </c>
      <c r="L959" s="78">
        <v>194.80416158144999</v>
      </c>
      <c r="M959" s="78">
        <v>2094511.6356223326</v>
      </c>
      <c r="N959" s="78" t="s">
        <v>950</v>
      </c>
      <c r="O959" s="25">
        <f t="shared" si="27"/>
        <v>3.4222998253928605E-2</v>
      </c>
    </row>
    <row r="960" spans="1:15">
      <c r="A960" s="77">
        <v>371.18526049927829</v>
      </c>
      <c r="B960" s="77">
        <v>372.14298493744241</v>
      </c>
      <c r="C960" s="77">
        <v>366.77972808372323</v>
      </c>
      <c r="D960" s="77">
        <v>367.95772914266507</v>
      </c>
      <c r="E960" s="77">
        <v>3720856.2901777332</v>
      </c>
      <c r="F960" s="77" t="s">
        <v>951</v>
      </c>
      <c r="G960" s="25">
        <f t="shared" si="26"/>
        <v>8.7714731910464305E-3</v>
      </c>
      <c r="I960" s="78">
        <v>193.48246709528999</v>
      </c>
      <c r="J960" s="78">
        <v>196.13557440941997</v>
      </c>
      <c r="K960" s="78">
        <v>189.11893162259997</v>
      </c>
      <c r="L960" s="78">
        <v>190.56696455228999</v>
      </c>
      <c r="M960" s="78">
        <v>1268747.3070058646</v>
      </c>
      <c r="N960" s="78" t="s">
        <v>951</v>
      </c>
      <c r="O960" s="25">
        <f t="shared" si="27"/>
        <v>1.5299097353256075E-2</v>
      </c>
    </row>
    <row r="961" spans="1:15">
      <c r="A961" s="77">
        <v>367.66083456683418</v>
      </c>
      <c r="B961" s="77">
        <v>368.87714460330272</v>
      </c>
      <c r="C961" s="77">
        <v>366.25297964273295</v>
      </c>
      <c r="D961" s="77">
        <v>368.06307883086316</v>
      </c>
      <c r="E961" s="77">
        <v>4390979.1088355165</v>
      </c>
      <c r="F961" s="77" t="s">
        <v>952</v>
      </c>
      <c r="G961" s="25">
        <f t="shared" si="26"/>
        <v>-1.0928677369832496E-3</v>
      </c>
      <c r="I961" s="78">
        <v>191.11119169365</v>
      </c>
      <c r="J961" s="78">
        <v>191.73316556948998</v>
      </c>
      <c r="K961" s="78">
        <v>187.07807984249999</v>
      </c>
      <c r="L961" s="78">
        <v>189.03146654630999</v>
      </c>
      <c r="M961" s="78">
        <v>1468404.8245057559</v>
      </c>
      <c r="N961" s="78" t="s">
        <v>952</v>
      </c>
      <c r="O961" s="25">
        <f t="shared" si="27"/>
        <v>1.100200503830151E-2</v>
      </c>
    </row>
    <row r="962" spans="1:15">
      <c r="A962" s="77">
        <v>369.67205588697891</v>
      </c>
      <c r="B962" s="77">
        <v>371.84609036161152</v>
      </c>
      <c r="C962" s="77">
        <v>368.49405482803701</v>
      </c>
      <c r="D962" s="77">
        <v>371.36722814252943</v>
      </c>
      <c r="E962" s="77">
        <v>4143625.0782188335</v>
      </c>
      <c r="F962" s="77" t="s">
        <v>953</v>
      </c>
      <c r="G962" s="25">
        <f t="shared" si="26"/>
        <v>-4.5646791829997424E-3</v>
      </c>
      <c r="I962" s="78">
        <v>189.03146654630999</v>
      </c>
      <c r="J962" s="78">
        <v>192.8783749683804</v>
      </c>
      <c r="K962" s="78">
        <v>188.12766075798001</v>
      </c>
      <c r="L962" s="78">
        <v>190.66414797038999</v>
      </c>
      <c r="M962" s="78">
        <v>1359047.6912851043</v>
      </c>
      <c r="N962" s="78" t="s">
        <v>953</v>
      </c>
      <c r="O962" s="25">
        <f t="shared" si="27"/>
        <v>-8.5631275804067819E-3</v>
      </c>
    </row>
    <row r="963" spans="1:15">
      <c r="A963" s="77">
        <v>369.55712895439922</v>
      </c>
      <c r="B963" s="77">
        <v>370.22753606111411</v>
      </c>
      <c r="C963" s="77">
        <v>365.40539351495767</v>
      </c>
      <c r="D963" s="77">
        <v>365.5059545809649</v>
      </c>
      <c r="E963" s="77">
        <v>3177105.9385648556</v>
      </c>
      <c r="F963" s="77" t="s">
        <v>954</v>
      </c>
      <c r="G963" s="25">
        <f t="shared" si="26"/>
        <v>1.1083743842364546E-2</v>
      </c>
      <c r="I963" s="78">
        <v>190.37259771608998</v>
      </c>
      <c r="J963" s="78">
        <v>193.91979247673999</v>
      </c>
      <c r="K963" s="78">
        <v>188.59414116485999</v>
      </c>
      <c r="L963" s="78">
        <v>188.73019795019999</v>
      </c>
      <c r="M963" s="78">
        <v>1834342.7663407119</v>
      </c>
      <c r="N963" s="78" t="s">
        <v>954</v>
      </c>
      <c r="O963" s="25">
        <f t="shared" si="27"/>
        <v>8.7023686920699728E-3</v>
      </c>
    </row>
    <row r="964" spans="1:15">
      <c r="A964" s="77">
        <v>364.81639298548674</v>
      </c>
      <c r="B964" s="77">
        <v>366.11889822138994</v>
      </c>
      <c r="C964" s="77">
        <v>362.90094410915844</v>
      </c>
      <c r="D964" s="77">
        <v>364.88343369615819</v>
      </c>
      <c r="E964" s="77">
        <v>3462240.1474438361</v>
      </c>
      <c r="F964" s="77" t="s">
        <v>955</v>
      </c>
      <c r="G964" s="25">
        <f t="shared" si="26"/>
        <v>-1.8373185647901913E-4</v>
      </c>
      <c r="I964" s="78">
        <v>188.07906904892999</v>
      </c>
      <c r="J964" s="78">
        <v>206.09687476466999</v>
      </c>
      <c r="K964" s="78">
        <v>180.761157666</v>
      </c>
      <c r="L964" s="78">
        <v>205.91222627028</v>
      </c>
      <c r="M964" s="78">
        <v>3887054.061128974</v>
      </c>
      <c r="N964" s="78" t="s">
        <v>955</v>
      </c>
      <c r="O964" s="25">
        <f t="shared" si="27"/>
        <v>-8.6605625825939225E-2</v>
      </c>
    </row>
    <row r="965" spans="1:15">
      <c r="A965" s="77">
        <v>361.66547958392664</v>
      </c>
      <c r="B965" s="77">
        <v>363.2169931737526</v>
      </c>
      <c r="C965" s="77">
        <v>360.65029167947267</v>
      </c>
      <c r="D965" s="77">
        <v>362.89136686477678</v>
      </c>
      <c r="E965" s="77">
        <v>3771013.7238671998</v>
      </c>
      <c r="F965" s="77" t="s">
        <v>956</v>
      </c>
      <c r="G965" s="25">
        <f t="shared" si="26"/>
        <v>-3.378110897046871E-3</v>
      </c>
      <c r="I965" s="78">
        <v>206.66053858965</v>
      </c>
      <c r="J965" s="78">
        <v>207.88504965771</v>
      </c>
      <c r="K965" s="78">
        <v>194.45430127628998</v>
      </c>
      <c r="L965" s="78">
        <v>196.24247616932999</v>
      </c>
      <c r="M965" s="78">
        <v>2045536.2024357528</v>
      </c>
      <c r="N965" s="78" t="s">
        <v>956</v>
      </c>
      <c r="O965" s="25">
        <f t="shared" si="27"/>
        <v>5.3087703659684182E-2</v>
      </c>
    </row>
    <row r="966" spans="1:15">
      <c r="A966" s="77">
        <v>364.3949942326945</v>
      </c>
      <c r="B966" s="77">
        <v>367.87153394323036</v>
      </c>
      <c r="C966" s="77">
        <v>364.01190445742878</v>
      </c>
      <c r="D966" s="77">
        <v>366.99042746011929</v>
      </c>
      <c r="E966" s="77">
        <v>3014712.6719816932</v>
      </c>
      <c r="F966" s="77" t="s">
        <v>957</v>
      </c>
      <c r="G966" s="25">
        <f t="shared" si="26"/>
        <v>-7.0722096088101649E-3</v>
      </c>
      <c r="I966" s="78">
        <v>198.61375157097001</v>
      </c>
      <c r="J966" s="78">
        <v>203.70616267941</v>
      </c>
      <c r="K966" s="78">
        <v>196.89370225401808</v>
      </c>
      <c r="L966" s="78">
        <v>202.26784809153</v>
      </c>
      <c r="M966" s="78">
        <v>775761.97126987041</v>
      </c>
      <c r="N966" s="78" t="s">
        <v>957</v>
      </c>
      <c r="O966" s="25">
        <f t="shared" si="27"/>
        <v>-1.8065632056887493E-2</v>
      </c>
    </row>
    <row r="967" spans="1:15">
      <c r="A967" s="77">
        <v>368.51320931680027</v>
      </c>
      <c r="B967" s="77">
        <v>369.90190975213835</v>
      </c>
      <c r="C967" s="77">
        <v>367.25859030280532</v>
      </c>
      <c r="D967" s="77">
        <v>368.39828238422064</v>
      </c>
      <c r="E967" s="77">
        <v>2906902.9556525131</v>
      </c>
      <c r="F967" s="77" t="s">
        <v>958</v>
      </c>
      <c r="G967" s="25">
        <f t="shared" si="26"/>
        <v>3.1196381219755764E-4</v>
      </c>
      <c r="I967" s="78">
        <v>202.96756870184998</v>
      </c>
      <c r="J967" s="78">
        <v>204.54194007506999</v>
      </c>
      <c r="K967" s="78">
        <v>199.22600710499998</v>
      </c>
      <c r="L967" s="78">
        <v>199.62445911921</v>
      </c>
      <c r="M967" s="78">
        <v>1063145.3597740869</v>
      </c>
      <c r="N967" s="78" t="s">
        <v>958</v>
      </c>
      <c r="O967" s="25">
        <f t="shared" si="27"/>
        <v>1.6746993817243538E-2</v>
      </c>
    </row>
    <row r="968" spans="1:15">
      <c r="A968" s="77">
        <v>368.31208718478581</v>
      </c>
      <c r="B968" s="77">
        <v>370.19880432796924</v>
      </c>
      <c r="C968" s="77">
        <v>367.22985856966034</v>
      </c>
      <c r="D968" s="77">
        <v>369.70078762012383</v>
      </c>
      <c r="E968" s="77">
        <v>3810117.873774651</v>
      </c>
      <c r="F968" s="77" t="s">
        <v>959</v>
      </c>
      <c r="G968" s="25">
        <f t="shared" si="26"/>
        <v>-3.7562820579244427E-3</v>
      </c>
      <c r="I968" s="78">
        <v>199.08995031966001</v>
      </c>
      <c r="J968" s="78">
        <v>200.05206615884998</v>
      </c>
      <c r="K968" s="78">
        <v>195.40669877366997</v>
      </c>
      <c r="L968" s="78">
        <v>196.24247616932999</v>
      </c>
      <c r="M968" s="78">
        <v>1125525.3430934839</v>
      </c>
      <c r="N968" s="78" t="s">
        <v>959</v>
      </c>
      <c r="O968" s="25">
        <f t="shared" si="27"/>
        <v>1.4509978705492088E-2</v>
      </c>
    </row>
    <row r="969" spans="1:15">
      <c r="A969" s="77">
        <v>368.89629909206599</v>
      </c>
      <c r="B969" s="77">
        <v>369.26981162294999</v>
      </c>
      <c r="C969" s="77">
        <v>364.89301094053985</v>
      </c>
      <c r="D969" s="77">
        <v>365.1420192944625</v>
      </c>
      <c r="E969" s="77">
        <v>3488080.5656412034</v>
      </c>
      <c r="F969" s="77" t="s">
        <v>960</v>
      </c>
      <c r="G969" s="25">
        <f t="shared" si="26"/>
        <v>1.0281697529245237E-2</v>
      </c>
      <c r="I969" s="78">
        <v>195.62050229348998</v>
      </c>
      <c r="J969" s="78">
        <v>195.72740405339999</v>
      </c>
      <c r="K969" s="78">
        <v>190.19766756351001</v>
      </c>
      <c r="L969" s="78">
        <v>191.43189697337999</v>
      </c>
      <c r="M969" s="78">
        <v>1161993.4985596067</v>
      </c>
      <c r="N969" s="78" t="s">
        <v>960</v>
      </c>
      <c r="O969" s="25">
        <f t="shared" si="27"/>
        <v>2.1880393948624066E-2</v>
      </c>
    </row>
    <row r="970" spans="1:15">
      <c r="A970" s="77">
        <v>365.3239869377137</v>
      </c>
      <c r="B970" s="77">
        <v>365.93693057813874</v>
      </c>
      <c r="C970" s="77">
        <v>361.33027603056917</v>
      </c>
      <c r="D970" s="77">
        <v>362.83390339848694</v>
      </c>
      <c r="E970" s="77">
        <v>3364897.9514164426</v>
      </c>
      <c r="F970" s="77" t="s">
        <v>961</v>
      </c>
      <c r="G970" s="25">
        <f t="shared" si="26"/>
        <v>6.8628744885839144E-3</v>
      </c>
      <c r="I970" s="78">
        <v>191.91781406387997</v>
      </c>
      <c r="J970" s="78">
        <v>196.31050456200001</v>
      </c>
      <c r="K970" s="78">
        <v>190.479499476</v>
      </c>
      <c r="L970" s="78">
        <v>196.00923596588999</v>
      </c>
      <c r="M970" s="78">
        <v>865305.02470564994</v>
      </c>
      <c r="N970" s="78" t="s">
        <v>961</v>
      </c>
      <c r="O970" s="25">
        <f t="shared" si="27"/>
        <v>-2.0873617928504173E-2</v>
      </c>
    </row>
    <row r="971" spans="1:15">
      <c r="A971" s="77">
        <v>361.01422696597501</v>
      </c>
      <c r="B971" s="77">
        <v>363.24572490689746</v>
      </c>
      <c r="C971" s="77">
        <v>360.97591798844849</v>
      </c>
      <c r="D971" s="77">
        <v>362.39335015693138</v>
      </c>
      <c r="E971" s="77">
        <v>2378153.7874985645</v>
      </c>
      <c r="F971" s="77" t="s">
        <v>962</v>
      </c>
      <c r="G971" s="25">
        <f t="shared" si="26"/>
        <v>-3.8055973995084758E-3</v>
      </c>
      <c r="I971" s="78">
        <v>196.23275782751998</v>
      </c>
      <c r="J971" s="78">
        <v>197.99177769512997</v>
      </c>
      <c r="K971" s="78">
        <v>193.97810252759999</v>
      </c>
      <c r="L971" s="78">
        <v>197.14628195765999</v>
      </c>
      <c r="M971" s="78">
        <v>1416203.5323596012</v>
      </c>
      <c r="N971" s="78" t="s">
        <v>962</v>
      </c>
      <c r="O971" s="25">
        <f t="shared" si="27"/>
        <v>-4.6337375529923452E-3</v>
      </c>
    </row>
    <row r="972" spans="1:15">
      <c r="A972" s="77">
        <v>363.418115305767</v>
      </c>
      <c r="B972" s="77">
        <v>363.7820505922694</v>
      </c>
      <c r="C972" s="77">
        <v>360.97591798844849</v>
      </c>
      <c r="D972" s="77">
        <v>362.72855371028885</v>
      </c>
      <c r="E972" s="77">
        <v>4053943.7496681684</v>
      </c>
      <c r="F972" s="77" t="s">
        <v>963</v>
      </c>
      <c r="G972" s="25">
        <f t="shared" si="26"/>
        <v>1.9010402914927393E-3</v>
      </c>
      <c r="I972" s="78">
        <v>199.08023197784999</v>
      </c>
      <c r="J972" s="78">
        <v>203.27855563976999</v>
      </c>
      <c r="K972" s="78">
        <v>196.56318144905998</v>
      </c>
      <c r="L972" s="78">
        <v>203.27855563976999</v>
      </c>
      <c r="M972" s="78">
        <v>1317579.7116771715</v>
      </c>
      <c r="N972" s="78" t="s">
        <v>963</v>
      </c>
      <c r="O972" s="25">
        <f t="shared" si="27"/>
        <v>-2.0653057321795676E-2</v>
      </c>
    </row>
    <row r="973" spans="1:15">
      <c r="A973" s="77">
        <v>362.16349629177199</v>
      </c>
      <c r="B973" s="77">
        <v>363.94486374675733</v>
      </c>
      <c r="C973" s="77">
        <v>359.946364217422</v>
      </c>
      <c r="D973" s="77">
        <v>363.79162783665106</v>
      </c>
      <c r="E973" s="77">
        <v>2642738.2440524125</v>
      </c>
      <c r="F973" s="77" t="s">
        <v>964</v>
      </c>
      <c r="G973" s="25">
        <f t="shared" si="26"/>
        <v>-4.4754508358563205E-3</v>
      </c>
      <c r="I973" s="78">
        <v>202.72461015659999</v>
      </c>
      <c r="J973" s="78">
        <v>205.64983104141001</v>
      </c>
      <c r="K973" s="78">
        <v>200.93157609265498</v>
      </c>
      <c r="L973" s="78">
        <v>203.44376745054001</v>
      </c>
      <c r="M973" s="78">
        <v>1010547.9095100896</v>
      </c>
      <c r="N973" s="78" t="s">
        <v>964</v>
      </c>
      <c r="O973" s="25">
        <f t="shared" si="27"/>
        <v>-3.534919270086978E-3</v>
      </c>
    </row>
    <row r="974" spans="1:15">
      <c r="A974" s="77">
        <v>362.65193575523574</v>
      </c>
      <c r="B974" s="77">
        <v>362.86263513163186</v>
      </c>
      <c r="C974" s="77">
        <v>360.7460641232891</v>
      </c>
      <c r="D974" s="77">
        <v>362.46996811198454</v>
      </c>
      <c r="E974" s="77">
        <v>2794772.581068092</v>
      </c>
      <c r="F974" s="77" t="s">
        <v>965</v>
      </c>
      <c r="G974" s="25">
        <f t="shared" si="26"/>
        <v>5.0202129627185954E-4</v>
      </c>
      <c r="I974" s="78">
        <v>202.34559482601</v>
      </c>
      <c r="J974" s="78">
        <v>203.56038755226001</v>
      </c>
      <c r="K974" s="78">
        <v>197.88487593522001</v>
      </c>
      <c r="L974" s="78">
        <v>202.50108829497</v>
      </c>
      <c r="M974" s="78">
        <v>1292968.5172289696</v>
      </c>
      <c r="N974" s="78" t="s">
        <v>965</v>
      </c>
      <c r="O974" s="25">
        <f t="shared" si="27"/>
        <v>-7.6786485578539398E-4</v>
      </c>
    </row>
    <row r="975" spans="1:15">
      <c r="A975" s="77">
        <v>363.15952970746275</v>
      </c>
      <c r="B975" s="77">
        <v>364.73019778605192</v>
      </c>
      <c r="C975" s="77">
        <v>359.75960795198</v>
      </c>
      <c r="D975" s="77">
        <v>364.20344934506164</v>
      </c>
      <c r="E975" s="77">
        <v>3668014.3682392994</v>
      </c>
      <c r="F975" s="77" t="s">
        <v>966</v>
      </c>
      <c r="G975" s="25">
        <f t="shared" si="26"/>
        <v>-2.8663090354474896E-3</v>
      </c>
      <c r="I975" s="78">
        <v>203.58954257769</v>
      </c>
      <c r="J975" s="78">
        <v>205.06673053280997</v>
      </c>
      <c r="K975" s="78">
        <v>190.96541656649998</v>
      </c>
      <c r="L975" s="78">
        <v>191.16950174451</v>
      </c>
      <c r="M975" s="78">
        <v>2827260.0961336223</v>
      </c>
      <c r="N975" s="78" t="s">
        <v>966</v>
      </c>
      <c r="O975" s="25">
        <f t="shared" si="27"/>
        <v>6.4968735702302771E-2</v>
      </c>
    </row>
    <row r="976" spans="1:15">
      <c r="A976" s="77">
        <v>361.57928438449193</v>
      </c>
      <c r="B976" s="77">
        <v>362.57531780018257</v>
      </c>
      <c r="C976" s="77">
        <v>361.37816225247741</v>
      </c>
      <c r="D976" s="77">
        <v>361.74209753897975</v>
      </c>
      <c r="E976" s="77">
        <v>2371296.9091123473</v>
      </c>
      <c r="F976" s="77" t="s">
        <v>967</v>
      </c>
      <c r="G976" s="25">
        <f t="shared" si="26"/>
        <v>-4.5008074978136747E-4</v>
      </c>
      <c r="I976" s="78">
        <v>188.78850800105999</v>
      </c>
      <c r="J976" s="78">
        <v>190.11020248721999</v>
      </c>
      <c r="K976" s="78">
        <v>184.90117127705997</v>
      </c>
      <c r="L976" s="78">
        <v>187.15582657698002</v>
      </c>
      <c r="M976" s="78">
        <v>937241.1650131084</v>
      </c>
      <c r="N976" s="78" t="s">
        <v>967</v>
      </c>
      <c r="O976" s="25">
        <f t="shared" si="27"/>
        <v>8.7236473154013172E-3</v>
      </c>
    </row>
    <row r="977" spans="1:15">
      <c r="A977" s="77">
        <v>363.14995246308109</v>
      </c>
      <c r="B977" s="77">
        <v>363.57135121587334</v>
      </c>
      <c r="C977" s="77">
        <v>361.90491069346768</v>
      </c>
      <c r="D977" s="77">
        <v>363.37022908385887</v>
      </c>
      <c r="E977" s="77">
        <v>3088172.2154541984</v>
      </c>
      <c r="F977" s="77" t="s">
        <v>968</v>
      </c>
      <c r="G977" s="25">
        <f t="shared" si="26"/>
        <v>-6.0620436994285321E-4</v>
      </c>
      <c r="I977" s="78">
        <v>190.18794922169999</v>
      </c>
      <c r="J977" s="78">
        <v>195.23176862108997</v>
      </c>
      <c r="K977" s="78">
        <v>189.36674933875497</v>
      </c>
      <c r="L977" s="78">
        <v>194.28908946551999</v>
      </c>
      <c r="M977" s="78">
        <v>1502951.8703458733</v>
      </c>
      <c r="N977" s="78" t="s">
        <v>968</v>
      </c>
      <c r="O977" s="25">
        <f t="shared" si="27"/>
        <v>-2.1108443377350961E-2</v>
      </c>
    </row>
    <row r="978" spans="1:15">
      <c r="A978" s="77">
        <v>362.94883033106663</v>
      </c>
      <c r="B978" s="77">
        <v>364.02148170181044</v>
      </c>
      <c r="C978" s="77">
        <v>359.55848581996554</v>
      </c>
      <c r="D978" s="77">
        <v>359.85538039579643</v>
      </c>
      <c r="E978" s="77">
        <v>3277972.1127487114</v>
      </c>
      <c r="F978" s="77" t="s">
        <v>969</v>
      </c>
      <c r="G978" s="25">
        <f t="shared" si="26"/>
        <v>8.5963698302018443E-3</v>
      </c>
      <c r="I978" s="78">
        <v>194.03641257845999</v>
      </c>
      <c r="J978" s="78">
        <v>194.79444323964</v>
      </c>
      <c r="K978" s="78">
        <v>190.24625927256</v>
      </c>
      <c r="L978" s="78">
        <v>192.42316783799998</v>
      </c>
      <c r="M978" s="78">
        <v>824595.40492330142</v>
      </c>
      <c r="N978" s="78" t="s">
        <v>969</v>
      </c>
      <c r="O978" s="25">
        <f t="shared" si="27"/>
        <v>8.3838383838383823E-3</v>
      </c>
    </row>
    <row r="979" spans="1:15">
      <c r="A979" s="77">
        <v>356.40757241840549</v>
      </c>
      <c r="B979" s="77">
        <v>358.29428956158887</v>
      </c>
      <c r="C979" s="77">
        <v>355.23914860384525</v>
      </c>
      <c r="D979" s="77">
        <v>358.0357039632845</v>
      </c>
      <c r="E979" s="77">
        <v>4616655.7141169999</v>
      </c>
      <c r="F979" s="77" t="s">
        <v>970</v>
      </c>
      <c r="G979" s="25">
        <f t="shared" si="26"/>
        <v>-4.5473999572008816E-3</v>
      </c>
      <c r="I979" s="78">
        <v>190.77104973030001</v>
      </c>
      <c r="J979" s="78">
        <v>191.58253127143499</v>
      </c>
      <c r="K979" s="78">
        <v>188.02075899806999</v>
      </c>
      <c r="L979" s="78">
        <v>190.96541656649998</v>
      </c>
      <c r="M979" s="78">
        <v>998551.00692326855</v>
      </c>
      <c r="N979" s="78" t="s">
        <v>970</v>
      </c>
      <c r="O979" s="25">
        <f t="shared" si="27"/>
        <v>-1.0178117048345037E-3</v>
      </c>
    </row>
    <row r="980" spans="1:15">
      <c r="A980" s="77">
        <v>359.03173737897527</v>
      </c>
      <c r="B980" s="77">
        <v>364.12683139000848</v>
      </c>
      <c r="C980" s="77">
        <v>358.7635745362893</v>
      </c>
      <c r="D980" s="77">
        <v>361.93364242661266</v>
      </c>
      <c r="E980" s="77">
        <v>5756393.7812507898</v>
      </c>
      <c r="F980" s="77" t="s">
        <v>971</v>
      </c>
      <c r="G980" s="25">
        <f t="shared" si="26"/>
        <v>-8.0177820115902021E-3</v>
      </c>
      <c r="I980" s="78">
        <v>191.00428993373998</v>
      </c>
      <c r="J980" s="78">
        <v>195.97036259864998</v>
      </c>
      <c r="K980" s="78">
        <v>189.75062384025</v>
      </c>
      <c r="L980" s="78">
        <v>190.44062610876</v>
      </c>
      <c r="M980" s="78">
        <v>1224760.379157728</v>
      </c>
      <c r="N980" s="78" t="s">
        <v>971</v>
      </c>
      <c r="O980" s="25">
        <f t="shared" si="27"/>
        <v>2.9597877117777394E-3</v>
      </c>
    </row>
    <row r="981" spans="1:15">
      <c r="A981" s="77">
        <v>361.55055265134695</v>
      </c>
      <c r="B981" s="77">
        <v>364.99836062873788</v>
      </c>
      <c r="C981" s="77">
        <v>358.8306152469608</v>
      </c>
      <c r="D981" s="77">
        <v>364.9504744068297</v>
      </c>
      <c r="E981" s="77">
        <v>4501910.8087759027</v>
      </c>
      <c r="F981" s="77" t="s">
        <v>972</v>
      </c>
      <c r="G981" s="25">
        <f t="shared" si="26"/>
        <v>-9.3161181966094908E-3</v>
      </c>
      <c r="I981" s="78">
        <v>189.66315876395998</v>
      </c>
      <c r="J981" s="78">
        <v>197.52529728824999</v>
      </c>
      <c r="K981" s="78">
        <v>189.08005825536</v>
      </c>
      <c r="L981" s="78">
        <v>196.61177315811</v>
      </c>
      <c r="M981" s="78">
        <v>1231849.0370117987</v>
      </c>
      <c r="N981" s="78" t="s">
        <v>972</v>
      </c>
      <c r="O981" s="25">
        <f t="shared" si="27"/>
        <v>-3.5341802184766014E-2</v>
      </c>
    </row>
    <row r="982" spans="1:15">
      <c r="A982" s="77">
        <v>365.64961324668951</v>
      </c>
      <c r="B982" s="77">
        <v>367.42140345729314</v>
      </c>
      <c r="C982" s="77">
        <v>365.39102764838515</v>
      </c>
      <c r="D982" s="77">
        <v>365.59214978039967</v>
      </c>
      <c r="E982" s="77">
        <v>3204780.9136869349</v>
      </c>
      <c r="F982" s="77" t="s">
        <v>973</v>
      </c>
      <c r="G982" s="25">
        <f t="shared" si="26"/>
        <v>1.5717915804369653E-4</v>
      </c>
      <c r="I982" s="78">
        <v>196.61177315811</v>
      </c>
      <c r="J982" s="78">
        <v>199.29889466857497</v>
      </c>
      <c r="K982" s="78">
        <v>195.35810706462001</v>
      </c>
      <c r="L982" s="78">
        <v>199.02192192698999</v>
      </c>
      <c r="M982" s="78">
        <v>940885.81969725969</v>
      </c>
      <c r="N982" s="78" t="s">
        <v>973</v>
      </c>
      <c r="O982" s="25">
        <f t="shared" si="27"/>
        <v>-1.2109966306948494E-2</v>
      </c>
    </row>
    <row r="983" spans="1:15">
      <c r="A983" s="77">
        <v>365.89862160061222</v>
      </c>
      <c r="B983" s="77">
        <v>365.96566231128367</v>
      </c>
      <c r="C983" s="77">
        <v>362.01983762604738</v>
      </c>
      <c r="D983" s="77">
        <v>362.05814660357396</v>
      </c>
      <c r="E983" s="77">
        <v>3536410.7513976903</v>
      </c>
      <c r="F983" s="77" t="s">
        <v>974</v>
      </c>
      <c r="G983" s="25">
        <f t="shared" si="26"/>
        <v>1.0607343138292258E-2</v>
      </c>
      <c r="I983" s="78">
        <v>199.77023424635999</v>
      </c>
      <c r="J983" s="78">
        <v>203.63813428673998</v>
      </c>
      <c r="K983" s="78">
        <v>196.88388672879</v>
      </c>
      <c r="L983" s="78">
        <v>197.92374930245998</v>
      </c>
      <c r="M983" s="78">
        <v>1052258.7288993492</v>
      </c>
      <c r="N983" s="78" t="s">
        <v>974</v>
      </c>
      <c r="O983" s="25">
        <f t="shared" si="27"/>
        <v>9.3292742806638795E-3</v>
      </c>
    </row>
    <row r="984" spans="1:15">
      <c r="A984" s="77">
        <v>362.79559442096036</v>
      </c>
      <c r="B984" s="77">
        <v>363.10206624117285</v>
      </c>
      <c r="C984" s="77">
        <v>357.87289080879663</v>
      </c>
      <c r="D984" s="77">
        <v>358.08359018519275</v>
      </c>
      <c r="E984" s="77">
        <v>4492291.1315150196</v>
      </c>
      <c r="F984" s="77" t="s">
        <v>975</v>
      </c>
      <c r="G984" s="25">
        <f t="shared" si="26"/>
        <v>1.3158950493460608E-2</v>
      </c>
      <c r="I984" s="78">
        <v>198.63318825458998</v>
      </c>
      <c r="J984" s="78">
        <v>205.98997300476</v>
      </c>
      <c r="K984" s="78">
        <v>196.89360507059999</v>
      </c>
      <c r="L984" s="78">
        <v>205.95109963751997</v>
      </c>
      <c r="M984" s="78">
        <v>1483068.8487586754</v>
      </c>
      <c r="N984" s="78" t="s">
        <v>975</v>
      </c>
      <c r="O984" s="25">
        <f t="shared" si="27"/>
        <v>-3.5532276330690782E-2</v>
      </c>
    </row>
    <row r="985" spans="1:15">
      <c r="A985" s="77">
        <v>355.7371653116906</v>
      </c>
      <c r="B985" s="77">
        <v>358.84019249134241</v>
      </c>
      <c r="C985" s="77">
        <v>355.2966120701351</v>
      </c>
      <c r="D985" s="77">
        <v>357.86331356441502</v>
      </c>
      <c r="E985" s="77">
        <v>3933173.1027149409</v>
      </c>
      <c r="F985" s="77" t="s">
        <v>976</v>
      </c>
      <c r="G985" s="25">
        <f t="shared" si="26"/>
        <v>-5.9412299951828729E-3</v>
      </c>
      <c r="I985" s="78">
        <v>205.01813882376001</v>
      </c>
      <c r="J985" s="78">
        <v>211.4711177856</v>
      </c>
      <c r="K985" s="78">
        <v>199.42037394119998</v>
      </c>
      <c r="L985" s="78">
        <v>210.31463511020999</v>
      </c>
      <c r="M985" s="78">
        <v>2428207.4515755274</v>
      </c>
      <c r="N985" s="78" t="s">
        <v>976</v>
      </c>
      <c r="O985" s="25">
        <f t="shared" si="27"/>
        <v>-2.5183679127581793E-2</v>
      </c>
    </row>
    <row r="986" spans="1:15">
      <c r="A986" s="77">
        <v>357.32698787904309</v>
      </c>
      <c r="B986" s="77">
        <v>361.73252029459815</v>
      </c>
      <c r="C986" s="77">
        <v>357.25036992398992</v>
      </c>
      <c r="D986" s="77">
        <v>361.23450358675279</v>
      </c>
      <c r="E986" s="77">
        <v>3962964.5530142491</v>
      </c>
      <c r="F986" s="77" t="s">
        <v>977</v>
      </c>
      <c r="G986" s="25">
        <f t="shared" si="26"/>
        <v>-1.0817116496102619E-2</v>
      </c>
      <c r="I986" s="78">
        <v>212.53041704288998</v>
      </c>
      <c r="J986" s="78">
        <v>221.70453171153</v>
      </c>
      <c r="K986" s="78">
        <v>212.05421829419998</v>
      </c>
      <c r="L986" s="78">
        <v>221.70453171153</v>
      </c>
      <c r="M986" s="78">
        <v>1570986.110438114</v>
      </c>
      <c r="N986" s="78" t="s">
        <v>977</v>
      </c>
      <c r="O986" s="25">
        <f t="shared" si="27"/>
        <v>-4.1379914960768094E-2</v>
      </c>
    </row>
    <row r="987" spans="1:15">
      <c r="A987" s="77">
        <v>363.06375726364627</v>
      </c>
      <c r="B987" s="77">
        <v>363.42769255014872</v>
      </c>
      <c r="C987" s="77">
        <v>361.28238980866104</v>
      </c>
      <c r="D987" s="77">
        <v>362.4795453563662</v>
      </c>
      <c r="E987" s="77">
        <v>2412356.7363789249</v>
      </c>
      <c r="F987" s="77" t="s">
        <v>978</v>
      </c>
      <c r="G987" s="25">
        <f t="shared" si="26"/>
        <v>1.6117099978860683E-3</v>
      </c>
      <c r="I987" s="78">
        <v>222.61805584166999</v>
      </c>
      <c r="J987" s="78">
        <v>223.11369127398001</v>
      </c>
      <c r="K987" s="78">
        <v>219.80945505858</v>
      </c>
      <c r="L987" s="78">
        <v>221.26720633008</v>
      </c>
      <c r="M987" s="78">
        <v>751249.55910559813</v>
      </c>
      <c r="N987" s="78" t="s">
        <v>978</v>
      </c>
      <c r="O987" s="25">
        <f t="shared" si="27"/>
        <v>6.1050597329583844E-3</v>
      </c>
    </row>
    <row r="988" spans="1:15">
      <c r="A988" s="77">
        <v>362.58489504456423</v>
      </c>
      <c r="B988" s="77">
        <v>363.07333450802798</v>
      </c>
      <c r="C988" s="77">
        <v>360.88972278901372</v>
      </c>
      <c r="D988" s="77">
        <v>362.671090243999</v>
      </c>
      <c r="E988" s="77">
        <v>2884238.8164335033</v>
      </c>
      <c r="F988" s="77" t="s">
        <v>979</v>
      </c>
      <c r="G988" s="25">
        <f t="shared" si="26"/>
        <v>-2.3766768775745906E-4</v>
      </c>
      <c r="I988" s="78">
        <v>221.26720633008</v>
      </c>
      <c r="J988" s="78">
        <v>222.91932443777998</v>
      </c>
      <c r="K988" s="78">
        <v>218.33226710346</v>
      </c>
      <c r="L988" s="78">
        <v>220.21762541459998</v>
      </c>
      <c r="M988" s="78">
        <v>847710.45936282002</v>
      </c>
      <c r="N988" s="78" t="s">
        <v>979</v>
      </c>
      <c r="O988" s="25">
        <f t="shared" si="27"/>
        <v>4.7661076787290924E-3</v>
      </c>
    </row>
    <row r="989" spans="1:15">
      <c r="A989" s="77">
        <v>362.37419566816811</v>
      </c>
      <c r="B989" s="77">
        <v>364.00232721304718</v>
      </c>
      <c r="C989" s="77">
        <v>361.00464972159341</v>
      </c>
      <c r="D989" s="77">
        <v>361.80913824965126</v>
      </c>
      <c r="E989" s="77">
        <v>3083531.005704429</v>
      </c>
      <c r="F989" s="77" t="s">
        <v>980</v>
      </c>
      <c r="G989" s="25">
        <f t="shared" si="26"/>
        <v>1.5617555190852173E-3</v>
      </c>
      <c r="I989" s="78">
        <v>219.19719952455</v>
      </c>
      <c r="J989" s="78">
        <v>222.15157543479</v>
      </c>
      <c r="K989" s="78">
        <v>218.22536534355001</v>
      </c>
      <c r="L989" s="78">
        <v>221.74340507876997</v>
      </c>
      <c r="M989" s="78">
        <v>1029925.700874273</v>
      </c>
      <c r="N989" s="78" t="s">
        <v>980</v>
      </c>
      <c r="O989" s="25">
        <f t="shared" si="27"/>
        <v>-1.1482666432922617E-2</v>
      </c>
    </row>
    <row r="990" spans="1:15">
      <c r="A990" s="77">
        <v>364.43330321022103</v>
      </c>
      <c r="B990" s="77">
        <v>365.20906000513401</v>
      </c>
      <c r="C990" s="77">
        <v>362.6615129996174</v>
      </c>
      <c r="D990" s="77">
        <v>362.71897646590725</v>
      </c>
      <c r="E990" s="77">
        <v>2789227.1446269164</v>
      </c>
      <c r="F990" s="77" t="s">
        <v>981</v>
      </c>
      <c r="G990" s="25">
        <f t="shared" si="26"/>
        <v>4.7263221820292856E-3</v>
      </c>
      <c r="I990" s="78">
        <v>225.08651466141001</v>
      </c>
      <c r="J990" s="78">
        <v>225.68905185362999</v>
      </c>
      <c r="K990" s="78">
        <v>219.00283268835</v>
      </c>
      <c r="L990" s="78">
        <v>219.634524906</v>
      </c>
      <c r="M990" s="78">
        <v>792091.91758197686</v>
      </c>
      <c r="N990" s="78" t="s">
        <v>981</v>
      </c>
      <c r="O990" s="25">
        <f t="shared" si="27"/>
        <v>2.4823008849557571E-2</v>
      </c>
    </row>
    <row r="991" spans="1:15">
      <c r="A991" s="77">
        <v>364.45245769898435</v>
      </c>
      <c r="B991" s="77">
        <v>365.76932880146006</v>
      </c>
      <c r="C991" s="77">
        <v>363.20741592937094</v>
      </c>
      <c r="D991" s="77">
        <v>365.6974994685977</v>
      </c>
      <c r="E991" s="77">
        <v>3152543.5497788987</v>
      </c>
      <c r="F991" s="77" t="s">
        <v>982</v>
      </c>
      <c r="G991" s="25">
        <f t="shared" si="26"/>
        <v>-3.4045673580556102E-3</v>
      </c>
      <c r="I991" s="78">
        <v>221.85030683867998</v>
      </c>
      <c r="J991" s="78">
        <v>225.465529992</v>
      </c>
      <c r="K991" s="78">
        <v>220.87361348677499</v>
      </c>
      <c r="L991" s="78">
        <v>225.465529992</v>
      </c>
      <c r="M991" s="78">
        <v>740640.7534044123</v>
      </c>
      <c r="N991" s="78" t="s">
        <v>982</v>
      </c>
      <c r="O991" s="25">
        <f t="shared" si="27"/>
        <v>-1.6034482758620738E-2</v>
      </c>
    </row>
    <row r="992" spans="1:15">
      <c r="A992" s="77">
        <v>364.20344934506164</v>
      </c>
      <c r="B992" s="77">
        <v>364.24175832258823</v>
      </c>
      <c r="C992" s="77">
        <v>361.71336580583488</v>
      </c>
      <c r="D992" s="77">
        <v>362.82432615410528</v>
      </c>
      <c r="E992" s="77">
        <v>2841113.6769318203</v>
      </c>
      <c r="F992" s="77" t="s">
        <v>983</v>
      </c>
      <c r="G992" s="25">
        <f t="shared" si="26"/>
        <v>3.8010769718086479E-3</v>
      </c>
      <c r="I992" s="78">
        <v>223.49270660457</v>
      </c>
      <c r="J992" s="78">
        <v>223.70651012438998</v>
      </c>
      <c r="K992" s="78">
        <v>220.60149991609501</v>
      </c>
      <c r="L992" s="78">
        <v>222.58890081623997</v>
      </c>
      <c r="M992" s="78">
        <v>624345.19371983281</v>
      </c>
      <c r="N992" s="78" t="s">
        <v>983</v>
      </c>
      <c r="O992" s="25">
        <f t="shared" si="27"/>
        <v>4.0604261264409747E-3</v>
      </c>
    </row>
    <row r="993" spans="1:15">
      <c r="A993" s="77">
        <v>362.96798481982989</v>
      </c>
      <c r="B993" s="77">
        <v>365.20906000513401</v>
      </c>
      <c r="C993" s="77">
        <v>360.79395034519729</v>
      </c>
      <c r="D993" s="77">
        <v>363.23614766251586</v>
      </c>
      <c r="E993" s="77">
        <v>3113268.1606365857</v>
      </c>
      <c r="F993" s="77" t="s">
        <v>984</v>
      </c>
      <c r="G993" s="25">
        <f t="shared" si="26"/>
        <v>-7.3826034223645198E-4</v>
      </c>
      <c r="I993" s="78">
        <v>221.58791160980999</v>
      </c>
      <c r="J993" s="78">
        <v>225.62102346095998</v>
      </c>
      <c r="K993" s="78">
        <v>220.26621712364999</v>
      </c>
      <c r="L993" s="78">
        <v>224.33820234204001</v>
      </c>
      <c r="M993" s="78">
        <v>539727.87771291612</v>
      </c>
      <c r="N993" s="78" t="s">
        <v>984</v>
      </c>
      <c r="O993" s="25">
        <f t="shared" si="27"/>
        <v>-1.2259573730722617E-2</v>
      </c>
    </row>
    <row r="994" spans="1:15">
      <c r="A994" s="77">
        <v>363.71500988159789</v>
      </c>
      <c r="B994" s="77">
        <v>364.09809965686361</v>
      </c>
      <c r="C994" s="77">
        <v>359.57266014165037</v>
      </c>
      <c r="D994" s="77">
        <v>360.01819355028437</v>
      </c>
      <c r="E994" s="77">
        <v>2799208.0949076917</v>
      </c>
      <c r="F994" s="77" t="s">
        <v>985</v>
      </c>
      <c r="G994" s="25">
        <f t="shared" si="26"/>
        <v>1.0268415312175483E-2</v>
      </c>
      <c r="I994" s="78">
        <v>226.11665889326997</v>
      </c>
      <c r="J994" s="78">
        <v>226.32074407127999</v>
      </c>
      <c r="K994" s="78">
        <v>222.00580030763999</v>
      </c>
      <c r="L994" s="78">
        <v>222.77354931062999</v>
      </c>
      <c r="M994" s="78">
        <v>1088502.5662623818</v>
      </c>
      <c r="N994" s="78" t="s">
        <v>985</v>
      </c>
      <c r="O994" s="25">
        <f t="shared" si="27"/>
        <v>1.5006761767656807E-2</v>
      </c>
    </row>
    <row r="995" spans="1:15">
      <c r="A995" s="77">
        <v>359.06046911212019</v>
      </c>
      <c r="B995" s="77">
        <v>362.61362677770916</v>
      </c>
      <c r="C995" s="77">
        <v>358.49541169360333</v>
      </c>
      <c r="D995" s="77">
        <v>362.40292740131304</v>
      </c>
      <c r="E995" s="77">
        <v>3784150.0702928132</v>
      </c>
      <c r="F995" s="77" t="s">
        <v>986</v>
      </c>
      <c r="G995" s="25">
        <f t="shared" si="26"/>
        <v>-9.2230443974629095E-3</v>
      </c>
      <c r="I995" s="78">
        <v>220.48973898527998</v>
      </c>
      <c r="J995" s="78">
        <v>224.65404845086499</v>
      </c>
      <c r="K995" s="78">
        <v>220.16417453464499</v>
      </c>
      <c r="L995" s="78">
        <v>223.51214328819</v>
      </c>
      <c r="M995" s="78">
        <v>896242.40125384112</v>
      </c>
      <c r="N995" s="78" t="s">
        <v>986</v>
      </c>
      <c r="O995" s="25">
        <f t="shared" si="27"/>
        <v>-1.3522327057698291E-2</v>
      </c>
    </row>
    <row r="996" spans="1:15">
      <c r="A996" s="77">
        <v>360.4970557693664</v>
      </c>
      <c r="B996" s="77">
        <v>361.78998376088799</v>
      </c>
      <c r="C996" s="77">
        <v>359.80749417388819</v>
      </c>
      <c r="D996" s="77">
        <v>360.96634074406683</v>
      </c>
      <c r="E996" s="77">
        <v>3204471.8477508421</v>
      </c>
      <c r="F996" s="77" t="s">
        <v>987</v>
      </c>
      <c r="G996" s="25">
        <f t="shared" si="26"/>
        <v>-1.3000795967099688E-3</v>
      </c>
      <c r="I996" s="78">
        <v>221.34495306455997</v>
      </c>
      <c r="J996" s="78">
        <v>225.83482698077998</v>
      </c>
      <c r="K996" s="78">
        <v>220.86389514496497</v>
      </c>
      <c r="L996" s="78">
        <v>223.24002971751</v>
      </c>
      <c r="M996" s="78">
        <v>753475.24744038621</v>
      </c>
      <c r="N996" s="78" t="s">
        <v>987</v>
      </c>
      <c r="O996" s="25">
        <f t="shared" si="27"/>
        <v>-8.4889643463498254E-3</v>
      </c>
    </row>
    <row r="997" spans="1:15">
      <c r="A997" s="77">
        <v>360.44916954745821</v>
      </c>
      <c r="B997" s="77">
        <v>360.47790128060308</v>
      </c>
      <c r="C997" s="77">
        <v>357.19290645770008</v>
      </c>
      <c r="D997" s="77">
        <v>357.75796387621693</v>
      </c>
      <c r="E997" s="77">
        <v>2789024.5811417745</v>
      </c>
      <c r="F997" s="77" t="s">
        <v>988</v>
      </c>
      <c r="G997" s="25">
        <f t="shared" si="26"/>
        <v>7.5224200240933126E-3</v>
      </c>
      <c r="I997" s="78">
        <v>223.24002971751</v>
      </c>
      <c r="J997" s="78">
        <v>223.82313022610998</v>
      </c>
      <c r="K997" s="78">
        <v>219.3139168096881</v>
      </c>
      <c r="L997" s="78">
        <v>222.04467367487999</v>
      </c>
      <c r="M997" s="78">
        <v>848011.95112523006</v>
      </c>
      <c r="N997" s="78" t="s">
        <v>988</v>
      </c>
      <c r="O997" s="25">
        <f t="shared" si="27"/>
        <v>5.3834033613446852E-3</v>
      </c>
    </row>
    <row r="998" spans="1:15">
      <c r="A998" s="77">
        <v>360.05650252781089</v>
      </c>
      <c r="B998" s="77">
        <v>360.28156777077947</v>
      </c>
      <c r="C998" s="77">
        <v>356.96305259254075</v>
      </c>
      <c r="D998" s="77">
        <v>357.87289080879663</v>
      </c>
      <c r="E998" s="77">
        <v>3212012.6389348325</v>
      </c>
      <c r="F998" s="77" t="s">
        <v>989</v>
      </c>
      <c r="G998" s="25">
        <f t="shared" si="26"/>
        <v>6.1016404849199013E-3</v>
      </c>
      <c r="I998" s="78">
        <v>223.51214328819</v>
      </c>
      <c r="J998" s="78">
        <v>224.49369581099998</v>
      </c>
      <c r="K998" s="78">
        <v>220.16903370554999</v>
      </c>
      <c r="L998" s="78">
        <v>223.68707344076998</v>
      </c>
      <c r="M998" s="78">
        <v>1065452.337696692</v>
      </c>
      <c r="N998" s="78" t="s">
        <v>989</v>
      </c>
      <c r="O998" s="25">
        <f t="shared" si="27"/>
        <v>-7.8203067298077134E-4</v>
      </c>
    </row>
    <row r="999" spans="1:15">
      <c r="A999" s="77">
        <v>358.68695658123613</v>
      </c>
      <c r="B999" s="77">
        <v>359.54890857558394</v>
      </c>
      <c r="C999" s="77">
        <v>357.12586574702857</v>
      </c>
      <c r="D999" s="77">
        <v>358.86892422448733</v>
      </c>
      <c r="E999" s="77">
        <v>3370212.6325472249</v>
      </c>
      <c r="F999" s="77" t="s">
        <v>990</v>
      </c>
      <c r="G999" s="25">
        <f t="shared" si="26"/>
        <v>-5.0705879213264193E-4</v>
      </c>
      <c r="I999" s="78">
        <v>224.41594907651998</v>
      </c>
      <c r="J999" s="78">
        <v>226.07506439032318</v>
      </c>
      <c r="K999" s="78">
        <v>222.54030910719001</v>
      </c>
      <c r="L999" s="78">
        <v>223.99806037869001</v>
      </c>
      <c r="M999" s="78">
        <v>746389.67653268832</v>
      </c>
      <c r="N999" s="78" t="s">
        <v>990</v>
      </c>
      <c r="O999" s="25">
        <f t="shared" si="27"/>
        <v>1.8655906980777903E-3</v>
      </c>
    </row>
    <row r="1000" spans="1:15">
      <c r="A1000" s="77">
        <v>359.55848581996554</v>
      </c>
      <c r="B1000" s="77">
        <v>362.40292740131304</v>
      </c>
      <c r="C1000" s="77">
        <v>358.31344405035213</v>
      </c>
      <c r="D1000" s="77">
        <v>362.20180526929857</v>
      </c>
      <c r="E1000" s="77">
        <v>2833046.6383431316</v>
      </c>
      <c r="F1000" s="77" t="s">
        <v>991</v>
      </c>
      <c r="G1000" s="25">
        <f t="shared" si="26"/>
        <v>-7.2979190354054424E-3</v>
      </c>
      <c r="I1000" s="78">
        <v>223.73566514981999</v>
      </c>
      <c r="J1000" s="78">
        <v>224.73665435625</v>
      </c>
      <c r="K1000" s="78">
        <v>220.39741473808499</v>
      </c>
      <c r="L1000" s="78">
        <v>224.65890762176997</v>
      </c>
      <c r="M1000" s="78">
        <v>1153359.3095548879</v>
      </c>
      <c r="N1000" s="78" t="s">
        <v>991</v>
      </c>
      <c r="O1000" s="25">
        <f t="shared" si="27"/>
        <v>-4.1095297832762778E-3</v>
      </c>
    </row>
    <row r="1001" spans="1:15">
      <c r="A1001" s="77">
        <v>361.59843887325519</v>
      </c>
      <c r="B1001" s="77">
        <v>361.93364242661266</v>
      </c>
      <c r="C1001" s="77">
        <v>359.35736368795108</v>
      </c>
      <c r="D1001" s="77">
        <v>359.72129897445348</v>
      </c>
      <c r="E1001" s="77">
        <v>3680908.4737960831</v>
      </c>
      <c r="F1001" s="77" t="s">
        <v>992</v>
      </c>
      <c r="G1001" s="25">
        <f t="shared" si="26"/>
        <v>5.2183173588924436E-3</v>
      </c>
      <c r="I1001" s="78">
        <v>223.54129831361999</v>
      </c>
      <c r="J1001" s="78">
        <v>226.84553452901997</v>
      </c>
      <c r="K1001" s="78">
        <v>218.72100077586001</v>
      </c>
      <c r="L1001" s="78">
        <v>224.42566741832999</v>
      </c>
      <c r="M1001" s="78">
        <v>2832506.8759852564</v>
      </c>
      <c r="N1001" s="78" t="s">
        <v>992</v>
      </c>
      <c r="O1001" s="25">
        <f t="shared" si="27"/>
        <v>-3.9405880569869378E-3</v>
      </c>
    </row>
    <row r="1002" spans="1:15">
      <c r="A1002" s="77">
        <v>360.17142946039058</v>
      </c>
      <c r="B1002" s="77">
        <v>360.43001505869489</v>
      </c>
      <c r="C1002" s="77">
        <v>355.93828744370506</v>
      </c>
      <c r="D1002" s="77">
        <v>356.06279162066636</v>
      </c>
      <c r="E1002" s="77">
        <v>4343466.4860113291</v>
      </c>
      <c r="F1002" s="77" t="s">
        <v>993</v>
      </c>
      <c r="G1002" s="25">
        <f t="shared" si="26"/>
        <v>1.153908225294531E-2</v>
      </c>
      <c r="I1002" s="78">
        <v>226.00003879155</v>
      </c>
      <c r="J1002" s="78">
        <v>226.25271567861</v>
      </c>
      <c r="K1002" s="78">
        <v>219.29438294265</v>
      </c>
      <c r="L1002" s="78">
        <v>219.87748345124999</v>
      </c>
      <c r="M1002" s="78">
        <v>1149778.4517624411</v>
      </c>
      <c r="N1002" s="78" t="s">
        <v>993</v>
      </c>
      <c r="O1002" s="25">
        <f t="shared" si="27"/>
        <v>2.7845303867403359E-2</v>
      </c>
    </row>
    <row r="1003" spans="1:15">
      <c r="A1003" s="77">
        <v>355.21041687070027</v>
      </c>
      <c r="B1003" s="77">
        <v>355.77547428921719</v>
      </c>
      <c r="C1003" s="77">
        <v>353.49800557526277</v>
      </c>
      <c r="D1003" s="77">
        <v>355.53604317967614</v>
      </c>
      <c r="E1003" s="77">
        <v>3463148.5507019465</v>
      </c>
      <c r="F1003" s="77" t="s">
        <v>994</v>
      </c>
      <c r="G1003" s="25">
        <f t="shared" si="26"/>
        <v>-9.1587425585237803E-4</v>
      </c>
      <c r="I1003" s="78">
        <v>218.91536761205998</v>
      </c>
      <c r="J1003" s="78">
        <v>219.88234262215499</v>
      </c>
      <c r="K1003" s="78">
        <v>215.32929948416998</v>
      </c>
      <c r="L1003" s="78">
        <v>218.58494399051997</v>
      </c>
      <c r="M1003" s="78">
        <v>1211724.2046253979</v>
      </c>
      <c r="N1003" s="78" t="s">
        <v>994</v>
      </c>
      <c r="O1003" s="25">
        <f t="shared" si="27"/>
        <v>1.5116485861639273E-3</v>
      </c>
    </row>
    <row r="1004" spans="1:15">
      <c r="A1004" s="77">
        <v>353.10342310673917</v>
      </c>
      <c r="B1004" s="77">
        <v>353.34285421628022</v>
      </c>
      <c r="C1004" s="77">
        <v>350.80488445514527</v>
      </c>
      <c r="D1004" s="77">
        <v>351.86795858150742</v>
      </c>
      <c r="E1004" s="77">
        <v>3796571.1796703739</v>
      </c>
      <c r="F1004" s="77" t="s">
        <v>995</v>
      </c>
      <c r="G1004" s="25">
        <f t="shared" si="26"/>
        <v>3.5111594991834583E-3</v>
      </c>
      <c r="I1004" s="78">
        <v>215.77634320742999</v>
      </c>
      <c r="J1004" s="78">
        <v>221.19917793741001</v>
      </c>
      <c r="K1004" s="78">
        <v>213.1622064439581</v>
      </c>
      <c r="L1004" s="78">
        <v>215.86380828372</v>
      </c>
      <c r="M1004" s="78">
        <v>1294282.5274016578</v>
      </c>
      <c r="N1004" s="78" t="s">
        <v>995</v>
      </c>
      <c r="O1004" s="25">
        <f t="shared" si="27"/>
        <v>-4.0518638573749932E-4</v>
      </c>
    </row>
    <row r="1005" spans="1:15">
      <c r="A1005" s="77">
        <v>348.15198776143052</v>
      </c>
      <c r="B1005" s="77">
        <v>348.80324037938215</v>
      </c>
      <c r="C1005" s="77">
        <v>346.39169024408488</v>
      </c>
      <c r="D1005" s="77">
        <v>348.17114225019384</v>
      </c>
      <c r="E1005" s="77">
        <v>2520195.6886750325</v>
      </c>
      <c r="F1005" s="77" t="s">
        <v>996</v>
      </c>
      <c r="G1005" s="25">
        <f t="shared" si="26"/>
        <v>-5.5014578863477048E-5</v>
      </c>
      <c r="I1005" s="78">
        <v>207.81702126503998</v>
      </c>
      <c r="J1005" s="78">
        <v>212.37492357393</v>
      </c>
      <c r="K1005" s="78">
        <v>206.52448180430997</v>
      </c>
      <c r="L1005" s="78">
        <v>211.64604793818</v>
      </c>
      <c r="M1005" s="78">
        <v>893113.26661394723</v>
      </c>
      <c r="N1005" s="78" t="s">
        <v>996</v>
      </c>
      <c r="O1005" s="25">
        <f t="shared" si="27"/>
        <v>-1.8091652125998836E-2</v>
      </c>
    </row>
    <row r="1006" spans="1:15">
      <c r="A1006" s="77">
        <v>348.76493140185562</v>
      </c>
      <c r="B1006" s="77">
        <v>350.93896587648823</v>
      </c>
      <c r="C1006" s="77">
        <v>348.03706082885083</v>
      </c>
      <c r="D1006" s="77">
        <v>350.26377014758253</v>
      </c>
      <c r="E1006" s="77">
        <v>4327753.1979293758</v>
      </c>
      <c r="F1006" s="77" t="s">
        <v>997</v>
      </c>
      <c r="G1006" s="25">
        <f t="shared" si="26"/>
        <v>-4.279171508647317E-3</v>
      </c>
      <c r="I1006" s="78">
        <v>211.68492130541998</v>
      </c>
      <c r="J1006" s="78">
        <v>215.31958114235999</v>
      </c>
      <c r="K1006" s="78">
        <v>210.40210018649998</v>
      </c>
      <c r="L1006" s="78">
        <v>213.45365951483998</v>
      </c>
      <c r="M1006" s="78">
        <v>697463.63448807329</v>
      </c>
      <c r="N1006" s="78" t="s">
        <v>997</v>
      </c>
      <c r="O1006" s="25">
        <f t="shared" si="27"/>
        <v>-8.2862866508832678E-3</v>
      </c>
    </row>
    <row r="1007" spans="1:15">
      <c r="A1007" s="77">
        <v>348.1902967389571</v>
      </c>
      <c r="B1007" s="77">
        <v>348.25733744962861</v>
      </c>
      <c r="C1007" s="77">
        <v>342.59718602007854</v>
      </c>
      <c r="D1007" s="77">
        <v>344.76164325032948</v>
      </c>
      <c r="E1007" s="77">
        <v>3906072.4055146556</v>
      </c>
      <c r="F1007" s="77" t="s">
        <v>998</v>
      </c>
      <c r="G1007" s="25">
        <f t="shared" si="26"/>
        <v>9.9449969442746422E-3</v>
      </c>
      <c r="I1007" s="78">
        <v>213.80351981999999</v>
      </c>
      <c r="J1007" s="78">
        <v>214.23112685964</v>
      </c>
      <c r="K1007" s="78">
        <v>208.20575493743999</v>
      </c>
      <c r="L1007" s="78">
        <v>210.78111551708997</v>
      </c>
      <c r="M1007" s="78">
        <v>776518.27313120617</v>
      </c>
      <c r="N1007" s="78" t="s">
        <v>998</v>
      </c>
      <c r="O1007" s="25">
        <f t="shared" si="27"/>
        <v>1.4339065885933033E-2</v>
      </c>
    </row>
    <row r="1008" spans="1:15">
      <c r="A1008" s="77">
        <v>345.88467090987933</v>
      </c>
      <c r="B1008" s="77">
        <v>351.26980451885015</v>
      </c>
      <c r="C1008" s="77">
        <v>343.48110436814954</v>
      </c>
      <c r="D1008" s="77">
        <v>347.6396560038408</v>
      </c>
      <c r="E1008" s="77">
        <v>5019093.9799477961</v>
      </c>
      <c r="F1008" s="77" t="s">
        <v>999</v>
      </c>
      <c r="G1008" s="25">
        <f t="shared" si="26"/>
        <v>-5.0482879719052631E-3</v>
      </c>
      <c r="I1008" s="78">
        <v>210.83942556794997</v>
      </c>
      <c r="J1008" s="78">
        <v>215.29042611693001</v>
      </c>
      <c r="K1008" s="78">
        <v>208.49730519174</v>
      </c>
      <c r="L1008" s="78">
        <v>212.36520523211999</v>
      </c>
      <c r="M1008" s="78">
        <v>840169.04937407223</v>
      </c>
      <c r="N1008" s="78" t="s">
        <v>999</v>
      </c>
      <c r="O1008" s="25">
        <f t="shared" si="27"/>
        <v>-7.1846970529013676E-3</v>
      </c>
    </row>
    <row r="1009" spans="1:15">
      <c r="A1009" s="77">
        <v>345.06440613770167</v>
      </c>
      <c r="B1009" s="77">
        <v>354.06728891047459</v>
      </c>
      <c r="C1009" s="77">
        <v>344.94995058809553</v>
      </c>
      <c r="D1009" s="77">
        <v>350.78718361801072</v>
      </c>
      <c r="E1009" s="77">
        <v>4293202.0482252194</v>
      </c>
      <c r="F1009" s="77" t="s">
        <v>1000</v>
      </c>
      <c r="G1009" s="25">
        <f t="shared" si="26"/>
        <v>-1.631410082114304E-2</v>
      </c>
      <c r="I1009" s="78">
        <v>211.06294742957999</v>
      </c>
      <c r="J1009" s="78">
        <v>219.42072138617999</v>
      </c>
      <c r="K1009" s="78">
        <v>210.86858059337999</v>
      </c>
      <c r="L1009" s="78">
        <v>215.50422963674998</v>
      </c>
      <c r="M1009" s="78">
        <v>868013.30565671891</v>
      </c>
      <c r="N1009" s="78" t="s">
        <v>1000</v>
      </c>
      <c r="O1009" s="25">
        <f t="shared" si="27"/>
        <v>-2.060879368658397E-2</v>
      </c>
    </row>
    <row r="1010" spans="1:15">
      <c r="A1010" s="77">
        <v>350.88256324268258</v>
      </c>
      <c r="B1010" s="77">
        <v>351.38807525344322</v>
      </c>
      <c r="C1010" s="77">
        <v>348.02117450252803</v>
      </c>
      <c r="D1010" s="77">
        <v>349.49002072247407</v>
      </c>
      <c r="E1010" s="77">
        <v>4317094.991899943</v>
      </c>
      <c r="F1010" s="77" t="s">
        <v>1001</v>
      </c>
      <c r="G1010" s="25">
        <f t="shared" si="26"/>
        <v>3.9844986627366463E-3</v>
      </c>
      <c r="I1010" s="78">
        <v>215.36817285141001</v>
      </c>
      <c r="J1010" s="78">
        <v>216.28169698155</v>
      </c>
      <c r="K1010" s="78">
        <v>212.39436025755001</v>
      </c>
      <c r="L1010" s="78">
        <v>212.39436025755001</v>
      </c>
      <c r="M1010" s="78">
        <v>1045292.5199180662</v>
      </c>
      <c r="N1010" s="78" t="s">
        <v>1001</v>
      </c>
      <c r="O1010" s="25">
        <f t="shared" si="27"/>
        <v>1.4001372683596358E-2</v>
      </c>
    </row>
    <row r="1011" spans="1:15">
      <c r="A1011" s="77">
        <v>346.35203107077126</v>
      </c>
      <c r="B1011" s="77">
        <v>346.78123938179442</v>
      </c>
      <c r="C1011" s="77">
        <v>343.19496549413407</v>
      </c>
      <c r="D1011" s="77">
        <v>343.8149330545009</v>
      </c>
      <c r="E1011" s="77">
        <v>3249911.0901994384</v>
      </c>
      <c r="F1011" s="77" t="s">
        <v>1002</v>
      </c>
      <c r="G1011" s="25">
        <f t="shared" si="26"/>
        <v>7.3792548617084286E-3</v>
      </c>
      <c r="I1011" s="78">
        <v>213.57999795837</v>
      </c>
      <c r="J1011" s="78">
        <v>217.511067220515</v>
      </c>
      <c r="K1011" s="78">
        <v>210.74224214985</v>
      </c>
      <c r="L1011" s="78">
        <v>217.35071458064999</v>
      </c>
      <c r="M1011" s="78">
        <v>1177748.2438642483</v>
      </c>
      <c r="N1011" s="78" t="s">
        <v>1002</v>
      </c>
      <c r="O1011" s="25">
        <f t="shared" si="27"/>
        <v>-1.7348535658394781E-2</v>
      </c>
    </row>
    <row r="1012" spans="1:15">
      <c r="A1012" s="77">
        <v>343.25219326893716</v>
      </c>
      <c r="B1012" s="77">
        <v>346.98153659360526</v>
      </c>
      <c r="C1012" s="77">
        <v>341.85974612835332</v>
      </c>
      <c r="D1012" s="77">
        <v>345.99912645948552</v>
      </c>
      <c r="E1012" s="77">
        <v>5441316.2327461895</v>
      </c>
      <c r="F1012" s="77" t="s">
        <v>1003</v>
      </c>
      <c r="G1012" s="25">
        <f t="shared" si="26"/>
        <v>-7.9391333112802664E-3</v>
      </c>
      <c r="I1012" s="78">
        <v>218.22536534355001</v>
      </c>
      <c r="J1012" s="78">
        <v>218.78902916852999</v>
      </c>
      <c r="K1012" s="78">
        <v>213.84725235814497</v>
      </c>
      <c r="L1012" s="78">
        <v>216.80648743928998</v>
      </c>
      <c r="M1012" s="78">
        <v>1644428.6805754984</v>
      </c>
      <c r="N1012" s="78" t="s">
        <v>1003</v>
      </c>
      <c r="O1012" s="25">
        <f t="shared" si="27"/>
        <v>6.5444439463895332E-3</v>
      </c>
    </row>
    <row r="1013" spans="1:15">
      <c r="A1013" s="77">
        <v>347.04830233087552</v>
      </c>
      <c r="B1013" s="77">
        <v>347.4298208295628</v>
      </c>
      <c r="C1013" s="77">
        <v>338.58812962248533</v>
      </c>
      <c r="D1013" s="77">
        <v>339.11271755818029</v>
      </c>
      <c r="E1013" s="77">
        <v>5294466.2105512647</v>
      </c>
      <c r="F1013" s="77" t="s">
        <v>1004</v>
      </c>
      <c r="G1013" s="25">
        <f t="shared" si="26"/>
        <v>2.3401023794791032E-2</v>
      </c>
      <c r="I1013" s="78">
        <v>218.61409901594999</v>
      </c>
      <c r="J1013" s="78">
        <v>221.45185482446999</v>
      </c>
      <c r="K1013" s="78">
        <v>215.80549823286</v>
      </c>
      <c r="L1013" s="78">
        <v>221.42269979904</v>
      </c>
      <c r="M1013" s="78">
        <v>1339786.174900963</v>
      </c>
      <c r="N1013" s="78" t="s">
        <v>1004</v>
      </c>
      <c r="O1013" s="25">
        <f t="shared" si="27"/>
        <v>-1.2684339887640506E-2</v>
      </c>
    </row>
    <row r="1014" spans="1:15">
      <c r="A1014" s="77">
        <v>341.21106930096028</v>
      </c>
      <c r="B1014" s="77">
        <v>341.34460077550079</v>
      </c>
      <c r="C1014" s="77">
        <v>336.27517372419373</v>
      </c>
      <c r="D1014" s="77">
        <v>338.08261761172463</v>
      </c>
      <c r="E1014" s="77">
        <v>6930613.3492819387</v>
      </c>
      <c r="F1014" s="77" t="s">
        <v>1005</v>
      </c>
      <c r="G1014" s="25">
        <f t="shared" si="26"/>
        <v>9.2535123850365775E-3</v>
      </c>
      <c r="I1014" s="78">
        <v>221.72396839515</v>
      </c>
      <c r="J1014" s="78">
        <v>222.23904051107999</v>
      </c>
      <c r="K1014" s="78">
        <v>213.81323816180998</v>
      </c>
      <c r="L1014" s="78">
        <v>214.27971856869001</v>
      </c>
      <c r="M1014" s="78">
        <v>1895379.9279879415</v>
      </c>
      <c r="N1014" s="78" t="s">
        <v>1005</v>
      </c>
      <c r="O1014" s="25">
        <f t="shared" si="27"/>
        <v>3.4740804571635753E-2</v>
      </c>
    </row>
    <row r="1015" spans="1:15">
      <c r="A1015" s="77">
        <v>343.32849696867459</v>
      </c>
      <c r="B1015" s="77">
        <v>344.80688115108779</v>
      </c>
      <c r="C1015" s="77">
        <v>339.19855922038494</v>
      </c>
      <c r="D1015" s="77">
        <v>342.29839702221898</v>
      </c>
      <c r="E1015" s="77">
        <v>5031274.7785617299</v>
      </c>
      <c r="F1015" s="77" t="s">
        <v>1006</v>
      </c>
      <c r="G1015" s="25">
        <f t="shared" si="26"/>
        <v>3.0093624609897063E-3</v>
      </c>
      <c r="I1015" s="78">
        <v>219.51790480427999</v>
      </c>
      <c r="J1015" s="78">
        <v>225.95144708249998</v>
      </c>
      <c r="K1015" s="78">
        <v>218.20592865992998</v>
      </c>
      <c r="L1015" s="78">
        <v>223.52186162999999</v>
      </c>
      <c r="M1015" s="78">
        <v>1905061.6207951633</v>
      </c>
      <c r="N1015" s="78" t="s">
        <v>1006</v>
      </c>
      <c r="O1015" s="25">
        <f t="shared" si="27"/>
        <v>-1.7913043478260837E-2</v>
      </c>
    </row>
    <row r="1016" spans="1:15">
      <c r="A1016" s="77">
        <v>337.72017503797173</v>
      </c>
      <c r="B1016" s="77">
        <v>342.0980998104082</v>
      </c>
      <c r="C1016" s="77">
        <v>333.59977525214924</v>
      </c>
      <c r="D1016" s="77">
        <v>334.55357149886737</v>
      </c>
      <c r="E1016" s="77">
        <v>6792533.544026725</v>
      </c>
      <c r="F1016" s="77" t="s">
        <v>1007</v>
      </c>
      <c r="G1016" s="25">
        <f t="shared" si="26"/>
        <v>9.4651613638956356E-3</v>
      </c>
      <c r="I1016" s="78">
        <v>220.54804903613999</v>
      </c>
      <c r="J1016" s="78">
        <v>231.83104387755</v>
      </c>
      <c r="K1016" s="78">
        <v>207.000680553</v>
      </c>
      <c r="L1016" s="78">
        <v>207.06870894566998</v>
      </c>
      <c r="M1016" s="78">
        <v>4866715.0142149609</v>
      </c>
      <c r="N1016" s="78" t="s">
        <v>1007</v>
      </c>
      <c r="O1016" s="25">
        <f t="shared" si="27"/>
        <v>6.5095977847655639E-2</v>
      </c>
    </row>
    <row r="1017" spans="1:15">
      <c r="A1017" s="77">
        <v>338.29245278600268</v>
      </c>
      <c r="B1017" s="77">
        <v>344.54935616447392</v>
      </c>
      <c r="C1017" s="77">
        <v>336.82360656605664</v>
      </c>
      <c r="D1017" s="77">
        <v>342.72760533324214</v>
      </c>
      <c r="E1017" s="77">
        <v>8765396.203608986</v>
      </c>
      <c r="F1017" s="77" t="s">
        <v>1008</v>
      </c>
      <c r="G1017" s="25">
        <f t="shared" si="26"/>
        <v>-1.2940750841844317E-2</v>
      </c>
      <c r="I1017" s="78">
        <v>188.54554945580998</v>
      </c>
      <c r="J1017" s="78">
        <v>196.75268911435501</v>
      </c>
      <c r="K1017" s="78">
        <v>186.21149530330231</v>
      </c>
      <c r="L1017" s="78">
        <v>196.44656134733998</v>
      </c>
      <c r="M1017" s="78">
        <v>973030.1922772153</v>
      </c>
      <c r="N1017" s="78" t="s">
        <v>1008</v>
      </c>
      <c r="O1017" s="25">
        <f t="shared" si="27"/>
        <v>-4.0219649747699648E-2</v>
      </c>
    </row>
    <row r="1018" spans="1:15">
      <c r="A1018" s="77">
        <v>343.21404141906839</v>
      </c>
      <c r="B1018" s="77">
        <v>351.83635948940076</v>
      </c>
      <c r="C1018" s="77">
        <v>342.26978313481749</v>
      </c>
      <c r="D1018" s="77">
        <v>350.37705123192194</v>
      </c>
      <c r="E1018" s="77">
        <v>4623240.0422759689</v>
      </c>
      <c r="F1018" s="77" t="s">
        <v>1009</v>
      </c>
      <c r="G1018" s="25">
        <f t="shared" si="26"/>
        <v>-2.0443718524567944E-2</v>
      </c>
      <c r="I1018" s="78">
        <v>196.88388672879</v>
      </c>
      <c r="J1018" s="78">
        <v>205.63525352869499</v>
      </c>
      <c r="K1018" s="78">
        <v>195.85374249692998</v>
      </c>
      <c r="L1018" s="78">
        <v>205.63525352869499</v>
      </c>
      <c r="M1018" s="78">
        <v>770757.002217439</v>
      </c>
      <c r="N1018" s="78" t="s">
        <v>1009</v>
      </c>
      <c r="O1018" s="25">
        <f t="shared" si="27"/>
        <v>-4.2557716392164213E-2</v>
      </c>
    </row>
    <row r="1019" spans="1:15">
      <c r="A1019" s="77">
        <v>349.61401423454743</v>
      </c>
      <c r="B1019" s="77">
        <v>350.32812148446533</v>
      </c>
      <c r="C1019" s="77">
        <v>347.60150415397203</v>
      </c>
      <c r="D1019" s="77">
        <v>349.19434388599143</v>
      </c>
      <c r="E1019" s="77">
        <v>3047042.8144374215</v>
      </c>
      <c r="F1019" s="77" t="s">
        <v>1010</v>
      </c>
      <c r="G1019" s="25">
        <f t="shared" si="26"/>
        <v>1.201824588238587E-3</v>
      </c>
      <c r="I1019" s="78">
        <v>202.17066467343</v>
      </c>
      <c r="J1019" s="78">
        <v>205.32426659077501</v>
      </c>
      <c r="K1019" s="78">
        <v>199.22600710499998</v>
      </c>
      <c r="L1019" s="78">
        <v>202.65658176393001</v>
      </c>
      <c r="M1019" s="78">
        <v>1431825.5389702125</v>
      </c>
      <c r="N1019" s="78" t="s">
        <v>1010</v>
      </c>
      <c r="O1019" s="25">
        <f t="shared" si="27"/>
        <v>-2.3977365367093828E-3</v>
      </c>
    </row>
    <row r="1020" spans="1:15">
      <c r="A1020" s="77">
        <v>349.07035037391807</v>
      </c>
      <c r="B1020" s="77">
        <v>354.70728619202248</v>
      </c>
      <c r="C1020" s="77">
        <v>348.50284160712073</v>
      </c>
      <c r="D1020" s="77">
        <v>354.45929916787571</v>
      </c>
      <c r="E1020" s="77">
        <v>3717922.996868114</v>
      </c>
      <c r="F1020" s="77" t="s">
        <v>1011</v>
      </c>
      <c r="G1020" s="25">
        <f t="shared" ref="G1020:G1083" si="28">A1020/D1020-1</f>
        <v>-1.520329359847139E-2</v>
      </c>
      <c r="I1020" s="78">
        <v>202.58855337125999</v>
      </c>
      <c r="J1020" s="78">
        <v>211.63632959636999</v>
      </c>
      <c r="K1020" s="78">
        <v>201.45150737948998</v>
      </c>
      <c r="L1020" s="78">
        <v>209.43998434730997</v>
      </c>
      <c r="M1020" s="78">
        <v>1155810.3449748904</v>
      </c>
      <c r="N1020" s="78" t="s">
        <v>1011</v>
      </c>
      <c r="O1020" s="25">
        <f t="shared" ref="O1020:O1083" si="29">I1020/L1020-1</f>
        <v>-3.2713099160131653E-2</v>
      </c>
    </row>
    <row r="1021" spans="1:15">
      <c r="A1021" s="77">
        <v>354.55467879254758</v>
      </c>
      <c r="B1021" s="77">
        <v>357.13946662115382</v>
      </c>
      <c r="C1021" s="77">
        <v>354.14454640645874</v>
      </c>
      <c r="D1021" s="77">
        <v>355.06019080330816</v>
      </c>
      <c r="E1021" s="77">
        <v>2766130.6165524912</v>
      </c>
      <c r="F1021" s="77" t="s">
        <v>1012</v>
      </c>
      <c r="G1021" s="25">
        <f t="shared" si="28"/>
        <v>-1.4237360984257208E-3</v>
      </c>
      <c r="I1021" s="78">
        <v>209.55660444902998</v>
      </c>
      <c r="J1021" s="78">
        <v>216.68014899575999</v>
      </c>
      <c r="K1021" s="78">
        <v>209.23589916930001</v>
      </c>
      <c r="L1021" s="78">
        <v>214.34774696136</v>
      </c>
      <c r="M1021" s="78">
        <v>1997628.8526941615</v>
      </c>
      <c r="N1021" s="78" t="s">
        <v>1012</v>
      </c>
      <c r="O1021" s="25">
        <f t="shared" si="29"/>
        <v>-2.2352194414218429E-2</v>
      </c>
    </row>
    <row r="1022" spans="1:15">
      <c r="A1022" s="77">
        <v>354.12547048152436</v>
      </c>
      <c r="B1022" s="77">
        <v>354.49745101774448</v>
      </c>
      <c r="C1022" s="77">
        <v>349.75708367155511</v>
      </c>
      <c r="D1022" s="77">
        <v>350.3198234571189</v>
      </c>
      <c r="E1022" s="77">
        <v>5151623.3335020151</v>
      </c>
      <c r="F1022" s="77" t="s">
        <v>1013</v>
      </c>
      <c r="G1022" s="25">
        <f t="shared" si="28"/>
        <v>1.0863350485991852E-2</v>
      </c>
      <c r="I1022" s="78">
        <v>214.97943917901</v>
      </c>
      <c r="J1022" s="78">
        <v>216.80648743928998</v>
      </c>
      <c r="K1022" s="78">
        <v>201.92770612818001</v>
      </c>
      <c r="L1022" s="78">
        <v>202.14150964799998</v>
      </c>
      <c r="M1022" s="78">
        <v>1775029.1497516283</v>
      </c>
      <c r="N1022" s="78" t="s">
        <v>1013</v>
      </c>
      <c r="O1022" s="25">
        <f t="shared" si="29"/>
        <v>6.3509615384615525E-2</v>
      </c>
    </row>
    <row r="1023" spans="1:15">
      <c r="A1023" s="77">
        <v>348.60299021302615</v>
      </c>
      <c r="B1023" s="77">
        <v>349.43279294767098</v>
      </c>
      <c r="C1023" s="77">
        <v>343.87216082930394</v>
      </c>
      <c r="D1023" s="77">
        <v>344.13922377838509</v>
      </c>
      <c r="E1023" s="77">
        <v>2863099.9643751904</v>
      </c>
      <c r="F1023" s="77" t="s">
        <v>1014</v>
      </c>
      <c r="G1023" s="25">
        <f t="shared" si="28"/>
        <v>1.2970815664754332E-2</v>
      </c>
      <c r="I1023" s="78">
        <v>200.70319506012001</v>
      </c>
      <c r="J1023" s="78">
        <v>201.72362095016999</v>
      </c>
      <c r="K1023" s="78">
        <v>189.73118715662997</v>
      </c>
      <c r="L1023" s="78">
        <v>190.479499476</v>
      </c>
      <c r="M1023" s="78">
        <v>1674228.0028942509</v>
      </c>
      <c r="N1023" s="78" t="s">
        <v>1014</v>
      </c>
      <c r="O1023" s="25">
        <f t="shared" si="29"/>
        <v>5.367346938775519E-2</v>
      </c>
    </row>
    <row r="1024" spans="1:15">
      <c r="A1024" s="77">
        <v>346.01820238441985</v>
      </c>
      <c r="B1024" s="77">
        <v>347.66826989124229</v>
      </c>
      <c r="C1024" s="77">
        <v>344.7496533762847</v>
      </c>
      <c r="D1024" s="77">
        <v>346.55232828258204</v>
      </c>
      <c r="E1024" s="77">
        <v>3947094.5843555895</v>
      </c>
      <c r="F1024" s="77" t="s">
        <v>1015</v>
      </c>
      <c r="G1024" s="25">
        <f t="shared" si="28"/>
        <v>-1.5412561237408973E-3</v>
      </c>
      <c r="I1024" s="78">
        <v>192.94795829573999</v>
      </c>
      <c r="J1024" s="78">
        <v>194.25021609827999</v>
      </c>
      <c r="K1024" s="78">
        <v>190.24625927256</v>
      </c>
      <c r="L1024" s="78">
        <v>192.72443643411</v>
      </c>
      <c r="M1024" s="78">
        <v>1477640.9680531705</v>
      </c>
      <c r="N1024" s="78" t="s">
        <v>1015</v>
      </c>
      <c r="O1024" s="25">
        <f t="shared" si="29"/>
        <v>1.1598003126418455E-3</v>
      </c>
    </row>
    <row r="1025" spans="1:15">
      <c r="A1025" s="77">
        <v>347.28675139255506</v>
      </c>
      <c r="B1025" s="77">
        <v>349.90969107103007</v>
      </c>
      <c r="C1025" s="77">
        <v>347.22952361775197</v>
      </c>
      <c r="D1025" s="77">
        <v>348.14516801460138</v>
      </c>
      <c r="E1025" s="77">
        <v>3168601.2713918635</v>
      </c>
      <c r="F1025" s="77" t="s">
        <v>1016</v>
      </c>
      <c r="G1025" s="25">
        <f t="shared" si="28"/>
        <v>-2.4656858716198826E-3</v>
      </c>
      <c r="I1025" s="78">
        <v>193.58936885519998</v>
      </c>
      <c r="J1025" s="78">
        <v>195.33867038099999</v>
      </c>
      <c r="K1025" s="78">
        <v>189.66315876395998</v>
      </c>
      <c r="L1025" s="78">
        <v>191.21809345355999</v>
      </c>
      <c r="M1025" s="78">
        <v>968200.15018590912</v>
      </c>
      <c r="N1025" s="78" t="s">
        <v>1016</v>
      </c>
      <c r="O1025" s="25">
        <f t="shared" si="29"/>
        <v>1.2400894490750103E-2</v>
      </c>
    </row>
    <row r="1026" spans="1:15">
      <c r="A1026" s="77">
        <v>348.60299021302615</v>
      </c>
      <c r="B1026" s="77">
        <v>351.73144190226174</v>
      </c>
      <c r="C1026" s="77">
        <v>347.74800725746792</v>
      </c>
      <c r="D1026" s="77">
        <v>350.51058270646251</v>
      </c>
      <c r="E1026" s="77">
        <v>3460013.6154395193</v>
      </c>
      <c r="F1026" s="77" t="s">
        <v>1017</v>
      </c>
      <c r="G1026" s="25">
        <f t="shared" si="28"/>
        <v>-5.4423249612234326E-3</v>
      </c>
      <c r="I1026" s="78">
        <v>191.35415023889999</v>
      </c>
      <c r="J1026" s="78">
        <v>193.395002019</v>
      </c>
      <c r="K1026" s="78">
        <v>190.70302133762999</v>
      </c>
      <c r="L1026" s="78">
        <v>193.34641030994999</v>
      </c>
      <c r="M1026" s="78">
        <v>1345437.3447274335</v>
      </c>
      <c r="N1026" s="78" t="s">
        <v>1017</v>
      </c>
      <c r="O1026" s="25">
        <f t="shared" si="29"/>
        <v>-1.0304096506659977E-2</v>
      </c>
    </row>
    <row r="1027" spans="1:15">
      <c r="A1027" s="77">
        <v>347.40120694216125</v>
      </c>
      <c r="B1027" s="77">
        <v>348.16424393953577</v>
      </c>
      <c r="C1027" s="77">
        <v>345.01671632536579</v>
      </c>
      <c r="D1027" s="77">
        <v>346.52371439518049</v>
      </c>
      <c r="E1027" s="77">
        <v>4251439.4598977258</v>
      </c>
      <c r="F1027" s="77" t="s">
        <v>1018</v>
      </c>
      <c r="G1027" s="25">
        <f t="shared" si="28"/>
        <v>2.5322727147616408E-3</v>
      </c>
      <c r="I1027" s="78">
        <v>191.05288164279</v>
      </c>
      <c r="J1027" s="78">
        <v>194.34739951637999</v>
      </c>
      <c r="K1027" s="78">
        <v>189.95470901825999</v>
      </c>
      <c r="L1027" s="78">
        <v>192.95767663755001</v>
      </c>
      <c r="M1027" s="78">
        <v>1020422.0219745492</v>
      </c>
      <c r="N1027" s="78" t="s">
        <v>1018</v>
      </c>
      <c r="O1027" s="25">
        <f t="shared" si="29"/>
        <v>-9.8715688743390428E-3</v>
      </c>
    </row>
    <row r="1028" spans="1:15">
      <c r="A1028" s="77">
        <v>351.15916415423084</v>
      </c>
      <c r="B1028" s="77">
        <v>352.49447889963631</v>
      </c>
      <c r="C1028" s="77">
        <v>347.30582731748939</v>
      </c>
      <c r="D1028" s="77">
        <v>352.01758077627721</v>
      </c>
      <c r="E1028" s="77">
        <v>3006085.4295300944</v>
      </c>
      <c r="F1028" s="77" t="s">
        <v>1019</v>
      </c>
      <c r="G1028" s="25">
        <f t="shared" si="28"/>
        <v>-2.4385617904463253E-3</v>
      </c>
      <c r="I1028" s="78">
        <v>196.50487139819998</v>
      </c>
      <c r="J1028" s="78">
        <v>197.93346764426997</v>
      </c>
      <c r="K1028" s="78">
        <v>191.23753013717999</v>
      </c>
      <c r="L1028" s="78">
        <v>196.86445004516997</v>
      </c>
      <c r="M1028" s="78">
        <v>954330.50013292348</v>
      </c>
      <c r="N1028" s="78" t="s">
        <v>1019</v>
      </c>
      <c r="O1028" s="25">
        <f t="shared" si="29"/>
        <v>-1.8265291010514106E-3</v>
      </c>
    </row>
    <row r="1029" spans="1:15">
      <c r="A1029" s="77">
        <v>349.40417906026937</v>
      </c>
      <c r="B1029" s="77">
        <v>351.56929654031967</v>
      </c>
      <c r="C1029" s="77">
        <v>347.98302265265932</v>
      </c>
      <c r="D1029" s="77">
        <v>350.21490586997987</v>
      </c>
      <c r="E1029" s="77">
        <v>4059571.4371101786</v>
      </c>
      <c r="F1029" s="77" t="s">
        <v>1020</v>
      </c>
      <c r="G1029" s="25">
        <f t="shared" si="28"/>
        <v>-2.314940900920659E-3</v>
      </c>
      <c r="I1029" s="78">
        <v>196.02867264951001</v>
      </c>
      <c r="J1029" s="78">
        <v>197.14628195765999</v>
      </c>
      <c r="K1029" s="78">
        <v>191.83034898758999</v>
      </c>
      <c r="L1029" s="78">
        <v>195.97036259864998</v>
      </c>
      <c r="M1029" s="78">
        <v>989062.76275540877</v>
      </c>
      <c r="N1029" s="78" t="s">
        <v>1020</v>
      </c>
      <c r="O1029" s="25">
        <f t="shared" si="29"/>
        <v>2.9754525167380308E-4</v>
      </c>
    </row>
    <row r="1030" spans="1:15">
      <c r="A1030" s="77">
        <v>349.84292533375981</v>
      </c>
      <c r="B1030" s="77">
        <v>354.17792927509385</v>
      </c>
      <c r="C1030" s="77">
        <v>349.54724849727717</v>
      </c>
      <c r="D1030" s="77">
        <v>353.28612978441237</v>
      </c>
      <c r="E1030" s="77">
        <v>3259790.5587257855</v>
      </c>
      <c r="F1030" s="77" t="s">
        <v>1021</v>
      </c>
      <c r="G1030" s="25">
        <f t="shared" si="28"/>
        <v>-9.7462203023755967E-3</v>
      </c>
      <c r="I1030" s="78">
        <v>197.12684527403999</v>
      </c>
      <c r="J1030" s="78">
        <v>205.3685822294286</v>
      </c>
      <c r="K1030" s="78">
        <v>195.60106560987001</v>
      </c>
      <c r="L1030" s="78">
        <v>203.76447273026997</v>
      </c>
      <c r="M1030" s="78">
        <v>1826384.6185916362</v>
      </c>
      <c r="N1030" s="78" t="s">
        <v>1021</v>
      </c>
      <c r="O1030" s="25">
        <f t="shared" si="29"/>
        <v>-3.2574998807650024E-2</v>
      </c>
    </row>
    <row r="1031" spans="1:15">
      <c r="A1031" s="77">
        <v>356.92963144687582</v>
      </c>
      <c r="B1031" s="77">
        <v>357.14900458362098</v>
      </c>
      <c r="C1031" s="77">
        <v>354.16362233139307</v>
      </c>
      <c r="D1031" s="77">
        <v>355.93672955404219</v>
      </c>
      <c r="E1031" s="77">
        <v>3444474.6572490297</v>
      </c>
      <c r="F1031" s="77" t="s">
        <v>1022</v>
      </c>
      <c r="G1031" s="25">
        <f t="shared" si="28"/>
        <v>2.7895460355487067E-3</v>
      </c>
      <c r="I1031" s="78">
        <v>205.86363456123001</v>
      </c>
      <c r="J1031" s="78">
        <v>207.13673733833997</v>
      </c>
      <c r="K1031" s="78">
        <v>202.20953804067</v>
      </c>
      <c r="L1031" s="78">
        <v>203.62841594493</v>
      </c>
      <c r="M1031" s="78">
        <v>1003587.8744215522</v>
      </c>
      <c r="N1031" s="78" t="s">
        <v>1022</v>
      </c>
      <c r="O1031" s="25">
        <f t="shared" si="29"/>
        <v>1.0976948408342624E-2</v>
      </c>
    </row>
    <row r="1032" spans="1:15">
      <c r="A1032" s="77">
        <v>357.85481380619245</v>
      </c>
      <c r="B1032" s="77">
        <v>361.89890989227752</v>
      </c>
      <c r="C1032" s="77">
        <v>357.75943418152059</v>
      </c>
      <c r="D1032" s="77">
        <v>358.30309804215</v>
      </c>
      <c r="E1032" s="77">
        <v>3226581.15985366</v>
      </c>
      <c r="F1032" s="77" t="s">
        <v>1023</v>
      </c>
      <c r="G1032" s="25">
        <f t="shared" si="28"/>
        <v>-1.2511313421711412E-3</v>
      </c>
      <c r="I1032" s="78">
        <v>205.85391621941997</v>
      </c>
      <c r="J1032" s="78">
        <v>208.78885544604</v>
      </c>
      <c r="K1032" s="78">
        <v>201.767353488315</v>
      </c>
      <c r="L1032" s="78">
        <v>202.77320186565001</v>
      </c>
      <c r="M1032" s="78">
        <v>1074503.2644617385</v>
      </c>
      <c r="N1032" s="78" t="s">
        <v>1023</v>
      </c>
      <c r="O1032" s="25">
        <f t="shared" si="29"/>
        <v>1.5192906781691606E-2</v>
      </c>
    </row>
    <row r="1033" spans="1:15">
      <c r="A1033" s="77">
        <v>362.90039595133163</v>
      </c>
      <c r="B1033" s="77">
        <v>362.94808576366751</v>
      </c>
      <c r="C1033" s="77">
        <v>358.94214152745116</v>
      </c>
      <c r="D1033" s="77">
        <v>359.72425444976005</v>
      </c>
      <c r="E1033" s="77">
        <v>2968790.2523657931</v>
      </c>
      <c r="F1033" s="77" t="s">
        <v>1024</v>
      </c>
      <c r="G1033" s="25">
        <f t="shared" si="28"/>
        <v>8.8293782314730063E-3</v>
      </c>
      <c r="I1033" s="78">
        <v>208.02110644305</v>
      </c>
      <c r="J1033" s="78">
        <v>208.76941876241997</v>
      </c>
      <c r="K1033" s="78">
        <v>204.64893901839807</v>
      </c>
      <c r="L1033" s="78">
        <v>206.04828305562</v>
      </c>
      <c r="M1033" s="78">
        <v>804153.6460426267</v>
      </c>
      <c r="N1033" s="78" t="s">
        <v>1024</v>
      </c>
      <c r="O1033" s="25">
        <f t="shared" si="29"/>
        <v>9.5745684369399342E-3</v>
      </c>
    </row>
    <row r="1034" spans="1:15">
      <c r="A1034" s="77">
        <v>361.68907471799952</v>
      </c>
      <c r="B1034" s="77">
        <v>363.79696442324672</v>
      </c>
      <c r="C1034" s="77">
        <v>358.10280083033916</v>
      </c>
      <c r="D1034" s="77">
        <v>360.49682940960179</v>
      </c>
      <c r="E1034" s="77">
        <v>4946587.9282224383</v>
      </c>
      <c r="F1034" s="77" t="s">
        <v>1025</v>
      </c>
      <c r="G1034" s="25">
        <f t="shared" si="28"/>
        <v>3.3072282781247964E-3</v>
      </c>
      <c r="I1034" s="78">
        <v>206.83546874223001</v>
      </c>
      <c r="J1034" s="78">
        <v>208.19603659562998</v>
      </c>
      <c r="K1034" s="78">
        <v>201.17939380880998</v>
      </c>
      <c r="L1034" s="78">
        <v>207.78786623961</v>
      </c>
      <c r="M1034" s="78">
        <v>1229481.3491438618</v>
      </c>
      <c r="N1034" s="78" t="s">
        <v>1025</v>
      </c>
      <c r="O1034" s="25">
        <f t="shared" si="29"/>
        <v>-4.5835087226976379E-3</v>
      </c>
    </row>
    <row r="1035" spans="1:15">
      <c r="A1035" s="77">
        <v>361.82260619254009</v>
      </c>
      <c r="B1035" s="77">
        <v>361.90844785474468</v>
      </c>
      <c r="C1035" s="77">
        <v>357.86435176865962</v>
      </c>
      <c r="D1035" s="77">
        <v>358.2926062834361</v>
      </c>
      <c r="E1035" s="77">
        <v>3124986.0861328132</v>
      </c>
      <c r="F1035" s="77" t="s">
        <v>1026</v>
      </c>
      <c r="G1035" s="25">
        <f t="shared" si="28"/>
        <v>9.852282316737293E-3</v>
      </c>
      <c r="I1035" s="78">
        <v>209.85787304514</v>
      </c>
      <c r="J1035" s="78">
        <v>210.0133665141</v>
      </c>
      <c r="K1035" s="78">
        <v>190.85365563568499</v>
      </c>
      <c r="L1035" s="78">
        <v>191.36386858070998</v>
      </c>
      <c r="M1035" s="78">
        <v>3118325.1826784639</v>
      </c>
      <c r="N1035" s="78" t="s">
        <v>1026</v>
      </c>
      <c r="O1035" s="25">
        <f t="shared" si="29"/>
        <v>9.6643136458280487E-2</v>
      </c>
    </row>
    <row r="1036" spans="1:15">
      <c r="A1036" s="77">
        <v>357.69266844425033</v>
      </c>
      <c r="B1036" s="77">
        <v>358.04557305553607</v>
      </c>
      <c r="C1036" s="77">
        <v>355.00296302850506</v>
      </c>
      <c r="D1036" s="77">
        <v>355.76600002587963</v>
      </c>
      <c r="E1036" s="77">
        <v>3414466.1516604591</v>
      </c>
      <c r="F1036" s="77" t="s">
        <v>1027</v>
      </c>
      <c r="G1036" s="25">
        <f t="shared" si="28"/>
        <v>5.4155495978551738E-3</v>
      </c>
      <c r="I1036" s="78">
        <v>191.04316330098001</v>
      </c>
      <c r="J1036" s="78">
        <v>191.29584018803999</v>
      </c>
      <c r="K1036" s="78">
        <v>186.41723259941998</v>
      </c>
      <c r="L1036" s="78">
        <v>187.26272833688998</v>
      </c>
      <c r="M1036" s="78">
        <v>986986.27682863944</v>
      </c>
      <c r="N1036" s="78" t="s">
        <v>1027</v>
      </c>
      <c r="O1036" s="25">
        <f t="shared" si="29"/>
        <v>2.0187866521355735E-2</v>
      </c>
    </row>
    <row r="1037" spans="1:15">
      <c r="A1037" s="77">
        <v>356.82471385973685</v>
      </c>
      <c r="B1037" s="77">
        <v>363.39636999962505</v>
      </c>
      <c r="C1037" s="77">
        <v>355.7169748987983</v>
      </c>
      <c r="D1037" s="77">
        <v>363.3677561122235</v>
      </c>
      <c r="E1037" s="77">
        <v>3488916.0147673138</v>
      </c>
      <c r="F1037" s="77" t="s">
        <v>1028</v>
      </c>
      <c r="G1037" s="25">
        <f t="shared" si="28"/>
        <v>-1.8006667191642345E-2</v>
      </c>
      <c r="I1037" s="78">
        <v>190.34344269066</v>
      </c>
      <c r="J1037" s="78">
        <v>197.96262266969998</v>
      </c>
      <c r="K1037" s="78">
        <v>187.27244667869999</v>
      </c>
      <c r="L1037" s="78">
        <v>194.35711785819001</v>
      </c>
      <c r="M1037" s="78">
        <v>1522114.6044460852</v>
      </c>
      <c r="N1037" s="78" t="s">
        <v>1028</v>
      </c>
      <c r="O1037" s="25">
        <f t="shared" si="29"/>
        <v>-2.0651032551627591E-2</v>
      </c>
    </row>
    <row r="1038" spans="1:15">
      <c r="A1038" s="77">
        <v>359.9054757366365</v>
      </c>
      <c r="B1038" s="77">
        <v>363.32960426235479</v>
      </c>
      <c r="C1038" s="77">
        <v>359.32366002613844</v>
      </c>
      <c r="D1038" s="77">
        <v>362.14689691642423</v>
      </c>
      <c r="E1038" s="77">
        <v>3063026.3120161286</v>
      </c>
      <c r="F1038" s="77" t="s">
        <v>1029</v>
      </c>
      <c r="G1038" s="25">
        <f t="shared" si="28"/>
        <v>-6.1892596591957005E-3</v>
      </c>
      <c r="I1038" s="78">
        <v>192.90908492849999</v>
      </c>
      <c r="J1038" s="78">
        <v>210.05709905224501</v>
      </c>
      <c r="K1038" s="78">
        <v>192.60781633239</v>
      </c>
      <c r="L1038" s="78">
        <v>203.37573905786999</v>
      </c>
      <c r="M1038" s="78">
        <v>2562946.4868554566</v>
      </c>
      <c r="N1038" s="78" t="s">
        <v>1029</v>
      </c>
      <c r="O1038" s="25">
        <f t="shared" si="29"/>
        <v>-5.146461509055289E-2</v>
      </c>
    </row>
    <row r="1039" spans="1:15">
      <c r="A1039" s="77">
        <v>363.89234404791847</v>
      </c>
      <c r="B1039" s="77">
        <v>365.06246128339234</v>
      </c>
      <c r="C1039" s="77">
        <v>357.3111499455631</v>
      </c>
      <c r="D1039" s="77">
        <v>358.42709155422335</v>
      </c>
      <c r="E1039" s="77">
        <v>4722846.2216113247</v>
      </c>
      <c r="F1039" s="77" t="s">
        <v>1030</v>
      </c>
      <c r="G1039" s="25">
        <f t="shared" si="28"/>
        <v>1.5247877804092536E-2</v>
      </c>
      <c r="I1039" s="78">
        <v>209.66350620893999</v>
      </c>
      <c r="J1039" s="78">
        <v>211.36421602569001</v>
      </c>
      <c r="K1039" s="78">
        <v>200.22213714052501</v>
      </c>
      <c r="L1039" s="78">
        <v>203.21052724709998</v>
      </c>
      <c r="M1039" s="78">
        <v>1529116.8278017174</v>
      </c>
      <c r="N1039" s="78" t="s">
        <v>1030</v>
      </c>
      <c r="O1039" s="25">
        <f t="shared" si="29"/>
        <v>3.1755141080822558E-2</v>
      </c>
    </row>
    <row r="1040" spans="1:15">
      <c r="A1040" s="77">
        <v>359.25689428886818</v>
      </c>
      <c r="B1040" s="77">
        <v>360.46821552220024</v>
      </c>
      <c r="C1040" s="77">
        <v>357.69266844425033</v>
      </c>
      <c r="D1040" s="77">
        <v>359.17582160789709</v>
      </c>
      <c r="E1040" s="77">
        <v>3019615.5729379803</v>
      </c>
      <c r="F1040" s="77" t="s">
        <v>1031</v>
      </c>
      <c r="G1040" s="25">
        <f t="shared" si="28"/>
        <v>2.2571864834364241E-4</v>
      </c>
      <c r="I1040" s="78">
        <v>202.82179357469997</v>
      </c>
      <c r="J1040" s="78">
        <v>206.72856698231999</v>
      </c>
      <c r="K1040" s="78">
        <v>200.59629330020999</v>
      </c>
      <c r="L1040" s="78">
        <v>205.61095767416998</v>
      </c>
      <c r="M1040" s="78">
        <v>1161451.2249801182</v>
      </c>
      <c r="N1040" s="78" t="s">
        <v>1031</v>
      </c>
      <c r="O1040" s="25">
        <f t="shared" si="29"/>
        <v>-1.3565250271777685E-2</v>
      </c>
    </row>
    <row r="1041" spans="1:15">
      <c r="A1041" s="77">
        <v>361.345708069181</v>
      </c>
      <c r="B1041" s="77">
        <v>365.49472174240503</v>
      </c>
      <c r="C1041" s="77">
        <v>360.33468404765972</v>
      </c>
      <c r="D1041" s="77">
        <v>360.75435439621572</v>
      </c>
      <c r="E1041" s="77">
        <v>6786049.9789872542</v>
      </c>
      <c r="F1041" s="77" t="s">
        <v>1032</v>
      </c>
      <c r="G1041" s="25">
        <f t="shared" si="28"/>
        <v>1.6392142347250171E-3</v>
      </c>
      <c r="I1041" s="78">
        <v>208.22519162105999</v>
      </c>
      <c r="J1041" s="78">
        <v>215.00859420443999</v>
      </c>
      <c r="K1041" s="78">
        <v>207.17075153467499</v>
      </c>
      <c r="L1041" s="78">
        <v>213.30788438769</v>
      </c>
      <c r="M1041" s="78">
        <v>1174619.1092243544</v>
      </c>
      <c r="N1041" s="78" t="s">
        <v>1032</v>
      </c>
      <c r="O1041" s="25">
        <f t="shared" si="29"/>
        <v>-2.3827964827554782E-2</v>
      </c>
    </row>
    <row r="1042" spans="1:15">
      <c r="A1042" s="77">
        <v>365.24673471825832</v>
      </c>
      <c r="B1042" s="77">
        <v>366.64881520093405</v>
      </c>
      <c r="C1042" s="77">
        <v>361.87029600487597</v>
      </c>
      <c r="D1042" s="77">
        <v>363.6348190613046</v>
      </c>
      <c r="E1042" s="77">
        <v>5460208.1083034687</v>
      </c>
      <c r="F1042" s="77" t="s">
        <v>1033</v>
      </c>
      <c r="G1042" s="25">
        <f t="shared" si="28"/>
        <v>4.432786885245843E-3</v>
      </c>
      <c r="I1042" s="78">
        <v>218.60438067414</v>
      </c>
      <c r="J1042" s="78">
        <v>219.03198771377998</v>
      </c>
      <c r="K1042" s="78">
        <v>212.17083839591999</v>
      </c>
      <c r="L1042" s="78">
        <v>212.71506553728</v>
      </c>
      <c r="M1042" s="78">
        <v>1179700.2229539815</v>
      </c>
      <c r="N1042" s="78" t="s">
        <v>1033</v>
      </c>
      <c r="O1042" s="25">
        <f t="shared" si="29"/>
        <v>2.7686403508772051E-2</v>
      </c>
    </row>
    <row r="1043" spans="1:15">
      <c r="A1043" s="77">
        <v>360.08669702351295</v>
      </c>
      <c r="B1043" s="77">
        <v>362.59518115238183</v>
      </c>
      <c r="C1043" s="77">
        <v>352.67570018651276</v>
      </c>
      <c r="D1043" s="77">
        <v>355.23187412771745</v>
      </c>
      <c r="E1043" s="77">
        <v>5181077.2132972674</v>
      </c>
      <c r="F1043" s="77" t="s">
        <v>1034</v>
      </c>
      <c r="G1043" s="25">
        <f t="shared" si="28"/>
        <v>1.3666630866716822E-2</v>
      </c>
      <c r="I1043" s="78">
        <v>210.42153687012001</v>
      </c>
      <c r="J1043" s="78">
        <v>211.50999115283997</v>
      </c>
      <c r="K1043" s="78">
        <v>202.39418653505999</v>
      </c>
      <c r="L1043" s="78">
        <v>205.76645114312998</v>
      </c>
      <c r="M1043" s="78">
        <v>1324517.1091589751</v>
      </c>
      <c r="N1043" s="78" t="s">
        <v>1034</v>
      </c>
      <c r="O1043" s="25">
        <f t="shared" si="29"/>
        <v>2.2623152127710044E-2</v>
      </c>
    </row>
    <row r="1044" spans="1:15">
      <c r="A1044" s="77">
        <v>356.18567037443563</v>
      </c>
      <c r="B1044" s="77">
        <v>356.28104999910749</v>
      </c>
      <c r="C1044" s="77">
        <v>351.31177155370574</v>
      </c>
      <c r="D1044" s="77">
        <v>351.57883450278683</v>
      </c>
      <c r="E1044" s="77">
        <v>4384255.0381052066</v>
      </c>
      <c r="F1044" s="77" t="s">
        <v>1035</v>
      </c>
      <c r="G1044" s="25">
        <f t="shared" si="28"/>
        <v>1.3103279889314035E-2</v>
      </c>
      <c r="I1044" s="78">
        <v>208.16688157019999</v>
      </c>
      <c r="J1044" s="78">
        <v>208.44871348269001</v>
      </c>
      <c r="K1044" s="78">
        <v>203.98799459189999</v>
      </c>
      <c r="L1044" s="78">
        <v>205.31940741987</v>
      </c>
      <c r="M1044" s="78">
        <v>986452.23510614515</v>
      </c>
      <c r="N1044" s="78" t="s">
        <v>1035</v>
      </c>
      <c r="O1044" s="25">
        <f t="shared" si="29"/>
        <v>1.3868509490225778E-2</v>
      </c>
    </row>
    <row r="1045" spans="1:15">
      <c r="A1045" s="77">
        <v>351.19731600409955</v>
      </c>
      <c r="B1045" s="77">
        <v>355.08880469070976</v>
      </c>
      <c r="C1045" s="77">
        <v>350.86348731774825</v>
      </c>
      <c r="D1045" s="77">
        <v>353.04768072273282</v>
      </c>
      <c r="E1045" s="77">
        <v>3439512.3814838594</v>
      </c>
      <c r="F1045" s="77" t="s">
        <v>1036</v>
      </c>
      <c r="G1045" s="25">
        <f t="shared" si="28"/>
        <v>-5.2411184654870269E-3</v>
      </c>
      <c r="I1045" s="78">
        <v>204.18236142809999</v>
      </c>
      <c r="J1045" s="78">
        <v>208.40984011544998</v>
      </c>
      <c r="K1045" s="78">
        <v>203.23968227252999</v>
      </c>
      <c r="L1045" s="78">
        <v>205.60123933236</v>
      </c>
      <c r="M1045" s="78">
        <v>797867.59424548375</v>
      </c>
      <c r="N1045" s="78" t="s">
        <v>1036</v>
      </c>
      <c r="O1045" s="25">
        <f t="shared" si="29"/>
        <v>-6.9011155227831633E-3</v>
      </c>
    </row>
    <row r="1046" spans="1:15">
      <c r="A1046" s="77">
        <v>355.64200651380628</v>
      </c>
      <c r="B1046" s="77">
        <v>357.74989621905343</v>
      </c>
      <c r="C1046" s="77">
        <v>353.62949643323094</v>
      </c>
      <c r="D1046" s="77">
        <v>353.7534899453043</v>
      </c>
      <c r="E1046" s="77">
        <v>5818351.6857974716</v>
      </c>
      <c r="F1046" s="77" t="s">
        <v>1037</v>
      </c>
      <c r="G1046" s="25">
        <f t="shared" si="28"/>
        <v>5.3385100703713384E-3</v>
      </c>
      <c r="I1046" s="78">
        <v>208.00166975943</v>
      </c>
      <c r="J1046" s="78">
        <v>209.03181399128999</v>
      </c>
      <c r="K1046" s="78">
        <v>201.97629783722999</v>
      </c>
      <c r="L1046" s="78">
        <v>204.30869987162998</v>
      </c>
      <c r="M1046" s="78">
        <v>1170240.7902856013</v>
      </c>
      <c r="N1046" s="78" t="s">
        <v>1037</v>
      </c>
      <c r="O1046" s="25">
        <f t="shared" si="29"/>
        <v>1.8075441183465824E-2</v>
      </c>
    </row>
    <row r="1047" spans="1:15">
      <c r="A1047" s="77">
        <v>354.630982492285</v>
      </c>
      <c r="B1047" s="77">
        <v>354.86943155396455</v>
      </c>
      <c r="C1047" s="77">
        <v>350.62503825606871</v>
      </c>
      <c r="D1047" s="77">
        <v>353.34335755921546</v>
      </c>
      <c r="E1047" s="77">
        <v>3628588.4033496552</v>
      </c>
      <c r="F1047" s="77" t="s">
        <v>1038</v>
      </c>
      <c r="G1047" s="25">
        <f t="shared" si="28"/>
        <v>3.6441181234141418E-3</v>
      </c>
      <c r="I1047" s="78">
        <v>206.78687703317999</v>
      </c>
      <c r="J1047" s="78">
        <v>209.12899740939</v>
      </c>
      <c r="K1047" s="78">
        <v>204.29110967295389</v>
      </c>
      <c r="L1047" s="78">
        <v>208.24462830467999</v>
      </c>
      <c r="M1047" s="78">
        <v>691349.42270568281</v>
      </c>
      <c r="N1047" s="78" t="s">
        <v>1038</v>
      </c>
      <c r="O1047" s="25">
        <f t="shared" si="29"/>
        <v>-7.0001866716445926E-3</v>
      </c>
    </row>
    <row r="1048" spans="1:15">
      <c r="A1048" s="77">
        <v>350.88256324268258</v>
      </c>
      <c r="B1048" s="77">
        <v>351.14962619176367</v>
      </c>
      <c r="C1048" s="77">
        <v>344.94995058809553</v>
      </c>
      <c r="D1048" s="77">
        <v>346.97199863113804</v>
      </c>
      <c r="E1048" s="77">
        <v>3209996.9050356876</v>
      </c>
      <c r="F1048" s="77" t="s">
        <v>1039</v>
      </c>
      <c r="G1048" s="25">
        <f t="shared" si="28"/>
        <v>1.1270548133487379E-2</v>
      </c>
      <c r="I1048" s="78">
        <v>205.09588555823998</v>
      </c>
      <c r="J1048" s="78">
        <v>206.12602979009998</v>
      </c>
      <c r="K1048" s="78">
        <v>199.61474077739999</v>
      </c>
      <c r="L1048" s="78">
        <v>204.22123479533997</v>
      </c>
      <c r="M1048" s="78">
        <v>642585.95983670186</v>
      </c>
      <c r="N1048" s="78" t="s">
        <v>1039</v>
      </c>
      <c r="O1048" s="25">
        <f t="shared" si="29"/>
        <v>4.2828590463501737E-3</v>
      </c>
    </row>
    <row r="1049" spans="1:15">
      <c r="A1049" s="77">
        <v>350.75856973060922</v>
      </c>
      <c r="B1049" s="77">
        <v>351.57883450278683</v>
      </c>
      <c r="C1049" s="77">
        <v>348.53622447575589</v>
      </c>
      <c r="D1049" s="77">
        <v>349.63309015948175</v>
      </c>
      <c r="E1049" s="77">
        <v>2833288.5658738483</v>
      </c>
      <c r="F1049" s="77" t="s">
        <v>1040</v>
      </c>
      <c r="G1049" s="25">
        <f t="shared" si="28"/>
        <v>3.2190304716699369E-3</v>
      </c>
      <c r="I1049" s="78">
        <v>209.09012404214999</v>
      </c>
      <c r="J1049" s="78">
        <v>211.84041477437998</v>
      </c>
      <c r="K1049" s="78">
        <v>206.86462376765999</v>
      </c>
      <c r="L1049" s="78">
        <v>209.59547781626998</v>
      </c>
      <c r="M1049" s="78">
        <v>1034055.0061389537</v>
      </c>
      <c r="N1049" s="78" t="s">
        <v>1040</v>
      </c>
      <c r="O1049" s="25">
        <f t="shared" si="29"/>
        <v>-2.4110910186858625E-3</v>
      </c>
    </row>
    <row r="1050" spans="1:15">
      <c r="A1050" s="77">
        <v>351.13055026682929</v>
      </c>
      <c r="B1050" s="77">
        <v>352.90461128572514</v>
      </c>
      <c r="C1050" s="77">
        <v>346.84800511906468</v>
      </c>
      <c r="D1050" s="77">
        <v>347.66826989124229</v>
      </c>
      <c r="E1050" s="77">
        <v>3400393.9637626954</v>
      </c>
      <c r="F1050" s="77" t="s">
        <v>1041</v>
      </c>
      <c r="G1050" s="25">
        <f t="shared" si="28"/>
        <v>9.9585745247043889E-3</v>
      </c>
      <c r="I1050" s="78">
        <v>210.28548008477998</v>
      </c>
      <c r="J1050" s="78">
        <v>210.79083385889999</v>
      </c>
      <c r="K1050" s="78">
        <v>197.60304402273002</v>
      </c>
      <c r="L1050" s="78">
        <v>199.26488047223998</v>
      </c>
      <c r="M1050" s="78">
        <v>1144169.4702030655</v>
      </c>
      <c r="N1050" s="78" t="s">
        <v>1041</v>
      </c>
      <c r="O1050" s="25">
        <f t="shared" si="29"/>
        <v>5.5306281701131388E-2</v>
      </c>
    </row>
    <row r="1051" spans="1:15">
      <c r="A1051" s="77">
        <v>346.90523289386778</v>
      </c>
      <c r="B1051" s="77">
        <v>347.09599214321145</v>
      </c>
      <c r="C1051" s="77">
        <v>340.39080452878267</v>
      </c>
      <c r="D1051" s="77">
        <v>341.88826463613015</v>
      </c>
      <c r="E1051" s="77">
        <v>3423227.9810645427</v>
      </c>
      <c r="F1051" s="77" t="s">
        <v>1042</v>
      </c>
      <c r="G1051" s="25">
        <f t="shared" si="28"/>
        <v>1.4674292090947283E-2</v>
      </c>
      <c r="I1051" s="78">
        <v>198.63318825458998</v>
      </c>
      <c r="J1051" s="78">
        <v>199.00248524336999</v>
      </c>
      <c r="K1051" s="78">
        <v>189.19667835708</v>
      </c>
      <c r="L1051" s="78">
        <v>190.71273967944001</v>
      </c>
      <c r="M1051" s="78">
        <v>1150809.4918509561</v>
      </c>
      <c r="N1051" s="78" t="s">
        <v>1042</v>
      </c>
      <c r="O1051" s="25">
        <f t="shared" si="29"/>
        <v>4.1530778638401822E-2</v>
      </c>
    </row>
    <row r="1052" spans="1:15">
      <c r="A1052" s="77">
        <v>340.63879155292938</v>
      </c>
      <c r="B1052" s="77">
        <v>342.75145023941013</v>
      </c>
      <c r="C1052" s="77">
        <v>339.40839439466293</v>
      </c>
      <c r="D1052" s="77">
        <v>341.2301452258946</v>
      </c>
      <c r="E1052" s="77">
        <v>3685144.5076388125</v>
      </c>
      <c r="F1052" s="77" t="s">
        <v>1043</v>
      </c>
      <c r="G1052" s="25">
        <f t="shared" si="28"/>
        <v>-1.7330053667261591E-3</v>
      </c>
      <c r="I1052" s="78">
        <v>190.84879646477998</v>
      </c>
      <c r="J1052" s="78">
        <v>200.67404003468999</v>
      </c>
      <c r="K1052" s="78">
        <v>190.69330299582001</v>
      </c>
      <c r="L1052" s="78">
        <v>199.10938700327998</v>
      </c>
      <c r="M1052" s="78">
        <v>1114323.8436887208</v>
      </c>
      <c r="N1052" s="78" t="s">
        <v>1043</v>
      </c>
      <c r="O1052" s="25">
        <f t="shared" si="29"/>
        <v>-4.1487700117141757E-2</v>
      </c>
    </row>
    <row r="1053" spans="1:15">
      <c r="A1053" s="77">
        <v>343.10912383192948</v>
      </c>
      <c r="B1053" s="77">
        <v>350.67272806840458</v>
      </c>
      <c r="C1053" s="77">
        <v>342.96605439492168</v>
      </c>
      <c r="D1053" s="77">
        <v>349.72846978415362</v>
      </c>
      <c r="E1053" s="77">
        <v>4122267.21747811</v>
      </c>
      <c r="F1053" s="77" t="s">
        <v>1044</v>
      </c>
      <c r="G1053" s="25">
        <f t="shared" si="28"/>
        <v>-1.8927100662721186E-2</v>
      </c>
      <c r="I1053" s="78">
        <v>200.04234781704</v>
      </c>
      <c r="J1053" s="78">
        <v>206.45645341163998</v>
      </c>
      <c r="K1053" s="78">
        <v>198.73037167269001</v>
      </c>
      <c r="L1053" s="78">
        <v>201.74305763378999</v>
      </c>
      <c r="M1053" s="78">
        <v>1009995.3461093586</v>
      </c>
      <c r="N1053" s="78" t="s">
        <v>1044</v>
      </c>
      <c r="O1053" s="25">
        <f t="shared" si="29"/>
        <v>-8.4300785201598671E-3</v>
      </c>
    </row>
    <row r="1054" spans="1:15">
      <c r="A1054" s="77">
        <v>348.77467353743543</v>
      </c>
      <c r="B1054" s="77">
        <v>350.72995584320768</v>
      </c>
      <c r="C1054" s="77">
        <v>348.01163654006086</v>
      </c>
      <c r="D1054" s="77">
        <v>349.27064758572885</v>
      </c>
      <c r="E1054" s="77">
        <v>5181403.2787447572</v>
      </c>
      <c r="F1054" s="77" t="s">
        <v>1045</v>
      </c>
      <c r="G1054" s="25">
        <f t="shared" si="28"/>
        <v>-1.4200278543924361E-3</v>
      </c>
      <c r="I1054" s="78">
        <v>200.62544832563998</v>
      </c>
      <c r="J1054" s="78">
        <v>200.88784355451</v>
      </c>
      <c r="K1054" s="78">
        <v>192.92949344630097</v>
      </c>
      <c r="L1054" s="78">
        <v>195.02768344308001</v>
      </c>
      <c r="M1054" s="78">
        <v>1310738.0095329247</v>
      </c>
      <c r="N1054" s="78" t="s">
        <v>1045</v>
      </c>
      <c r="O1054" s="25">
        <f t="shared" si="29"/>
        <v>2.8702411799880201E-2</v>
      </c>
    </row>
    <row r="1055" spans="1:15">
      <c r="A1055" s="77">
        <v>349.30879943559762</v>
      </c>
      <c r="B1055" s="77">
        <v>349.78541142008265</v>
      </c>
      <c r="C1055" s="77">
        <v>344.76872930121908</v>
      </c>
      <c r="D1055" s="77">
        <v>344.96969417040259</v>
      </c>
      <c r="E1055" s="77">
        <v>3161220.2400403321</v>
      </c>
      <c r="F1055" s="77" t="s">
        <v>1046</v>
      </c>
      <c r="G1055" s="25">
        <f t="shared" si="28"/>
        <v>1.2578221619234942E-2</v>
      </c>
      <c r="I1055" s="78">
        <v>195.44557214091</v>
      </c>
      <c r="J1055" s="78">
        <v>195.96064425683997</v>
      </c>
      <c r="K1055" s="78">
        <v>185.83413209081999</v>
      </c>
      <c r="L1055" s="78">
        <v>186.31033083950999</v>
      </c>
      <c r="M1055" s="78">
        <v>1198252.7706545033</v>
      </c>
      <c r="N1055" s="78" t="s">
        <v>1046</v>
      </c>
      <c r="O1055" s="25">
        <f t="shared" si="29"/>
        <v>4.9032392676438441E-2</v>
      </c>
    </row>
    <row r="1056" spans="1:15">
      <c r="A1056" s="77">
        <v>347.95440876525777</v>
      </c>
      <c r="B1056" s="77">
        <v>349.23249573586008</v>
      </c>
      <c r="C1056" s="77">
        <v>343.93892656657425</v>
      </c>
      <c r="D1056" s="77">
        <v>347.6396560038408</v>
      </c>
      <c r="E1056" s="77">
        <v>4973242.4680022663</v>
      </c>
      <c r="F1056" s="77" t="s">
        <v>1047</v>
      </c>
      <c r="G1056" s="25">
        <f t="shared" si="28"/>
        <v>9.0539947322199055E-4</v>
      </c>
      <c r="I1056" s="78">
        <v>188.29287256875</v>
      </c>
      <c r="J1056" s="78">
        <v>197.9333704608519</v>
      </c>
      <c r="K1056" s="78">
        <v>184.71652278266998</v>
      </c>
      <c r="L1056" s="78">
        <v>197.54473397187002</v>
      </c>
      <c r="M1056" s="78">
        <v>2556235.4654409918</v>
      </c>
      <c r="N1056" s="78" t="s">
        <v>1047</v>
      </c>
      <c r="O1056" s="25">
        <f t="shared" si="29"/>
        <v>-4.6834259851429194E-2</v>
      </c>
    </row>
    <row r="1057" spans="1:15">
      <c r="A1057" s="77">
        <v>346.65724586972107</v>
      </c>
      <c r="B1057" s="77">
        <v>346.71447364452416</v>
      </c>
      <c r="C1057" s="77">
        <v>343.04235809465922</v>
      </c>
      <c r="D1057" s="77">
        <v>343.7577052796978</v>
      </c>
      <c r="E1057" s="77">
        <v>5987161.3247051556</v>
      </c>
      <c r="F1057" s="77" t="s">
        <v>1048</v>
      </c>
      <c r="G1057" s="25">
        <f t="shared" si="28"/>
        <v>8.4348381010515006E-3</v>
      </c>
      <c r="I1057" s="78">
        <v>198.30276463305</v>
      </c>
      <c r="J1057" s="78">
        <v>199.12872650348189</v>
      </c>
      <c r="K1057" s="78">
        <v>189.38132685146999</v>
      </c>
      <c r="L1057" s="78">
        <v>191.54851707509999</v>
      </c>
      <c r="M1057" s="78">
        <v>2561273.3619213998</v>
      </c>
      <c r="N1057" s="78" t="s">
        <v>1048</v>
      </c>
      <c r="O1057" s="25">
        <f t="shared" si="29"/>
        <v>3.5261288685946246E-2</v>
      </c>
    </row>
    <row r="1058" spans="1:15">
      <c r="A1058" s="77">
        <v>342.28885905975181</v>
      </c>
      <c r="B1058" s="77">
        <v>342.36516275948924</v>
      </c>
      <c r="C1058" s="77">
        <v>338.55951573508372</v>
      </c>
      <c r="D1058" s="77">
        <v>339.39885643219571</v>
      </c>
      <c r="E1058" s="77">
        <v>3665058.4566966761</v>
      </c>
      <c r="F1058" s="77" t="s">
        <v>1049</v>
      </c>
      <c r="G1058" s="25">
        <f t="shared" si="28"/>
        <v>8.5150629496404395E-3</v>
      </c>
      <c r="I1058" s="78">
        <v>188.97315649544998</v>
      </c>
      <c r="J1058" s="78">
        <v>194.0363153950419</v>
      </c>
      <c r="K1058" s="78">
        <v>176.87382094199998</v>
      </c>
      <c r="L1058" s="78">
        <v>180.96524284400999</v>
      </c>
      <c r="M1058" s="78">
        <v>4170558.187024706</v>
      </c>
      <c r="N1058" s="78" t="s">
        <v>1049</v>
      </c>
      <c r="O1058" s="25">
        <f t="shared" si="29"/>
        <v>4.4251114333279551E-2</v>
      </c>
    </row>
    <row r="1059" spans="1:15">
      <c r="A1059" s="77">
        <v>339.86621659308764</v>
      </c>
      <c r="B1059" s="77">
        <v>345.01671632536579</v>
      </c>
      <c r="C1059" s="77">
        <v>339.76263432069408</v>
      </c>
      <c r="D1059" s="77">
        <v>342.1553275852113</v>
      </c>
      <c r="E1059" s="77">
        <v>3958205.9721771139</v>
      </c>
      <c r="F1059" s="77" t="s">
        <v>1050</v>
      </c>
      <c r="G1059" s="25">
        <f t="shared" si="28"/>
        <v>-6.6902684470214746E-3</v>
      </c>
      <c r="I1059" s="78">
        <v>201.47094406310998</v>
      </c>
      <c r="J1059" s="78">
        <v>205.01813882376001</v>
      </c>
      <c r="K1059" s="78">
        <v>198.71093498906998</v>
      </c>
      <c r="L1059" s="78">
        <v>199.77995258816998</v>
      </c>
      <c r="M1059" s="78">
        <v>1112425.3716694494</v>
      </c>
      <c r="N1059" s="78" t="s">
        <v>1050</v>
      </c>
      <c r="O1059" s="25">
        <f t="shared" si="29"/>
        <v>8.4642700783188474E-3</v>
      </c>
    </row>
    <row r="1060" spans="1:15">
      <c r="A1060" s="77">
        <v>340.11420361723435</v>
      </c>
      <c r="B1060" s="77">
        <v>341.14430356369002</v>
      </c>
      <c r="C1060" s="77">
        <v>332.62680770087201</v>
      </c>
      <c r="D1060" s="77">
        <v>335.34522238364349</v>
      </c>
      <c r="E1060" s="77">
        <v>3632617.5657763504</v>
      </c>
      <c r="F1060" s="77" t="s">
        <v>1051</v>
      </c>
      <c r="G1060" s="25">
        <f t="shared" si="28"/>
        <v>1.4221109815409916E-2</v>
      </c>
      <c r="I1060" s="78">
        <v>196.18416611846999</v>
      </c>
      <c r="J1060" s="78">
        <v>198.81783674898</v>
      </c>
      <c r="K1060" s="78">
        <v>185.35793334213</v>
      </c>
      <c r="L1060" s="78">
        <v>198.81783674898</v>
      </c>
      <c r="M1060" s="78">
        <v>1567817.874477498</v>
      </c>
      <c r="N1060" s="78" t="s">
        <v>1051</v>
      </c>
      <c r="O1060" s="25">
        <f t="shared" si="29"/>
        <v>-1.324665167660577E-2</v>
      </c>
    </row>
    <row r="1061" spans="1:15">
      <c r="A1061" s="77">
        <v>332.55059938075925</v>
      </c>
      <c r="B1061" s="77">
        <v>334.59172334873614</v>
      </c>
      <c r="C1061" s="77">
        <v>331.97832163272835</v>
      </c>
      <c r="D1061" s="77">
        <v>334.52495761146588</v>
      </c>
      <c r="E1061" s="77">
        <v>3372353.3837205488</v>
      </c>
      <c r="F1061" s="77" t="s">
        <v>1052</v>
      </c>
      <c r="G1061" s="25">
        <f t="shared" si="28"/>
        <v>-5.9019758788811938E-3</v>
      </c>
      <c r="I1061" s="78">
        <v>195.48444550815</v>
      </c>
      <c r="J1061" s="78">
        <v>198.07924277141998</v>
      </c>
      <c r="K1061" s="78">
        <v>190.80992309754001</v>
      </c>
      <c r="L1061" s="78">
        <v>193.0062683466</v>
      </c>
      <c r="M1061" s="78">
        <v>973936.72552869387</v>
      </c>
      <c r="N1061" s="78" t="s">
        <v>1052</v>
      </c>
      <c r="O1061" s="25">
        <f t="shared" si="29"/>
        <v>1.2839879154078693E-2</v>
      </c>
    </row>
    <row r="1062" spans="1:15">
      <c r="A1062" s="77">
        <v>336.22271493062419</v>
      </c>
      <c r="B1062" s="77">
        <v>338.18133552325997</v>
      </c>
      <c r="C1062" s="77">
        <v>333.06564935398706</v>
      </c>
      <c r="D1062" s="77">
        <v>335.8316584694698</v>
      </c>
      <c r="E1062" s="77">
        <v>3270181.6669253637</v>
      </c>
      <c r="F1062" s="77" t="s">
        <v>1053</v>
      </c>
      <c r="G1062" s="25">
        <f t="shared" si="28"/>
        <v>1.1644419199088318E-3</v>
      </c>
      <c r="I1062" s="78">
        <v>196.90332341241</v>
      </c>
      <c r="J1062" s="78">
        <v>202.35531316781999</v>
      </c>
      <c r="K1062" s="78">
        <v>195.34207180063351</v>
      </c>
      <c r="L1062" s="78">
        <v>200.30474304591002</v>
      </c>
      <c r="M1062" s="78">
        <v>853016.92017766146</v>
      </c>
      <c r="N1062" s="78" t="s">
        <v>1053</v>
      </c>
      <c r="O1062" s="25">
        <f t="shared" si="29"/>
        <v>-1.698122361845622E-2</v>
      </c>
    </row>
    <row r="1063" spans="1:15">
      <c r="A1063" s="77">
        <v>333.8191483888944</v>
      </c>
      <c r="B1063" s="77">
        <v>338.63801316618867</v>
      </c>
      <c r="C1063" s="77">
        <v>331.14851889808352</v>
      </c>
      <c r="D1063" s="77">
        <v>336.86271221217208</v>
      </c>
      <c r="E1063" s="77">
        <v>5197476.9423314519</v>
      </c>
      <c r="F1063" s="77" t="s">
        <v>1054</v>
      </c>
      <c r="G1063" s="25">
        <f t="shared" si="28"/>
        <v>-9.0350273655717128E-3</v>
      </c>
      <c r="I1063" s="78">
        <v>195.21233193747</v>
      </c>
      <c r="J1063" s="78">
        <v>200.49910988210999</v>
      </c>
      <c r="K1063" s="78">
        <v>193.24922689184999</v>
      </c>
      <c r="L1063" s="78">
        <v>199.15797871232999</v>
      </c>
      <c r="M1063" s="78">
        <v>938892.68132255587</v>
      </c>
      <c r="N1063" s="78" t="s">
        <v>1054</v>
      </c>
      <c r="O1063" s="25">
        <f t="shared" si="29"/>
        <v>-1.9811643000048784E-2</v>
      </c>
    </row>
    <row r="1064" spans="1:15">
      <c r="A1064" s="77">
        <v>335.10677332196394</v>
      </c>
      <c r="B1064" s="77">
        <v>335.24984275897168</v>
      </c>
      <c r="C1064" s="77">
        <v>331.69552104557641</v>
      </c>
      <c r="D1064" s="77">
        <v>333.62838913955079</v>
      </c>
      <c r="E1064" s="77">
        <v>5583422.0551022384</v>
      </c>
      <c r="F1064" s="77" t="s">
        <v>1055</v>
      </c>
      <c r="G1064" s="25">
        <f t="shared" si="28"/>
        <v>4.4312301666713516E-3</v>
      </c>
      <c r="I1064" s="78">
        <v>196.50487139819998</v>
      </c>
      <c r="J1064" s="78">
        <v>196.69923823439999</v>
      </c>
      <c r="K1064" s="78">
        <v>192.02471582378999</v>
      </c>
      <c r="L1064" s="78">
        <v>193.67683393148999</v>
      </c>
      <c r="M1064" s="78">
        <v>1030471.0614001341</v>
      </c>
      <c r="N1064" s="78" t="s">
        <v>1055</v>
      </c>
      <c r="O1064" s="25">
        <f t="shared" si="29"/>
        <v>1.4601836519644751E-2</v>
      </c>
    </row>
    <row r="1065" spans="1:15">
      <c r="A1065" s="77">
        <v>336.03195568128058</v>
      </c>
      <c r="B1065" s="77">
        <v>336.80929962235587</v>
      </c>
      <c r="C1065" s="77">
        <v>332.3693780938828</v>
      </c>
      <c r="D1065" s="77">
        <v>332.7890484424388</v>
      </c>
      <c r="E1065" s="77">
        <v>4284536.6754808435</v>
      </c>
      <c r="F1065" s="77" t="s">
        <v>1056</v>
      </c>
      <c r="G1065" s="25">
        <f t="shared" si="28"/>
        <v>9.7446332865207541E-3</v>
      </c>
      <c r="I1065" s="78">
        <v>195.96064425683997</v>
      </c>
      <c r="J1065" s="78">
        <v>199.53699404291999</v>
      </c>
      <c r="K1065" s="78">
        <v>185.63976525462002</v>
      </c>
      <c r="L1065" s="78">
        <v>187.68061703472</v>
      </c>
      <c r="M1065" s="78">
        <v>1264957.5658421917</v>
      </c>
      <c r="N1065" s="78" t="s">
        <v>1056</v>
      </c>
      <c r="O1065" s="25">
        <f t="shared" si="29"/>
        <v>4.4117647058823373E-2</v>
      </c>
    </row>
    <row r="1066" spans="1:15">
      <c r="A1066" s="77">
        <v>330.17564672643101</v>
      </c>
      <c r="B1066" s="77">
        <v>335.92703809414155</v>
      </c>
      <c r="C1066" s="77">
        <v>329.91812173981702</v>
      </c>
      <c r="D1066" s="77">
        <v>334.22928077498324</v>
      </c>
      <c r="E1066" s="77">
        <v>4680920.0763391089</v>
      </c>
      <c r="F1066" s="77" t="s">
        <v>1057</v>
      </c>
      <c r="G1066" s="25">
        <f t="shared" si="28"/>
        <v>-1.2128303179042232E-2</v>
      </c>
      <c r="I1066" s="78">
        <v>185.43568007661</v>
      </c>
      <c r="J1066" s="78">
        <v>186.8525171290899</v>
      </c>
      <c r="K1066" s="78">
        <v>182.79229110429</v>
      </c>
      <c r="L1066" s="78">
        <v>183.58919513270999</v>
      </c>
      <c r="M1066" s="78">
        <v>784598.86975306959</v>
      </c>
      <c r="N1066" s="78" t="s">
        <v>1057</v>
      </c>
      <c r="O1066" s="25">
        <f t="shared" si="29"/>
        <v>1.0057699433592804E-2</v>
      </c>
    </row>
    <row r="1067" spans="1:15">
      <c r="A1067" s="77">
        <v>334.27697058731917</v>
      </c>
      <c r="B1067" s="77">
        <v>335.77443069466671</v>
      </c>
      <c r="C1067" s="77">
        <v>332.7318206676357</v>
      </c>
      <c r="D1067" s="77">
        <v>335.50736774558555</v>
      </c>
      <c r="E1067" s="77">
        <v>4511671.1402529739</v>
      </c>
      <c r="F1067" s="77" t="s">
        <v>1058</v>
      </c>
      <c r="G1067" s="25">
        <f t="shared" si="28"/>
        <v>-3.6672731407776382E-3</v>
      </c>
      <c r="I1067" s="78">
        <v>183.45313834737001</v>
      </c>
      <c r="J1067" s="78">
        <v>185.04694640420999</v>
      </c>
      <c r="K1067" s="78">
        <v>180.51819912074998</v>
      </c>
      <c r="L1067" s="78">
        <v>184.41525418655999</v>
      </c>
      <c r="M1067" s="78">
        <v>844217.06505093595</v>
      </c>
      <c r="N1067" s="78" t="s">
        <v>1058</v>
      </c>
      <c r="O1067" s="25">
        <f t="shared" si="29"/>
        <v>-5.2171163575041035E-3</v>
      </c>
    </row>
    <row r="1068" spans="1:15">
      <c r="A1068" s="77">
        <v>335.61228533272458</v>
      </c>
      <c r="B1068" s="77">
        <v>335.68658606034393</v>
      </c>
      <c r="C1068" s="77">
        <v>331.30112629755843</v>
      </c>
      <c r="D1068" s="77">
        <v>332.80812436737313</v>
      </c>
      <c r="E1068" s="77">
        <v>4793456.6902850391</v>
      </c>
      <c r="F1068" s="77" t="s">
        <v>1059</v>
      </c>
      <c r="G1068" s="25">
        <f t="shared" si="28"/>
        <v>8.4257587481730845E-3</v>
      </c>
      <c r="I1068" s="78">
        <v>185.85356877443999</v>
      </c>
      <c r="J1068" s="78">
        <v>190.270555127085</v>
      </c>
      <c r="K1068" s="78">
        <v>185.07610142964</v>
      </c>
      <c r="L1068" s="78">
        <v>189.54653866223998</v>
      </c>
      <c r="M1068" s="78">
        <v>760121.44298102229</v>
      </c>
      <c r="N1068" s="78" t="s">
        <v>1059</v>
      </c>
      <c r="O1068" s="25">
        <f t="shared" si="29"/>
        <v>-1.9483182936833376E-2</v>
      </c>
    </row>
    <row r="1069" spans="1:15">
      <c r="A1069" s="77">
        <v>333.74284468915698</v>
      </c>
      <c r="B1069" s="77">
        <v>335.97472790647748</v>
      </c>
      <c r="C1069" s="77">
        <v>328.43019959493671</v>
      </c>
      <c r="D1069" s="77">
        <v>335.71720291986361</v>
      </c>
      <c r="E1069" s="77">
        <v>6775276.1894747065</v>
      </c>
      <c r="F1069" s="77" t="s">
        <v>1060</v>
      </c>
      <c r="G1069" s="25">
        <f t="shared" si="28"/>
        <v>-5.8810159668163386E-3</v>
      </c>
      <c r="I1069" s="78">
        <v>190.26569595618</v>
      </c>
      <c r="J1069" s="78">
        <v>190.60583791952999</v>
      </c>
      <c r="K1069" s="78">
        <v>185.40652505117998</v>
      </c>
      <c r="L1069" s="78">
        <v>189.21611504069998</v>
      </c>
      <c r="M1069" s="78">
        <v>878954.47258404258</v>
      </c>
      <c r="N1069" s="78" t="s">
        <v>1060</v>
      </c>
      <c r="O1069" s="25">
        <f t="shared" si="29"/>
        <v>5.546995377504027E-3</v>
      </c>
    </row>
    <row r="1070" spans="1:15">
      <c r="A1070" s="77">
        <v>338.50228796028063</v>
      </c>
      <c r="B1070" s="77">
        <v>339.50530009332948</v>
      </c>
      <c r="C1070" s="77">
        <v>335.45013997078246</v>
      </c>
      <c r="D1070" s="77">
        <v>335.92703809414155</v>
      </c>
      <c r="E1070" s="77">
        <v>4018099.2672037603</v>
      </c>
      <c r="F1070" s="77" t="s">
        <v>1061</v>
      </c>
      <c r="G1070" s="25">
        <f t="shared" si="28"/>
        <v>7.6660988074956915E-3</v>
      </c>
      <c r="I1070" s="78">
        <v>191.89837738026</v>
      </c>
      <c r="J1070" s="78">
        <v>192.35513944533</v>
      </c>
      <c r="K1070" s="78">
        <v>185.06638308782999</v>
      </c>
      <c r="L1070" s="78">
        <v>186.35892254855997</v>
      </c>
      <c r="M1070" s="78">
        <v>1085543.2136729918</v>
      </c>
      <c r="N1070" s="78" t="s">
        <v>1061</v>
      </c>
      <c r="O1070" s="25">
        <f t="shared" si="29"/>
        <v>2.9724655819774792E-2</v>
      </c>
    </row>
    <row r="1071" spans="1:15">
      <c r="A1071" s="77">
        <v>333.5139335899446</v>
      </c>
      <c r="B1071" s="77">
        <v>334.93985897878827</v>
      </c>
      <c r="C1071" s="77">
        <v>331.1656872305245</v>
      </c>
      <c r="D1071" s="77">
        <v>332.35030216894842</v>
      </c>
      <c r="E1071" s="77">
        <v>5313723.9923502607</v>
      </c>
      <c r="F1071" s="77" t="s">
        <v>1062</v>
      </c>
      <c r="G1071" s="25">
        <f t="shared" si="28"/>
        <v>3.5012196871861967E-3</v>
      </c>
      <c r="I1071" s="78">
        <v>186.06737229426</v>
      </c>
      <c r="J1071" s="78">
        <v>189.12864996441002</v>
      </c>
      <c r="K1071" s="78">
        <v>183.04982716225499</v>
      </c>
      <c r="L1071" s="78">
        <v>184.73595946628998</v>
      </c>
      <c r="M1071" s="78">
        <v>1191044.7508740178</v>
      </c>
      <c r="N1071" s="78" t="s">
        <v>1062</v>
      </c>
      <c r="O1071" s="25">
        <f t="shared" si="29"/>
        <v>7.2071124204324821E-3</v>
      </c>
    </row>
    <row r="1072" spans="1:15">
      <c r="A1072" s="77">
        <v>333.00680014123066</v>
      </c>
      <c r="B1072" s="77">
        <v>336.35765674309073</v>
      </c>
      <c r="C1072" s="77">
        <v>331.5259683285106</v>
      </c>
      <c r="D1072" s="77">
        <v>336.15831399907074</v>
      </c>
      <c r="E1072" s="77">
        <v>5834587.5377499117</v>
      </c>
      <c r="F1072" s="77" t="s">
        <v>1063</v>
      </c>
      <c r="G1072" s="25">
        <f t="shared" si="28"/>
        <v>-9.3750882444300077E-3</v>
      </c>
      <c r="I1072" s="78">
        <v>186.19371073778998</v>
      </c>
      <c r="J1072" s="78">
        <v>193.817749887735</v>
      </c>
      <c r="K1072" s="78">
        <v>185.38222919665498</v>
      </c>
      <c r="L1072" s="78">
        <v>193.817749887735</v>
      </c>
      <c r="M1072" s="78">
        <v>1238610.4785503526</v>
      </c>
      <c r="N1072" s="78" t="s">
        <v>1063</v>
      </c>
      <c r="O1072" s="25">
        <f t="shared" si="29"/>
        <v>-3.9336124551859086E-2</v>
      </c>
    </row>
    <row r="1073" spans="1:15">
      <c r="A1073" s="77">
        <v>335.90201618533075</v>
      </c>
      <c r="B1073" s="77">
        <v>338.72129213647082</v>
      </c>
      <c r="C1073" s="77">
        <v>333.93706627999069</v>
      </c>
      <c r="D1073" s="77">
        <v>337.6002265141488</v>
      </c>
      <c r="E1073" s="77">
        <v>4775421.0702771358</v>
      </c>
      <c r="F1073" s="77" t="s">
        <v>1064</v>
      </c>
      <c r="G1073" s="25">
        <f t="shared" si="28"/>
        <v>-5.0302404899211783E-3</v>
      </c>
      <c r="I1073" s="78">
        <v>193.91979247673999</v>
      </c>
      <c r="J1073" s="78">
        <v>200.37277143858</v>
      </c>
      <c r="K1073" s="78">
        <v>192.60781633239</v>
      </c>
      <c r="L1073" s="78">
        <v>200.197841286</v>
      </c>
      <c r="M1073" s="78">
        <v>2410692.1178562664</v>
      </c>
      <c r="N1073" s="78" t="s">
        <v>1064</v>
      </c>
      <c r="O1073" s="25">
        <f t="shared" si="29"/>
        <v>-3.1359223300970962E-2</v>
      </c>
    </row>
    <row r="1074" spans="1:15">
      <c r="A1074" s="77">
        <v>339.95531864707084</v>
      </c>
      <c r="B1074" s="77">
        <v>344.80599208489105</v>
      </c>
      <c r="C1074" s="77">
        <v>338.37006920653079</v>
      </c>
      <c r="D1074" s="77">
        <v>344.075068690151</v>
      </c>
      <c r="E1074" s="77">
        <v>5400838.2662373148</v>
      </c>
      <c r="F1074" s="77" t="s">
        <v>1065</v>
      </c>
      <c r="G1074" s="25">
        <f t="shared" si="28"/>
        <v>-1.1973404695561074E-2</v>
      </c>
      <c r="I1074" s="78">
        <v>201.61671919026</v>
      </c>
      <c r="J1074" s="78">
        <v>204.05602298456998</v>
      </c>
      <c r="K1074" s="78">
        <v>196.61177315811</v>
      </c>
      <c r="L1074" s="78">
        <v>200.20755962780999</v>
      </c>
      <c r="M1074" s="78">
        <v>1446277.592905533</v>
      </c>
      <c r="N1074" s="78" t="s">
        <v>1065</v>
      </c>
      <c r="O1074" s="25">
        <f t="shared" si="29"/>
        <v>7.0384932770255482E-3</v>
      </c>
    </row>
    <row r="1075" spans="1:15">
      <c r="A1075" s="77">
        <v>348.52705663993117</v>
      </c>
      <c r="B1075" s="77">
        <v>353.88083319361135</v>
      </c>
      <c r="C1075" s="77">
        <v>345.76473575851105</v>
      </c>
      <c r="D1075" s="77">
        <v>350.36860389421122</v>
      </c>
      <c r="E1075" s="77">
        <v>4958766.6451546038</v>
      </c>
      <c r="F1075" s="77" t="s">
        <v>1066</v>
      </c>
      <c r="G1075" s="25">
        <f t="shared" si="28"/>
        <v>-5.2560281766458328E-3</v>
      </c>
      <c r="I1075" s="78">
        <v>204.06574132637999</v>
      </c>
      <c r="J1075" s="78">
        <v>206.65082024783999</v>
      </c>
      <c r="K1075" s="78">
        <v>200.14924957694998</v>
      </c>
      <c r="L1075" s="78">
        <v>203.58954257769</v>
      </c>
      <c r="M1075" s="78">
        <v>1285596.8892907256</v>
      </c>
      <c r="N1075" s="78" t="s">
        <v>1066</v>
      </c>
      <c r="O1075" s="25">
        <f t="shared" si="29"/>
        <v>2.3390137954077961E-3</v>
      </c>
    </row>
    <row r="1076" spans="1:15">
      <c r="A1076" s="77">
        <v>350.64388673119117</v>
      </c>
      <c r="B1076" s="77">
        <v>358.04804579479145</v>
      </c>
      <c r="C1076" s="77">
        <v>348.1862754727731</v>
      </c>
      <c r="D1076" s="77">
        <v>357.97210570183148</v>
      </c>
      <c r="E1076" s="77">
        <v>6491248.3088430529</v>
      </c>
      <c r="F1076" s="77" t="s">
        <v>1067</v>
      </c>
      <c r="G1076" s="25">
        <f t="shared" si="28"/>
        <v>-2.0471480469889669E-2</v>
      </c>
      <c r="I1076" s="78">
        <v>204.82377198755998</v>
      </c>
      <c r="J1076" s="78">
        <v>214.3962414869919</v>
      </c>
      <c r="K1076" s="78">
        <v>201.98601617904001</v>
      </c>
      <c r="L1076" s="78">
        <v>210.71308712441999</v>
      </c>
      <c r="M1076" s="78">
        <v>1206769.6556970556</v>
      </c>
      <c r="N1076" s="78" t="s">
        <v>1067</v>
      </c>
      <c r="O1076" s="25">
        <f t="shared" si="29"/>
        <v>-2.7949451157642358E-2</v>
      </c>
    </row>
    <row r="1077" spans="1:15">
      <c r="A1077" s="77">
        <v>348.07141608217114</v>
      </c>
      <c r="B1077" s="77">
        <v>348.07141608217114</v>
      </c>
      <c r="C1077" s="77">
        <v>343.23023515597095</v>
      </c>
      <c r="D1077" s="77">
        <v>343.89471096937098</v>
      </c>
      <c r="E1077" s="77">
        <v>3103726.5140581476</v>
      </c>
      <c r="F1077" s="77" t="s">
        <v>1068</v>
      </c>
      <c r="G1077" s="25">
        <f t="shared" si="28"/>
        <v>1.2145301976371981E-2</v>
      </c>
      <c r="I1077" s="78">
        <v>202.64686342211999</v>
      </c>
      <c r="J1077" s="78">
        <v>202.73918766931502</v>
      </c>
      <c r="K1077" s="78">
        <v>195.20358542984098</v>
      </c>
      <c r="L1077" s="78">
        <v>195.23176862108997</v>
      </c>
      <c r="M1077" s="78">
        <v>1398161.3597927156</v>
      </c>
      <c r="N1077" s="78" t="s">
        <v>1068</v>
      </c>
      <c r="O1077" s="25">
        <f t="shared" si="29"/>
        <v>3.798098461844801E-2</v>
      </c>
    </row>
    <row r="1078" spans="1:15">
      <c r="A1078" s="77">
        <v>343.17328008625094</v>
      </c>
      <c r="B1078" s="77">
        <v>346.89453449152347</v>
      </c>
      <c r="C1078" s="77">
        <v>343.00269965243956</v>
      </c>
      <c r="D1078" s="77">
        <v>344.57817180601103</v>
      </c>
      <c r="E1078" s="77">
        <v>4499710.0567150675</v>
      </c>
      <c r="F1078" s="77" t="s">
        <v>1069</v>
      </c>
      <c r="G1078" s="25">
        <f t="shared" si="28"/>
        <v>-4.077134986225972E-3</v>
      </c>
      <c r="I1078" s="78">
        <v>199.82854429721999</v>
      </c>
      <c r="J1078" s="78">
        <v>206.23293155000999</v>
      </c>
      <c r="K1078" s="78">
        <v>199.65361414463999</v>
      </c>
      <c r="L1078" s="78">
        <v>202.48165161134997</v>
      </c>
      <c r="M1078" s="78">
        <v>922659.45933013037</v>
      </c>
      <c r="N1078" s="78" t="s">
        <v>1069</v>
      </c>
      <c r="O1078" s="25">
        <f t="shared" si="29"/>
        <v>-1.3102951763858783E-2</v>
      </c>
    </row>
    <row r="1079" spans="1:15">
      <c r="A1079" s="77">
        <v>345.69828817717104</v>
      </c>
      <c r="B1079" s="77">
        <v>346.61906180431106</v>
      </c>
      <c r="C1079" s="77">
        <v>343.24922017921102</v>
      </c>
      <c r="D1079" s="77">
        <v>344.70157445707099</v>
      </c>
      <c r="E1079" s="77">
        <v>3797220.5295018484</v>
      </c>
      <c r="F1079" s="77" t="s">
        <v>1070</v>
      </c>
      <c r="G1079" s="25">
        <f t="shared" si="28"/>
        <v>2.8915264505824378E-3</v>
      </c>
      <c r="I1079" s="78">
        <v>204.49334836601997</v>
      </c>
      <c r="J1079" s="78">
        <v>207.54821193057541</v>
      </c>
      <c r="K1079" s="78">
        <v>201.6555925575</v>
      </c>
      <c r="L1079" s="78">
        <v>204.89180038022999</v>
      </c>
      <c r="M1079" s="78">
        <v>1127737.6546606566</v>
      </c>
      <c r="N1079" s="78" t="s">
        <v>1070</v>
      </c>
      <c r="O1079" s="25">
        <f t="shared" si="29"/>
        <v>-1.9446947777831403E-3</v>
      </c>
    </row>
    <row r="1080" spans="1:15">
      <c r="A1080" s="77">
        <v>342.99292236547097</v>
      </c>
      <c r="B1080" s="77">
        <v>345.15721501483102</v>
      </c>
      <c r="C1080" s="77">
        <v>342.02468618023096</v>
      </c>
      <c r="D1080" s="77">
        <v>342.72713204011097</v>
      </c>
      <c r="E1080" s="77">
        <v>3516431.8292400399</v>
      </c>
      <c r="F1080" s="77" t="s">
        <v>1071</v>
      </c>
      <c r="G1080" s="25">
        <f t="shared" si="28"/>
        <v>7.7551585652946287E-4</v>
      </c>
      <c r="I1080" s="78">
        <v>202.64686342211999</v>
      </c>
      <c r="J1080" s="78">
        <v>205.17363229271999</v>
      </c>
      <c r="K1080" s="78">
        <v>200.53798324934999</v>
      </c>
      <c r="L1080" s="78">
        <v>200.64488500926001</v>
      </c>
      <c r="M1080" s="78">
        <v>979426.34516165475</v>
      </c>
      <c r="N1080" s="78" t="s">
        <v>1071</v>
      </c>
      <c r="O1080" s="25">
        <f t="shared" si="29"/>
        <v>9.9777196551389391E-3</v>
      </c>
    </row>
    <row r="1081" spans="1:15">
      <c r="A1081" s="77">
        <v>343.65739817887095</v>
      </c>
      <c r="B1081" s="77">
        <v>348.95421966283118</v>
      </c>
      <c r="C1081" s="77">
        <v>341.66491998983292</v>
      </c>
      <c r="D1081" s="77">
        <v>348.4606090585911</v>
      </c>
      <c r="E1081" s="77">
        <v>4120131.9066701075</v>
      </c>
      <c r="F1081" s="77" t="s">
        <v>1072</v>
      </c>
      <c r="G1081" s="25">
        <f t="shared" si="28"/>
        <v>-1.3784085646571742E-2</v>
      </c>
      <c r="I1081" s="78">
        <v>200.17840460237997</v>
      </c>
      <c r="J1081" s="78">
        <v>208.47786850812</v>
      </c>
      <c r="K1081" s="78">
        <v>199.07051363604</v>
      </c>
      <c r="L1081" s="78">
        <v>206.64110190603</v>
      </c>
      <c r="M1081" s="78">
        <v>780051.79774593667</v>
      </c>
      <c r="N1081" s="78" t="s">
        <v>1072</v>
      </c>
      <c r="O1081" s="25">
        <f t="shared" si="29"/>
        <v>-3.1274984715233156E-2</v>
      </c>
    </row>
    <row r="1082" spans="1:15">
      <c r="A1082" s="77">
        <v>348.69792184909113</v>
      </c>
      <c r="B1082" s="77">
        <v>353.3017899847913</v>
      </c>
      <c r="C1082" s="77">
        <v>347.41643278039112</v>
      </c>
      <c r="D1082" s="77">
        <v>352.43797142737122</v>
      </c>
      <c r="E1082" s="77">
        <v>3905176.1518938034</v>
      </c>
      <c r="F1082" s="77" t="s">
        <v>1073</v>
      </c>
      <c r="G1082" s="25">
        <f t="shared" si="28"/>
        <v>-1.061193708252528E-2</v>
      </c>
      <c r="I1082" s="78">
        <v>207.83645794866001</v>
      </c>
      <c r="J1082" s="78">
        <v>214.47408540488999</v>
      </c>
      <c r="K1082" s="78">
        <v>204.55953027374611</v>
      </c>
      <c r="L1082" s="78">
        <v>209.94533812142998</v>
      </c>
      <c r="M1082" s="78">
        <v>1430841.8320594139</v>
      </c>
      <c r="N1082" s="78" t="s">
        <v>1073</v>
      </c>
      <c r="O1082" s="25">
        <f t="shared" si="29"/>
        <v>-1.0044901171133547E-2</v>
      </c>
    </row>
    <row r="1083" spans="1:15">
      <c r="A1083" s="77">
        <v>355.01993458801132</v>
      </c>
      <c r="B1083" s="77">
        <v>355.85527561057137</v>
      </c>
      <c r="C1083" s="77">
        <v>350.90018454493122</v>
      </c>
      <c r="D1083" s="77">
        <v>350.90018454493122</v>
      </c>
      <c r="E1083" s="77">
        <v>3788232.3919661264</v>
      </c>
      <c r="F1083" s="77" t="s">
        <v>1074</v>
      </c>
      <c r="G1083" s="25">
        <f t="shared" si="28"/>
        <v>1.1740518314126369E-2</v>
      </c>
      <c r="I1083" s="78">
        <v>212.59844543556</v>
      </c>
      <c r="J1083" s="78">
        <v>213.36619443855</v>
      </c>
      <c r="K1083" s="78">
        <v>205.05701219099998</v>
      </c>
      <c r="L1083" s="78">
        <v>209.22618082749</v>
      </c>
      <c r="M1083" s="78">
        <v>1118516.9458451062</v>
      </c>
      <c r="N1083" s="78" t="s">
        <v>1074</v>
      </c>
      <c r="O1083" s="25">
        <f t="shared" si="29"/>
        <v>1.6117794602628965E-2</v>
      </c>
    </row>
    <row r="1084" spans="1:15">
      <c r="A1084" s="77">
        <v>355.53253021549136</v>
      </c>
      <c r="B1084" s="77">
        <v>357.86768807401143</v>
      </c>
      <c r="C1084" s="77">
        <v>353.16889482211133</v>
      </c>
      <c r="D1084" s="77">
        <v>356.79503426095141</v>
      </c>
      <c r="E1084" s="77">
        <v>4855014.336026541</v>
      </c>
      <c r="F1084" s="77" t="s">
        <v>1075</v>
      </c>
      <c r="G1084" s="25">
        <f t="shared" ref="G1084:G1147" si="30">A1084/D1084-1</f>
        <v>-3.5384574453933837E-3</v>
      </c>
      <c r="I1084" s="78">
        <v>214.63929721566001</v>
      </c>
      <c r="J1084" s="78">
        <v>219.15832615730997</v>
      </c>
      <c r="K1084" s="78">
        <v>210.82484805523498</v>
      </c>
      <c r="L1084" s="78">
        <v>212.22914844677999</v>
      </c>
      <c r="M1084" s="78">
        <v>1435713.0334356907</v>
      </c>
      <c r="N1084" s="78" t="s">
        <v>1075</v>
      </c>
      <c r="O1084" s="25">
        <f t="shared" ref="O1084:O1147" si="31">I1084/L1084-1</f>
        <v>1.1356351314222968E-2</v>
      </c>
    </row>
    <row r="1085" spans="1:15">
      <c r="A1085" s="77">
        <v>355.48506765739137</v>
      </c>
      <c r="B1085" s="77">
        <v>355.57999277359136</v>
      </c>
      <c r="C1085" s="77">
        <v>343.29668273731096</v>
      </c>
      <c r="D1085" s="77">
        <v>345.00533482891103</v>
      </c>
      <c r="E1085" s="77">
        <v>5002713.9181946535</v>
      </c>
      <c r="F1085" s="77" t="s">
        <v>1076</v>
      </c>
      <c r="G1085" s="25">
        <f t="shared" si="30"/>
        <v>3.0375567478332588E-2</v>
      </c>
      <c r="I1085" s="78">
        <v>211.93759819248001</v>
      </c>
      <c r="J1085" s="78">
        <v>212.44295196659999</v>
      </c>
      <c r="K1085" s="78">
        <v>197.59332568091997</v>
      </c>
      <c r="L1085" s="78">
        <v>201.57784582301997</v>
      </c>
      <c r="M1085" s="78">
        <v>2592791.0843876773</v>
      </c>
      <c r="N1085" s="78" t="s">
        <v>1076</v>
      </c>
      <c r="O1085" s="25">
        <f t="shared" si="31"/>
        <v>5.1393308263427029E-2</v>
      </c>
    </row>
    <row r="1086" spans="1:15">
      <c r="A1086" s="77">
        <v>344.872439666231</v>
      </c>
      <c r="B1086" s="77">
        <v>346.64753933917109</v>
      </c>
      <c r="C1086" s="77">
        <v>343.13531003977101</v>
      </c>
      <c r="D1086" s="77">
        <v>345.46097538667107</v>
      </c>
      <c r="E1086" s="77">
        <v>2641840.3267647722</v>
      </c>
      <c r="F1086" s="77" t="s">
        <v>1077</v>
      </c>
      <c r="G1086" s="25">
        <f t="shared" si="30"/>
        <v>-1.7036243233590209E-3</v>
      </c>
      <c r="I1086" s="78">
        <v>202.69545513116998</v>
      </c>
      <c r="J1086" s="78">
        <v>211.49055446922</v>
      </c>
      <c r="K1086" s="78">
        <v>201.40291567044</v>
      </c>
      <c r="L1086" s="78">
        <v>209.65378786712998</v>
      </c>
      <c r="M1086" s="78">
        <v>1111369.6360099523</v>
      </c>
      <c r="N1086" s="78" t="s">
        <v>1077</v>
      </c>
      <c r="O1086" s="25">
        <f t="shared" si="31"/>
        <v>-3.3189635192138356E-2</v>
      </c>
    </row>
    <row r="1087" spans="1:15">
      <c r="A1087" s="77">
        <v>345.47996040991103</v>
      </c>
      <c r="B1087" s="77">
        <v>349.68514305757117</v>
      </c>
      <c r="C1087" s="77">
        <v>344.72055948031101</v>
      </c>
      <c r="D1087" s="77">
        <v>348.24228129133115</v>
      </c>
      <c r="E1087" s="77">
        <v>3747165.2839545179</v>
      </c>
      <c r="F1087" s="77" t="s">
        <v>1078</v>
      </c>
      <c r="G1087" s="25">
        <f t="shared" si="30"/>
        <v>-7.932181213542E-3</v>
      </c>
      <c r="I1087" s="78">
        <v>210.80055220071</v>
      </c>
      <c r="J1087" s="78">
        <v>213.80351981999999</v>
      </c>
      <c r="K1087" s="78">
        <v>209.10956072576997</v>
      </c>
      <c r="L1087" s="78">
        <v>211.19900421492</v>
      </c>
      <c r="M1087" s="78">
        <v>817606.55833528459</v>
      </c>
      <c r="N1087" s="78" t="s">
        <v>1078</v>
      </c>
      <c r="O1087" s="25">
        <f t="shared" si="31"/>
        <v>-1.8866188109699644E-3</v>
      </c>
    </row>
    <row r="1088" spans="1:15">
      <c r="A1088" s="77">
        <v>351.03307970761125</v>
      </c>
      <c r="B1088" s="77">
        <v>351.54567533509123</v>
      </c>
      <c r="C1088" s="77">
        <v>350.33063384773118</v>
      </c>
      <c r="D1088" s="77">
        <v>350.64388673119117</v>
      </c>
      <c r="E1088" s="77">
        <v>1499544.1217062788</v>
      </c>
      <c r="F1088" s="77" t="s">
        <v>1079</v>
      </c>
      <c r="G1088" s="25">
        <f t="shared" si="30"/>
        <v>1.1099380059018671E-3</v>
      </c>
      <c r="I1088" s="78">
        <v>212.82196729719001</v>
      </c>
      <c r="J1088" s="78">
        <v>215.82493491648</v>
      </c>
      <c r="K1088" s="78">
        <v>212.45267030841001</v>
      </c>
      <c r="L1088" s="78">
        <v>215.82493491648</v>
      </c>
      <c r="M1088" s="78">
        <v>483678.19242200541</v>
      </c>
      <c r="N1088" s="78" t="s">
        <v>1079</v>
      </c>
      <c r="O1088" s="25">
        <f t="shared" si="31"/>
        <v>-1.3913904899135354E-2</v>
      </c>
    </row>
    <row r="1089" spans="1:15">
      <c r="A1089" s="77">
        <v>351.07104975409118</v>
      </c>
      <c r="B1089" s="77">
        <v>351.56456543321502</v>
      </c>
      <c r="C1089" s="77">
        <v>348.39653460515609</v>
      </c>
      <c r="D1089" s="77">
        <v>348.57451919803111</v>
      </c>
      <c r="E1089" s="77">
        <v>2729371.4284649114</v>
      </c>
      <c r="F1089" s="77" t="s">
        <v>1080</v>
      </c>
      <c r="G1089" s="25">
        <f t="shared" si="30"/>
        <v>7.1621143215052641E-3</v>
      </c>
      <c r="I1089" s="78">
        <v>215.82493491648</v>
      </c>
      <c r="J1089" s="78">
        <v>217.12719271901997</v>
      </c>
      <c r="K1089" s="78">
        <v>213.00661579158</v>
      </c>
      <c r="L1089" s="78">
        <v>216.03873843630001</v>
      </c>
      <c r="M1089" s="78">
        <v>817310.21148349589</v>
      </c>
      <c r="N1089" s="78" t="s">
        <v>1080</v>
      </c>
      <c r="O1089" s="25">
        <f t="shared" si="31"/>
        <v>-9.8965362123260014E-4</v>
      </c>
    </row>
    <row r="1090" spans="1:15">
      <c r="A1090" s="77">
        <v>348.88777208149116</v>
      </c>
      <c r="B1090" s="77">
        <v>349.02066724417114</v>
      </c>
      <c r="C1090" s="77">
        <v>344.77751455003101</v>
      </c>
      <c r="D1090" s="77">
        <v>346.01154106063103</v>
      </c>
      <c r="E1090" s="77">
        <v>2439779.9999742596</v>
      </c>
      <c r="F1090" s="77" t="s">
        <v>1081</v>
      </c>
      <c r="G1090" s="25">
        <f t="shared" si="30"/>
        <v>8.3125291487202713E-3</v>
      </c>
      <c r="I1090" s="78">
        <v>215.91239999276999</v>
      </c>
      <c r="J1090" s="78">
        <v>218.00670265282497</v>
      </c>
      <c r="K1090" s="78">
        <v>212.90943237348</v>
      </c>
      <c r="L1090" s="78">
        <v>217.85606835476997</v>
      </c>
      <c r="M1090" s="78">
        <v>812503.83598104795</v>
      </c>
      <c r="N1090" s="78" t="s">
        <v>1081</v>
      </c>
      <c r="O1090" s="25">
        <f t="shared" si="31"/>
        <v>-8.9218004193245548E-3</v>
      </c>
    </row>
    <row r="1091" spans="1:15">
      <c r="A1091" s="77">
        <v>344.30288896903096</v>
      </c>
      <c r="B1091" s="77">
        <v>345.27928871426428</v>
      </c>
      <c r="C1091" s="77">
        <v>342.55626683095096</v>
      </c>
      <c r="D1091" s="77">
        <v>344.35984403875096</v>
      </c>
      <c r="E1091" s="77">
        <v>2526070.1234726785</v>
      </c>
      <c r="F1091" s="77" t="s">
        <v>1082</v>
      </c>
      <c r="G1091" s="25">
        <f t="shared" si="30"/>
        <v>-1.6539405132731666E-4</v>
      </c>
      <c r="I1091" s="78">
        <v>218.09902690001999</v>
      </c>
      <c r="J1091" s="78">
        <v>219.35755216441498</v>
      </c>
      <c r="K1091" s="78">
        <v>211.84041477437998</v>
      </c>
      <c r="L1091" s="78">
        <v>214.11450675792</v>
      </c>
      <c r="M1091" s="78">
        <v>769323.63011833606</v>
      </c>
      <c r="N1091" s="78" t="s">
        <v>1082</v>
      </c>
      <c r="O1091" s="25">
        <f t="shared" si="31"/>
        <v>1.8609295570079842E-2</v>
      </c>
    </row>
    <row r="1092" spans="1:15">
      <c r="A1092" s="77">
        <v>345.51793045639107</v>
      </c>
      <c r="B1092" s="77">
        <v>347.03673231559105</v>
      </c>
      <c r="C1092" s="77">
        <v>342.89799724927099</v>
      </c>
      <c r="D1092" s="77">
        <v>346.91332966453109</v>
      </c>
      <c r="E1092" s="77">
        <v>2712000.8940267358</v>
      </c>
      <c r="F1092" s="77" t="s">
        <v>1083</v>
      </c>
      <c r="G1092" s="25">
        <f t="shared" si="30"/>
        <v>-4.0223280249548354E-3</v>
      </c>
      <c r="I1092" s="78">
        <v>214.34774696136</v>
      </c>
      <c r="J1092" s="78">
        <v>223.46355157913999</v>
      </c>
      <c r="K1092" s="78">
        <v>213.20098262777998</v>
      </c>
      <c r="L1092" s="78">
        <v>222.52087242356998</v>
      </c>
      <c r="M1092" s="78">
        <v>794770.35805144219</v>
      </c>
      <c r="N1092" s="78" t="s">
        <v>1083</v>
      </c>
      <c r="O1092" s="25">
        <f t="shared" si="31"/>
        <v>-3.6729702581124068E-2</v>
      </c>
    </row>
    <row r="1093" spans="1:15">
      <c r="A1093" s="77">
        <v>343.99912859719097</v>
      </c>
      <c r="B1093" s="77">
        <v>344.56867929439102</v>
      </c>
      <c r="C1093" s="77">
        <v>340.36824290254089</v>
      </c>
      <c r="D1093" s="77">
        <v>340.5913169256109</v>
      </c>
      <c r="E1093" s="77">
        <v>3460015.7803124133</v>
      </c>
      <c r="F1093" s="77" t="s">
        <v>1084</v>
      </c>
      <c r="G1093" s="25">
        <f t="shared" si="30"/>
        <v>1.0005574136008777E-2</v>
      </c>
      <c r="I1093" s="78">
        <v>218.35170378708</v>
      </c>
      <c r="J1093" s="78">
        <v>223.07481790673998</v>
      </c>
      <c r="K1093" s="78">
        <v>215.65972310570999</v>
      </c>
      <c r="L1093" s="78">
        <v>218.65297238318999</v>
      </c>
      <c r="M1093" s="78">
        <v>968699.20651617832</v>
      </c>
      <c r="N1093" s="78" t="s">
        <v>1084</v>
      </c>
      <c r="O1093" s="25">
        <f t="shared" si="31"/>
        <v>-1.3778390150672726E-3</v>
      </c>
    </row>
    <row r="1094" spans="1:15">
      <c r="A1094" s="77">
        <v>344.99584231729102</v>
      </c>
      <c r="B1094" s="77">
        <v>346.97028473425109</v>
      </c>
      <c r="C1094" s="77">
        <v>344.43578413171105</v>
      </c>
      <c r="D1094" s="77">
        <v>346.19189878141106</v>
      </c>
      <c r="E1094" s="77">
        <v>2902417.3056528866</v>
      </c>
      <c r="F1094" s="77" t="s">
        <v>1085</v>
      </c>
      <c r="G1094" s="25">
        <f t="shared" si="30"/>
        <v>-3.4548944337812193E-3</v>
      </c>
      <c r="I1094" s="78">
        <v>225.26144481398998</v>
      </c>
      <c r="J1094" s="78">
        <v>231.98653734651</v>
      </c>
      <c r="K1094" s="78">
        <v>224.20214555669997</v>
      </c>
      <c r="L1094" s="78">
        <v>231.58808533230001</v>
      </c>
      <c r="M1094" s="78">
        <v>856619.38659471786</v>
      </c>
      <c r="N1094" s="78" t="s">
        <v>1085</v>
      </c>
      <c r="O1094" s="25">
        <f t="shared" si="31"/>
        <v>-2.7318506084767269E-2</v>
      </c>
    </row>
    <row r="1095" spans="1:15">
      <c r="A1095" s="77">
        <v>347.63476054765113</v>
      </c>
      <c r="B1095" s="77">
        <v>350.97802314021521</v>
      </c>
      <c r="C1095" s="77">
        <v>344.18897882959095</v>
      </c>
      <c r="D1095" s="77">
        <v>349.94144087131116</v>
      </c>
      <c r="E1095" s="77">
        <v>4843607.4498056322</v>
      </c>
      <c r="F1095" s="77" t="s">
        <v>1086</v>
      </c>
      <c r="G1095" s="25">
        <f t="shared" si="30"/>
        <v>-6.5916180659160162E-3</v>
      </c>
      <c r="I1095" s="78">
        <v>231.77273382669</v>
      </c>
      <c r="J1095" s="78">
        <v>236.24317105929001</v>
      </c>
      <c r="K1095" s="78">
        <v>228.86694962549998</v>
      </c>
      <c r="L1095" s="78">
        <v>230.45103934052997</v>
      </c>
      <c r="M1095" s="78">
        <v>1211516.3502362962</v>
      </c>
      <c r="N1095" s="78" t="s">
        <v>1086</v>
      </c>
      <c r="O1095" s="25">
        <f t="shared" si="31"/>
        <v>5.7352507063637148E-3</v>
      </c>
    </row>
    <row r="1096" spans="1:15">
      <c r="A1096" s="77">
        <v>344.78700706165102</v>
      </c>
      <c r="B1096" s="77">
        <v>349.12508487199119</v>
      </c>
      <c r="C1096" s="77">
        <v>344.47375417819097</v>
      </c>
      <c r="D1096" s="77">
        <v>346.06849613035104</v>
      </c>
      <c r="E1096" s="77">
        <v>5556287.11466337</v>
      </c>
      <c r="F1096" s="77" t="s">
        <v>1087</v>
      </c>
      <c r="G1096" s="25">
        <f t="shared" si="30"/>
        <v>-3.7029925665852392E-3</v>
      </c>
      <c r="I1096" s="78">
        <v>227.96314383716998</v>
      </c>
      <c r="J1096" s="78">
        <v>234.56189792616001</v>
      </c>
      <c r="K1096" s="78">
        <v>227.94370715355001</v>
      </c>
      <c r="L1096" s="78">
        <v>234.56189792616001</v>
      </c>
      <c r="M1096" s="78">
        <v>1114772.4798949009</v>
      </c>
      <c r="N1096" s="78" t="s">
        <v>1087</v>
      </c>
      <c r="O1096" s="25">
        <f t="shared" si="31"/>
        <v>-2.8132250580046536E-2</v>
      </c>
    </row>
    <row r="1097" spans="1:15">
      <c r="A1097" s="77">
        <v>347.57780547793112</v>
      </c>
      <c r="B1097" s="77">
        <v>348.39416147725115</v>
      </c>
      <c r="C1097" s="77">
        <v>343.38211534189099</v>
      </c>
      <c r="D1097" s="77">
        <v>345.23315510779105</v>
      </c>
      <c r="E1097" s="77">
        <v>5138139.614939807</v>
      </c>
      <c r="F1097" s="77" t="s">
        <v>1088</v>
      </c>
      <c r="G1097" s="25">
        <f t="shared" si="30"/>
        <v>6.7914982540075997E-3</v>
      </c>
      <c r="I1097" s="78">
        <v>235.90302909594001</v>
      </c>
      <c r="J1097" s="78">
        <v>241.86037262547001</v>
      </c>
      <c r="K1097" s="78">
        <v>229.90681219916999</v>
      </c>
      <c r="L1097" s="78">
        <v>230.77174462025999</v>
      </c>
      <c r="M1097" s="78">
        <v>1349765.2435420977</v>
      </c>
      <c r="N1097" s="78" t="s">
        <v>1088</v>
      </c>
      <c r="O1097" s="25">
        <f t="shared" si="31"/>
        <v>2.2235323844015831E-2</v>
      </c>
    </row>
    <row r="1098" spans="1:15">
      <c r="A1098" s="77">
        <v>344.283903945791</v>
      </c>
      <c r="B1098" s="77">
        <v>344.58766431763098</v>
      </c>
      <c r="C1098" s="77">
        <v>336.4241043244308</v>
      </c>
      <c r="D1098" s="77">
        <v>338.42702427625079</v>
      </c>
      <c r="E1098" s="77">
        <v>4849751.2400199231</v>
      </c>
      <c r="F1098" s="77" t="s">
        <v>1089</v>
      </c>
      <c r="G1098" s="25">
        <f t="shared" si="30"/>
        <v>1.7306181981375568E-2</v>
      </c>
      <c r="I1098" s="78">
        <v>233.32766851629</v>
      </c>
      <c r="J1098" s="78">
        <v>233.96907907574999</v>
      </c>
      <c r="K1098" s="78">
        <v>222.82214101968</v>
      </c>
      <c r="L1098" s="78">
        <v>223.40524152827999</v>
      </c>
      <c r="M1098" s="78">
        <v>1841831.6982411221</v>
      </c>
      <c r="N1098" s="78" t="s">
        <v>1089</v>
      </c>
      <c r="O1098" s="25">
        <f t="shared" si="31"/>
        <v>4.4414477118496665E-2</v>
      </c>
    </row>
    <row r="1099" spans="1:15">
      <c r="A1099" s="77">
        <v>326.41899707695046</v>
      </c>
      <c r="B1099" s="77">
        <v>332.44674195565068</v>
      </c>
      <c r="C1099" s="77">
        <v>325.9330754071226</v>
      </c>
      <c r="D1099" s="77">
        <v>331.3645956309706</v>
      </c>
      <c r="E1099" s="77">
        <v>3761694.6314571756</v>
      </c>
      <c r="F1099" s="77" t="s">
        <v>1090</v>
      </c>
      <c r="G1099" s="25">
        <f t="shared" si="30"/>
        <v>-1.4924945571215709E-2</v>
      </c>
      <c r="I1099" s="78">
        <v>209.77040796884998</v>
      </c>
      <c r="J1099" s="78">
        <v>212.55957206831999</v>
      </c>
      <c r="K1099" s="78">
        <v>207.77814789780001</v>
      </c>
      <c r="L1099" s="78">
        <v>209.61491449988998</v>
      </c>
      <c r="M1099" s="78">
        <v>1262289.4151939692</v>
      </c>
      <c r="N1099" s="78" t="s">
        <v>1090</v>
      </c>
      <c r="O1099" s="25">
        <f t="shared" si="31"/>
        <v>7.4180536881640613E-4</v>
      </c>
    </row>
    <row r="1100" spans="1:15">
      <c r="A1100" s="77">
        <v>333.22512790849066</v>
      </c>
      <c r="B1100" s="77">
        <v>335.91150869695076</v>
      </c>
      <c r="C1100" s="77">
        <v>329.46609330697049</v>
      </c>
      <c r="D1100" s="77">
        <v>332.43724944403061</v>
      </c>
      <c r="E1100" s="77">
        <v>3410262.8783507315</v>
      </c>
      <c r="F1100" s="77" t="s">
        <v>1091</v>
      </c>
      <c r="G1100" s="25">
        <f t="shared" si="30"/>
        <v>2.3700065674880921E-3</v>
      </c>
      <c r="I1100" s="78">
        <v>211.89872482523998</v>
      </c>
      <c r="J1100" s="78">
        <v>216.31085200698001</v>
      </c>
      <c r="K1100" s="78">
        <v>207.83645794866001</v>
      </c>
      <c r="L1100" s="78">
        <v>211.85985145799998</v>
      </c>
      <c r="M1100" s="78">
        <v>1033070.2702460309</v>
      </c>
      <c r="N1100" s="78" t="s">
        <v>1091</v>
      </c>
      <c r="O1100" s="25">
        <f t="shared" si="31"/>
        <v>1.8348623853214896E-4</v>
      </c>
    </row>
    <row r="1101" spans="1:15">
      <c r="A1101" s="77">
        <v>331.4215507006906</v>
      </c>
      <c r="B1101" s="77">
        <v>331.96262386303061</v>
      </c>
      <c r="C1101" s="77">
        <v>327.58657600621052</v>
      </c>
      <c r="D1101" s="77">
        <v>329.44710828373053</v>
      </c>
      <c r="E1101" s="77">
        <v>3493908.8123021903</v>
      </c>
      <c r="F1101" s="77" t="s">
        <v>1092</v>
      </c>
      <c r="G1101" s="25">
        <f t="shared" si="30"/>
        <v>5.9932000230507043E-3</v>
      </c>
      <c r="I1101" s="78">
        <v>211.07266577138998</v>
      </c>
      <c r="J1101" s="78">
        <v>218.50719725604</v>
      </c>
      <c r="K1101" s="78">
        <v>207.74899287237</v>
      </c>
      <c r="L1101" s="78">
        <v>217.35071458064999</v>
      </c>
      <c r="M1101" s="78">
        <v>1219568.13535868</v>
      </c>
      <c r="N1101" s="78" t="s">
        <v>1092</v>
      </c>
      <c r="O1101" s="25">
        <f t="shared" si="31"/>
        <v>-2.8884417616812041E-2</v>
      </c>
    </row>
    <row r="1102" spans="1:15">
      <c r="A1102" s="77">
        <v>328.27003684285052</v>
      </c>
      <c r="B1102" s="77">
        <v>330.35838939925054</v>
      </c>
      <c r="C1102" s="77">
        <v>322.74539508001033</v>
      </c>
      <c r="D1102" s="77">
        <v>328.83009502843055</v>
      </c>
      <c r="E1102" s="77">
        <v>3850871.2407558612</v>
      </c>
      <c r="F1102" s="77" t="s">
        <v>1093</v>
      </c>
      <c r="G1102" s="25">
        <f t="shared" si="30"/>
        <v>-1.7031840882192339E-3</v>
      </c>
      <c r="I1102" s="78">
        <v>218.04071684915999</v>
      </c>
      <c r="J1102" s="78">
        <v>222.37509729641999</v>
      </c>
      <c r="K1102" s="78">
        <v>197.70022744082999</v>
      </c>
      <c r="L1102" s="78">
        <v>200.81009682003</v>
      </c>
      <c r="M1102" s="78">
        <v>2674681.5977652879</v>
      </c>
      <c r="N1102" s="78" t="s">
        <v>1093</v>
      </c>
      <c r="O1102" s="25">
        <f t="shared" si="31"/>
        <v>8.5805546145283795E-2</v>
      </c>
    </row>
    <row r="1103" spans="1:15">
      <c r="A1103" s="77">
        <v>323.53327354447032</v>
      </c>
      <c r="B1103" s="77">
        <v>326.36204200723046</v>
      </c>
      <c r="C1103" s="77">
        <v>321.70121880181028</v>
      </c>
      <c r="D1103" s="77">
        <v>324.01739163709033</v>
      </c>
      <c r="E1103" s="77">
        <v>4777211.9556276668</v>
      </c>
      <c r="F1103" s="77" t="s">
        <v>1094</v>
      </c>
      <c r="G1103" s="25">
        <f t="shared" si="30"/>
        <v>-1.494111443135826E-3</v>
      </c>
      <c r="I1103" s="78">
        <v>205.96081797932999</v>
      </c>
      <c r="J1103" s="78">
        <v>208.02110644305</v>
      </c>
      <c r="K1103" s="78">
        <v>199.8795655917225</v>
      </c>
      <c r="L1103" s="78">
        <v>203.69644433759998</v>
      </c>
      <c r="M1103" s="78">
        <v>1587472.462033109</v>
      </c>
      <c r="N1103" s="78" t="s">
        <v>1094</v>
      </c>
      <c r="O1103" s="25">
        <f t="shared" si="31"/>
        <v>1.1116412213740379E-2</v>
      </c>
    </row>
    <row r="1104" spans="1:15">
      <c r="A1104" s="77">
        <v>327.01702530901048</v>
      </c>
      <c r="B1104" s="77">
        <v>339.00132122926084</v>
      </c>
      <c r="C1104" s="77">
        <v>326.9315927044305</v>
      </c>
      <c r="D1104" s="77">
        <v>334.87682493037067</v>
      </c>
      <c r="E1104" s="77">
        <v>5291049.6200159928</v>
      </c>
      <c r="F1104" s="77" t="s">
        <v>1095</v>
      </c>
      <c r="G1104" s="25">
        <f t="shared" si="30"/>
        <v>-2.347071829468772E-2</v>
      </c>
      <c r="I1104" s="78">
        <v>205.03757550737998</v>
      </c>
      <c r="J1104" s="78">
        <v>216.14564019621</v>
      </c>
      <c r="K1104" s="78">
        <v>205.00842048194997</v>
      </c>
      <c r="L1104" s="78">
        <v>212.04449995239</v>
      </c>
      <c r="M1104" s="78">
        <v>1245995.483256212</v>
      </c>
      <c r="N1104" s="78" t="s">
        <v>1095</v>
      </c>
      <c r="O1104" s="25">
        <f t="shared" si="31"/>
        <v>-3.3044594161052321E-2</v>
      </c>
    </row>
    <row r="1105" spans="1:15">
      <c r="A1105" s="77">
        <v>335.57927079025069</v>
      </c>
      <c r="B1105" s="77">
        <v>340.55809313494086</v>
      </c>
      <c r="C1105" s="77">
        <v>334.41169186099069</v>
      </c>
      <c r="D1105" s="77">
        <v>340.33501911187085</v>
      </c>
      <c r="E1105" s="77">
        <v>8442738.1506852917</v>
      </c>
      <c r="F1105" s="77" t="s">
        <v>1096</v>
      </c>
      <c r="G1105" s="25">
        <f t="shared" si="30"/>
        <v>-1.3973726048029489E-2</v>
      </c>
      <c r="I1105" s="78">
        <v>212.95802408252999</v>
      </c>
      <c r="J1105" s="78">
        <v>223.46355157913999</v>
      </c>
      <c r="K1105" s="78">
        <v>212.75393890451997</v>
      </c>
      <c r="L1105" s="78">
        <v>223.46355157913999</v>
      </c>
      <c r="M1105" s="78">
        <v>1610337.4738164309</v>
      </c>
      <c r="N1105" s="78" t="s">
        <v>1096</v>
      </c>
      <c r="O1105" s="25">
        <f t="shared" si="31"/>
        <v>-4.7012264068887588E-2</v>
      </c>
    </row>
    <row r="1106" spans="1:15">
      <c r="A1106" s="77">
        <v>336.93669995191078</v>
      </c>
      <c r="B1106" s="77">
        <v>338.80672474105086</v>
      </c>
      <c r="C1106" s="77">
        <v>336.08237390611077</v>
      </c>
      <c r="D1106" s="77">
        <v>337.13604269593083</v>
      </c>
      <c r="E1106" s="77">
        <v>6774772.8498432897</v>
      </c>
      <c r="F1106" s="77" t="s">
        <v>1097</v>
      </c>
      <c r="G1106" s="25">
        <f t="shared" si="30"/>
        <v>-5.9128280211750983E-4</v>
      </c>
      <c r="I1106" s="78">
        <v>222.37509729641999</v>
      </c>
      <c r="J1106" s="78">
        <v>229.92624888278999</v>
      </c>
      <c r="K1106" s="78">
        <v>220.29537214908001</v>
      </c>
      <c r="L1106" s="78">
        <v>225.39750159932998</v>
      </c>
      <c r="M1106" s="78">
        <v>1513814.8346317529</v>
      </c>
      <c r="N1106" s="78" t="s">
        <v>1097</v>
      </c>
      <c r="O1106" s="25">
        <f t="shared" si="31"/>
        <v>-1.3409218298624515E-2</v>
      </c>
    </row>
    <row r="1107" spans="1:15">
      <c r="A1107" s="77">
        <v>339.24338027557081</v>
      </c>
      <c r="B1107" s="77">
        <v>339.81293097277086</v>
      </c>
      <c r="C1107" s="77">
        <v>331.24119297991058</v>
      </c>
      <c r="D1107" s="77">
        <v>331.32662558449061</v>
      </c>
      <c r="E1107" s="77">
        <v>4622673.2983444687</v>
      </c>
      <c r="F1107" s="77" t="s">
        <v>1098</v>
      </c>
      <c r="G1107" s="25">
        <f t="shared" si="30"/>
        <v>2.3894109557643706E-2</v>
      </c>
      <c r="I1107" s="78">
        <v>226.43736417299999</v>
      </c>
      <c r="J1107" s="78">
        <v>232.99724489475</v>
      </c>
      <c r="K1107" s="78">
        <v>225.55299506828999</v>
      </c>
      <c r="L1107" s="78">
        <v>230.22751747889998</v>
      </c>
      <c r="M1107" s="78">
        <v>1979059.8412796515</v>
      </c>
      <c r="N1107" s="78" t="s">
        <v>1098</v>
      </c>
      <c r="O1107" s="25">
        <f t="shared" si="31"/>
        <v>-1.6462642465175148E-2</v>
      </c>
    </row>
    <row r="1108" spans="1:15">
      <c r="A1108" s="77">
        <v>331.50698330527064</v>
      </c>
      <c r="B1108" s="77">
        <v>335.83556860399074</v>
      </c>
      <c r="C1108" s="77">
        <v>330.90420881740062</v>
      </c>
      <c r="D1108" s="77">
        <v>334.18387158211067</v>
      </c>
      <c r="E1108" s="77">
        <v>4366876.9298803005</v>
      </c>
      <c r="F1108" s="77" t="s">
        <v>1099</v>
      </c>
      <c r="G1108" s="25">
        <f t="shared" si="30"/>
        <v>-8.0102258201958376E-3</v>
      </c>
      <c r="I1108" s="78">
        <v>230.19836245347</v>
      </c>
      <c r="J1108" s="78">
        <v>232.23921423356998</v>
      </c>
      <c r="K1108" s="78">
        <v>226.25271567861</v>
      </c>
      <c r="L1108" s="78">
        <v>229.7416003884</v>
      </c>
      <c r="M1108" s="78">
        <v>1608499.7117424912</v>
      </c>
      <c r="N1108" s="78" t="s">
        <v>1099</v>
      </c>
      <c r="O1108" s="25">
        <f t="shared" si="31"/>
        <v>1.9881556683587487E-3</v>
      </c>
    </row>
    <row r="1109" spans="1:15">
      <c r="A1109" s="77">
        <v>333.29157548983068</v>
      </c>
      <c r="B1109" s="77">
        <v>338.09478636955083</v>
      </c>
      <c r="C1109" s="77">
        <v>332.65557721129062</v>
      </c>
      <c r="D1109" s="77">
        <v>332.90238251341066</v>
      </c>
      <c r="E1109" s="77">
        <v>4506402.7006161967</v>
      </c>
      <c r="F1109" s="77" t="s">
        <v>1100</v>
      </c>
      <c r="G1109" s="25">
        <f t="shared" si="30"/>
        <v>1.1690903906473871E-3</v>
      </c>
      <c r="I1109" s="78">
        <v>230.65512451853999</v>
      </c>
      <c r="J1109" s="78">
        <v>235.01865999123001</v>
      </c>
      <c r="K1109" s="78">
        <v>223.67735509895999</v>
      </c>
      <c r="L1109" s="78">
        <v>224.15355384764999</v>
      </c>
      <c r="M1109" s="78">
        <v>2069882.9484780182</v>
      </c>
      <c r="N1109" s="78" t="s">
        <v>1100</v>
      </c>
      <c r="O1109" s="25">
        <f t="shared" si="31"/>
        <v>2.9004985909386605E-2</v>
      </c>
    </row>
    <row r="1110" spans="1:15">
      <c r="A1110" s="77">
        <v>335.79759855751075</v>
      </c>
      <c r="B1110" s="77">
        <v>336.0633888828707</v>
      </c>
      <c r="C1110" s="77">
        <v>330.36788191087055</v>
      </c>
      <c r="D1110" s="77">
        <v>330.38686693411057</v>
      </c>
      <c r="E1110" s="77">
        <v>5481579.8055350007</v>
      </c>
      <c r="F1110" s="77" t="s">
        <v>1101</v>
      </c>
      <c r="G1110" s="25">
        <f t="shared" si="30"/>
        <v>1.6376957333716469E-2</v>
      </c>
      <c r="I1110" s="78">
        <v>223.63848173171999</v>
      </c>
      <c r="J1110" s="78">
        <v>224.28961063298999</v>
      </c>
      <c r="K1110" s="78">
        <v>216.32057034879</v>
      </c>
      <c r="L1110" s="78">
        <v>216.32057034879</v>
      </c>
      <c r="M1110" s="78">
        <v>1428194.2610536767</v>
      </c>
      <c r="N1110" s="78" t="s">
        <v>1101</v>
      </c>
      <c r="O1110" s="25">
        <f t="shared" si="31"/>
        <v>3.3829012983512152E-2</v>
      </c>
    </row>
    <row r="1111" spans="1:15">
      <c r="A1111" s="77">
        <v>330.42483698059056</v>
      </c>
      <c r="B1111" s="77">
        <v>331.50698330527064</v>
      </c>
      <c r="C1111" s="77">
        <v>325.46974591495041</v>
      </c>
      <c r="D1111" s="77">
        <v>327.91881391291048</v>
      </c>
      <c r="E1111" s="77">
        <v>5940911.347548943</v>
      </c>
      <c r="F1111" s="77" t="s">
        <v>1102</v>
      </c>
      <c r="G1111" s="25">
        <f t="shared" si="30"/>
        <v>7.642205818497505E-3</v>
      </c>
      <c r="I1111" s="78">
        <v>214.35746530316999</v>
      </c>
      <c r="J1111" s="78">
        <v>216.38859874145999</v>
      </c>
      <c r="K1111" s="78">
        <v>209.48857605635999</v>
      </c>
      <c r="L1111" s="78">
        <v>215.23211606606998</v>
      </c>
      <c r="M1111" s="78">
        <v>1137374.0722544107</v>
      </c>
      <c r="N1111" s="78" t="s">
        <v>1102</v>
      </c>
      <c r="O1111" s="25">
        <f t="shared" si="31"/>
        <v>-4.0637558134284379E-3</v>
      </c>
    </row>
    <row r="1112" spans="1:15">
      <c r="A1112" s="77">
        <v>326.44747461181043</v>
      </c>
      <c r="B1112" s="77">
        <v>326.9130823067714</v>
      </c>
      <c r="C1112" s="77">
        <v>317.17329075907014</v>
      </c>
      <c r="D1112" s="77">
        <v>318.47376485101017</v>
      </c>
      <c r="E1112" s="77">
        <v>4595654.1057148166</v>
      </c>
      <c r="F1112" s="77" t="s">
        <v>1103</v>
      </c>
      <c r="G1112" s="25">
        <f t="shared" si="30"/>
        <v>2.5037257824143122E-2</v>
      </c>
      <c r="I1112" s="78">
        <v>213.81323816180998</v>
      </c>
      <c r="J1112" s="78">
        <v>214.57117163957187</v>
      </c>
      <c r="K1112" s="78">
        <v>200.95587194717999</v>
      </c>
      <c r="L1112" s="78">
        <v>203.56038755226001</v>
      </c>
      <c r="M1112" s="78">
        <v>2052781.2655727121</v>
      </c>
      <c r="N1112" s="78" t="s">
        <v>1103</v>
      </c>
      <c r="O1112" s="25">
        <f t="shared" si="31"/>
        <v>5.0367611954549529E-2</v>
      </c>
    </row>
    <row r="1113" spans="1:15">
      <c r="A1113" s="77">
        <v>318.78701773447017</v>
      </c>
      <c r="B1113" s="77">
        <v>325.0425828920504</v>
      </c>
      <c r="C1113" s="77">
        <v>318.04660182811017</v>
      </c>
      <c r="D1113" s="77">
        <v>321.00826545355028</v>
      </c>
      <c r="E1113" s="77">
        <v>3643987.111600596</v>
      </c>
      <c r="F1113" s="77" t="s">
        <v>1104</v>
      </c>
      <c r="G1113" s="25">
        <f t="shared" si="30"/>
        <v>-6.9195966525713581E-3</v>
      </c>
      <c r="I1113" s="78">
        <v>202.76348352383997</v>
      </c>
      <c r="J1113" s="78">
        <v>206.00940968837998</v>
      </c>
      <c r="K1113" s="78">
        <v>198.12783448047</v>
      </c>
      <c r="L1113" s="78">
        <v>198.73037167269001</v>
      </c>
      <c r="M1113" s="78">
        <v>1345430.1418525637</v>
      </c>
      <c r="N1113" s="78" t="s">
        <v>1104</v>
      </c>
      <c r="O1113" s="25">
        <f t="shared" si="31"/>
        <v>2.0294390923761396E-2</v>
      </c>
    </row>
    <row r="1114" spans="1:15">
      <c r="A1114" s="77">
        <v>321.42593596483027</v>
      </c>
      <c r="B1114" s="77">
        <v>324.33064452055038</v>
      </c>
      <c r="C1114" s="77">
        <v>318.85346531581018</v>
      </c>
      <c r="D1114" s="77">
        <v>321.83411396449031</v>
      </c>
      <c r="E1114" s="77">
        <v>4638638.5145134637</v>
      </c>
      <c r="F1114" s="77" t="s">
        <v>1105</v>
      </c>
      <c r="G1114" s="25">
        <f t="shared" si="30"/>
        <v>-1.2682869277962361E-3</v>
      </c>
      <c r="I1114" s="78">
        <v>198.96361187612999</v>
      </c>
      <c r="J1114" s="78">
        <v>200.08122118428</v>
      </c>
      <c r="K1114" s="78">
        <v>196.150151922135</v>
      </c>
      <c r="L1114" s="78">
        <v>198.80811840716999</v>
      </c>
      <c r="M1114" s="78">
        <v>1425048.6626997946</v>
      </c>
      <c r="N1114" s="78" t="s">
        <v>1105</v>
      </c>
      <c r="O1114" s="25">
        <f t="shared" si="31"/>
        <v>7.8212836681812448E-4</v>
      </c>
    </row>
    <row r="1115" spans="1:15">
      <c r="A1115" s="77">
        <v>323.66616870715035</v>
      </c>
      <c r="B1115" s="77">
        <v>327.49165089001048</v>
      </c>
      <c r="C1115" s="77">
        <v>320.62381873294026</v>
      </c>
      <c r="D1115" s="77">
        <v>327.18789051817049</v>
      </c>
      <c r="E1115" s="77">
        <v>5165416.9057523292</v>
      </c>
      <c r="F1115" s="77" t="s">
        <v>1106</v>
      </c>
      <c r="G1115" s="25">
        <f t="shared" si="30"/>
        <v>-1.0763606823720684E-2</v>
      </c>
      <c r="I1115" s="78">
        <v>202.80235689108</v>
      </c>
      <c r="J1115" s="78">
        <v>211.18928587310998</v>
      </c>
      <c r="K1115" s="78">
        <v>201.16967546699999</v>
      </c>
      <c r="L1115" s="78">
        <v>207.96279639219</v>
      </c>
      <c r="M1115" s="78">
        <v>1339479.5382279316</v>
      </c>
      <c r="N1115" s="78" t="s">
        <v>1106</v>
      </c>
      <c r="O1115" s="25">
        <f t="shared" si="31"/>
        <v>-2.4814243656245627E-2</v>
      </c>
    </row>
    <row r="1116" spans="1:15">
      <c r="A1116" s="77">
        <v>319.89764159401022</v>
      </c>
      <c r="B1116" s="77">
        <v>320.94181787221027</v>
      </c>
      <c r="C1116" s="77">
        <v>317.48654364253014</v>
      </c>
      <c r="D1116" s="77">
        <v>317.59096127035014</v>
      </c>
      <c r="E1116" s="77">
        <v>4097457.1912084483</v>
      </c>
      <c r="F1116" s="77" t="s">
        <v>1107</v>
      </c>
      <c r="G1116" s="25">
        <f t="shared" si="30"/>
        <v>7.2630540694025303E-3</v>
      </c>
      <c r="I1116" s="78">
        <v>201.27657722691001</v>
      </c>
      <c r="J1116" s="78">
        <v>202.807216061985</v>
      </c>
      <c r="K1116" s="78">
        <v>197.59342286433809</v>
      </c>
      <c r="L1116" s="78">
        <v>198.96361187612999</v>
      </c>
      <c r="M1116" s="78">
        <v>1397941.1576181226</v>
      </c>
      <c r="N1116" s="78" t="s">
        <v>1107</v>
      </c>
      <c r="O1116" s="25">
        <f t="shared" si="31"/>
        <v>1.1625067161627589E-2</v>
      </c>
    </row>
    <row r="1117" spans="1:15">
      <c r="A1117" s="77">
        <v>311.97139439130996</v>
      </c>
      <c r="B1117" s="77">
        <v>322.92575280079035</v>
      </c>
      <c r="C1117" s="77">
        <v>311.37811241505995</v>
      </c>
      <c r="D1117" s="77">
        <v>321.43542847645028</v>
      </c>
      <c r="E1117" s="77">
        <v>5145106.1589533705</v>
      </c>
      <c r="F1117" s="77" t="s">
        <v>1108</v>
      </c>
      <c r="G1117" s="25">
        <f t="shared" si="30"/>
        <v>-2.9443033488866677E-2</v>
      </c>
      <c r="I1117" s="78">
        <v>193.70598895691998</v>
      </c>
      <c r="J1117" s="78">
        <v>200.25615133686</v>
      </c>
      <c r="K1117" s="78">
        <v>193.07429673926998</v>
      </c>
      <c r="L1117" s="78">
        <v>198.67206162183001</v>
      </c>
      <c r="M1117" s="78">
        <v>1662901.9966524516</v>
      </c>
      <c r="N1117" s="78" t="s">
        <v>1108</v>
      </c>
      <c r="O1117" s="25">
        <f t="shared" si="31"/>
        <v>-2.4996331262534977E-2</v>
      </c>
    </row>
    <row r="1118" spans="1:15">
      <c r="A1118" s="77">
        <v>319.15722568765023</v>
      </c>
      <c r="B1118" s="77">
        <v>320.53838612836023</v>
      </c>
      <c r="C1118" s="77">
        <v>303.63696918894971</v>
      </c>
      <c r="D1118" s="77">
        <v>304.55774281608973</v>
      </c>
      <c r="E1118" s="77">
        <v>6738881.4004947152</v>
      </c>
      <c r="F1118" s="77" t="s">
        <v>1109</v>
      </c>
      <c r="G1118" s="25">
        <f t="shared" si="30"/>
        <v>4.7936666251090942E-2</v>
      </c>
      <c r="I1118" s="78">
        <v>196.93247843783999</v>
      </c>
      <c r="J1118" s="78">
        <v>197.50586060462999</v>
      </c>
      <c r="K1118" s="78">
        <v>184.65782399813759</v>
      </c>
      <c r="L1118" s="78">
        <v>187.49596854033001</v>
      </c>
      <c r="M1118" s="78">
        <v>1880750.8891272473</v>
      </c>
      <c r="N1118" s="78" t="s">
        <v>1109</v>
      </c>
      <c r="O1118" s="25">
        <f t="shared" si="31"/>
        <v>5.0329134919400609E-2</v>
      </c>
    </row>
    <row r="1119" spans="1:15">
      <c r="A1119" s="77">
        <v>311.01265071768995</v>
      </c>
      <c r="B1119" s="77">
        <v>313.80344913396999</v>
      </c>
      <c r="C1119" s="77">
        <v>310.82280048528992</v>
      </c>
      <c r="D1119" s="77">
        <v>312.44601997230995</v>
      </c>
      <c r="E1119" s="77">
        <v>3408014.79050483</v>
      </c>
      <c r="F1119" s="77" t="s">
        <v>1110</v>
      </c>
      <c r="G1119" s="25">
        <f t="shared" si="30"/>
        <v>-4.5875740543823706E-3</v>
      </c>
      <c r="I1119" s="78">
        <v>192.68556306687</v>
      </c>
      <c r="J1119" s="78">
        <v>196.23275782751998</v>
      </c>
      <c r="K1119" s="78">
        <v>190.87309231930499</v>
      </c>
      <c r="L1119" s="78">
        <v>193.55049548795998</v>
      </c>
      <c r="M1119" s="78">
        <v>1158811.8858313751</v>
      </c>
      <c r="N1119" s="78" t="s">
        <v>1110</v>
      </c>
      <c r="O1119" s="25">
        <f t="shared" si="31"/>
        <v>-4.4687688290819816E-3</v>
      </c>
    </row>
    <row r="1120" spans="1:15">
      <c r="A1120" s="77">
        <v>311.98088690293002</v>
      </c>
      <c r="B1120" s="77">
        <v>316.63221759673013</v>
      </c>
      <c r="C1120" s="77">
        <v>310.26274229970994</v>
      </c>
      <c r="D1120" s="77">
        <v>312.49348253041001</v>
      </c>
      <c r="E1120" s="77">
        <v>5233712.8453257997</v>
      </c>
      <c r="F1120" s="77" t="s">
        <v>1111</v>
      </c>
      <c r="G1120" s="25">
        <f t="shared" si="30"/>
        <v>-1.6403402187119553E-3</v>
      </c>
      <c r="I1120" s="78">
        <v>193.55049548795998</v>
      </c>
      <c r="J1120" s="78">
        <v>199.33290886491</v>
      </c>
      <c r="K1120" s="78">
        <v>191.34443189708998</v>
      </c>
      <c r="L1120" s="78">
        <v>199.33290886491</v>
      </c>
      <c r="M1120" s="78">
        <v>1659427.1240188042</v>
      </c>
      <c r="N1120" s="78" t="s">
        <v>1111</v>
      </c>
      <c r="O1120" s="25">
        <f t="shared" si="31"/>
        <v>-2.9008824533177435E-2</v>
      </c>
    </row>
    <row r="1121" spans="1:15">
      <c r="A1121" s="77">
        <v>314.05025443609003</v>
      </c>
      <c r="B1121" s="77">
        <v>317.68588638655018</v>
      </c>
      <c r="C1121" s="77">
        <v>311.98088690293002</v>
      </c>
      <c r="D1121" s="77">
        <v>317.4960361541502</v>
      </c>
      <c r="E1121" s="77">
        <v>4144171.9088460533</v>
      </c>
      <c r="F1121" s="77" t="s">
        <v>1112</v>
      </c>
      <c r="G1121" s="25">
        <f t="shared" si="30"/>
        <v>-1.0852991299668324E-2</v>
      </c>
      <c r="I1121" s="78">
        <v>197.79741085892999</v>
      </c>
      <c r="J1121" s="78">
        <v>201.52925411396998</v>
      </c>
      <c r="K1121" s="78">
        <v>192.42316783799998</v>
      </c>
      <c r="L1121" s="78">
        <v>201.52925411396998</v>
      </c>
      <c r="M1121" s="78">
        <v>1393579.3023933577</v>
      </c>
      <c r="N1121" s="78" t="s">
        <v>1112</v>
      </c>
      <c r="O1121" s="25">
        <f t="shared" si="31"/>
        <v>-1.8517625500313439E-2</v>
      </c>
    </row>
    <row r="1122" spans="1:15">
      <c r="A1122" s="77">
        <v>316.41388982947012</v>
      </c>
      <c r="B1122" s="77">
        <v>322.11888931309028</v>
      </c>
      <c r="C1122" s="77">
        <v>314.81914787731006</v>
      </c>
      <c r="D1122" s="77">
        <v>321.8720840109703</v>
      </c>
      <c r="E1122" s="77">
        <v>5444371.5287228003</v>
      </c>
      <c r="F1122" s="77" t="s">
        <v>1113</v>
      </c>
      <c r="G1122" s="25">
        <f t="shared" si="30"/>
        <v>-1.6957650112067957E-2</v>
      </c>
      <c r="I1122" s="78">
        <v>200.37277143858</v>
      </c>
      <c r="J1122" s="78">
        <v>206.09687476466999</v>
      </c>
      <c r="K1122" s="78">
        <v>199.40093725758001</v>
      </c>
      <c r="L1122" s="78">
        <v>202.41362321867999</v>
      </c>
      <c r="M1122" s="78">
        <v>1665783.1466003973</v>
      </c>
      <c r="N1122" s="78" t="s">
        <v>1113</v>
      </c>
      <c r="O1122" s="25">
        <f t="shared" si="31"/>
        <v>-1.0082581140771985E-2</v>
      </c>
    </row>
    <row r="1123" spans="1:15">
      <c r="A1123" s="77">
        <v>325.55517851953039</v>
      </c>
      <c r="B1123" s="77">
        <v>330.32041935277056</v>
      </c>
      <c r="C1123" s="77">
        <v>325.10903047339042</v>
      </c>
      <c r="D1123" s="77">
        <v>327.66251609917049</v>
      </c>
      <c r="E1123" s="77">
        <v>4087023.7038486511</v>
      </c>
      <c r="F1123" s="77" t="s">
        <v>1114</v>
      </c>
      <c r="G1123" s="25">
        <f t="shared" si="30"/>
        <v>-6.4314270815227781E-3</v>
      </c>
      <c r="I1123" s="78">
        <v>206.72856698231999</v>
      </c>
      <c r="J1123" s="78">
        <v>213.41478614759998</v>
      </c>
      <c r="K1123" s="78">
        <v>204.60025012592999</v>
      </c>
      <c r="L1123" s="78">
        <v>210.48956526278999</v>
      </c>
      <c r="M1123" s="78">
        <v>1598229.441160189</v>
      </c>
      <c r="N1123" s="78" t="s">
        <v>1114</v>
      </c>
      <c r="O1123" s="25">
        <f t="shared" si="31"/>
        <v>-1.7867860935407931E-2</v>
      </c>
    </row>
    <row r="1124" spans="1:15">
      <c r="A1124" s="77">
        <v>329.01994526083053</v>
      </c>
      <c r="B1124" s="77">
        <v>330.94692511969055</v>
      </c>
      <c r="C1124" s="77">
        <v>323.56175107933035</v>
      </c>
      <c r="D1124" s="77">
        <v>325.70705870545044</v>
      </c>
      <c r="E1124" s="77">
        <v>5010024.9442727026</v>
      </c>
      <c r="F1124" s="77" t="s">
        <v>1115</v>
      </c>
      <c r="G1124" s="25">
        <f t="shared" si="30"/>
        <v>1.0171368617393206E-2</v>
      </c>
      <c r="I1124" s="78">
        <v>212.36520523211999</v>
      </c>
      <c r="J1124" s="78">
        <v>213.69661806008997</v>
      </c>
      <c r="K1124" s="78">
        <v>194.6583864543</v>
      </c>
      <c r="L1124" s="78">
        <v>195.12486686117998</v>
      </c>
      <c r="M1124" s="78">
        <v>2887579.0282581141</v>
      </c>
      <c r="N1124" s="78" t="s">
        <v>1115</v>
      </c>
      <c r="O1124" s="25">
        <f t="shared" si="31"/>
        <v>8.8355413885845335E-2</v>
      </c>
    </row>
    <row r="1125" spans="1:15">
      <c r="A1125" s="77">
        <v>329.58949595803051</v>
      </c>
      <c r="B1125" s="77">
        <v>329.70340609747052</v>
      </c>
      <c r="C1125" s="77">
        <v>324.76730005507039</v>
      </c>
      <c r="D1125" s="77">
        <v>324.77679256669035</v>
      </c>
      <c r="E1125" s="77">
        <v>5383145.3724360429</v>
      </c>
      <c r="F1125" s="77" t="s">
        <v>1116</v>
      </c>
      <c r="G1125" s="25">
        <f t="shared" si="30"/>
        <v>1.4818495352779681E-2</v>
      </c>
      <c r="I1125" s="78">
        <v>199.28431715585998</v>
      </c>
      <c r="J1125" s="78">
        <v>201.30573225233999</v>
      </c>
      <c r="K1125" s="78">
        <v>189.55625700405</v>
      </c>
      <c r="L1125" s="78">
        <v>190.94597988287998</v>
      </c>
      <c r="M1125" s="78">
        <v>2801179.5152119682</v>
      </c>
      <c r="N1125" s="78" t="s">
        <v>1116</v>
      </c>
      <c r="O1125" s="25">
        <f t="shared" si="31"/>
        <v>4.3668566775244333E-2</v>
      </c>
    </row>
    <row r="1126" spans="1:15">
      <c r="A1126" s="77">
        <v>319.87865657077026</v>
      </c>
      <c r="B1126" s="77">
        <v>321.47339852293032</v>
      </c>
      <c r="C1126" s="77">
        <v>313.34780857621001</v>
      </c>
      <c r="D1126" s="77">
        <v>314.95204303999009</v>
      </c>
      <c r="E1126" s="77">
        <v>6045815.0906111998</v>
      </c>
      <c r="F1126" s="77" t="s">
        <v>1117</v>
      </c>
      <c r="G1126" s="25">
        <f t="shared" si="30"/>
        <v>1.5642424425088119E-2</v>
      </c>
      <c r="I1126" s="78">
        <v>181.96623205044</v>
      </c>
      <c r="J1126" s="78">
        <v>189.05090322992999</v>
      </c>
      <c r="K1126" s="78">
        <v>174.68719403475001</v>
      </c>
      <c r="L1126" s="78">
        <v>188.36090096141999</v>
      </c>
      <c r="M1126" s="78">
        <v>3970172.1501808343</v>
      </c>
      <c r="N1126" s="78" t="s">
        <v>1117</v>
      </c>
      <c r="O1126" s="25">
        <f t="shared" si="31"/>
        <v>-3.3949024868434541E-2</v>
      </c>
    </row>
    <row r="1127" spans="1:15">
      <c r="A1127" s="77">
        <v>311.63915648461</v>
      </c>
      <c r="B1127" s="77">
        <v>319.12874815279019</v>
      </c>
      <c r="C1127" s="77">
        <v>311.46829127544999</v>
      </c>
      <c r="D1127" s="77">
        <v>315.69245894635009</v>
      </c>
      <c r="E1127" s="77">
        <v>8150246.541388751</v>
      </c>
      <c r="F1127" s="77" t="s">
        <v>1118</v>
      </c>
      <c r="G1127" s="25">
        <f t="shared" si="30"/>
        <v>-1.2839402231109132E-2</v>
      </c>
      <c r="I1127" s="78">
        <v>185.41624339299</v>
      </c>
      <c r="J1127" s="78">
        <v>188.74963463381999</v>
      </c>
      <c r="K1127" s="78">
        <v>178.47248816974499</v>
      </c>
      <c r="L1127" s="78">
        <v>187.71949040196</v>
      </c>
      <c r="M1127" s="78">
        <v>2865660.680029117</v>
      </c>
      <c r="N1127" s="78" t="s">
        <v>1118</v>
      </c>
      <c r="O1127" s="25">
        <f t="shared" si="31"/>
        <v>-1.2269621039552758E-2</v>
      </c>
    </row>
    <row r="1128" spans="1:15">
      <c r="A1128" s="77">
        <v>316.46135238757012</v>
      </c>
      <c r="B1128" s="77">
        <v>320.18241694261025</v>
      </c>
      <c r="C1128" s="77">
        <v>313.75598657587</v>
      </c>
      <c r="D1128" s="77">
        <v>320.04002926831021</v>
      </c>
      <c r="E1128" s="77">
        <v>7616657.5185080143</v>
      </c>
      <c r="F1128" s="77" t="s">
        <v>1119</v>
      </c>
      <c r="G1128" s="25">
        <f t="shared" si="30"/>
        <v>-1.1181966483760908E-2</v>
      </c>
      <c r="I1128" s="78">
        <v>188.35118261961</v>
      </c>
      <c r="J1128" s="78">
        <v>202.42334156048997</v>
      </c>
      <c r="K1128" s="78">
        <v>185.81469540719999</v>
      </c>
      <c r="L1128" s="78">
        <v>191.53879873329001</v>
      </c>
      <c r="M1128" s="78">
        <v>3988648.5532041602</v>
      </c>
      <c r="N1128" s="78" t="s">
        <v>1119</v>
      </c>
      <c r="O1128" s="25">
        <f t="shared" si="31"/>
        <v>-1.6642143183317359E-2</v>
      </c>
    </row>
    <row r="1129" spans="1:15">
      <c r="A1129" s="77">
        <v>323.20103563777036</v>
      </c>
      <c r="B1129" s="77">
        <v>324.73882252021042</v>
      </c>
      <c r="C1129" s="77">
        <v>316.27150215517014</v>
      </c>
      <c r="D1129" s="77">
        <v>317.8092890376102</v>
      </c>
      <c r="E1129" s="77">
        <v>9148210.0287381299</v>
      </c>
      <c r="F1129" s="77" t="s">
        <v>1120</v>
      </c>
      <c r="G1129" s="25">
        <f t="shared" si="30"/>
        <v>1.6965352449223481E-2</v>
      </c>
      <c r="I1129" s="78">
        <v>195.62050229348998</v>
      </c>
      <c r="J1129" s="78">
        <v>197.19487366670998</v>
      </c>
      <c r="K1129" s="78">
        <v>187.25310717849811</v>
      </c>
      <c r="L1129" s="78">
        <v>187.99160397263998</v>
      </c>
      <c r="M1129" s="78">
        <v>3098278.5529335071</v>
      </c>
      <c r="N1129" s="78" t="s">
        <v>1120</v>
      </c>
      <c r="O1129" s="25">
        <f t="shared" si="31"/>
        <v>4.0581058726220087E-2</v>
      </c>
    </row>
    <row r="1130" spans="1:15">
      <c r="A1130" s="77">
        <v>316.97470740692296</v>
      </c>
      <c r="B1130" s="77">
        <v>323.07055660569051</v>
      </c>
      <c r="C1130" s="77">
        <v>314.79154281015502</v>
      </c>
      <c r="D1130" s="77">
        <v>321.1331161626714</v>
      </c>
      <c r="E1130" s="77">
        <v>6132369.6389270518</v>
      </c>
      <c r="F1130" s="77" t="s">
        <v>1121</v>
      </c>
      <c r="G1130" s="25">
        <f t="shared" si="30"/>
        <v>-1.2949174490126336E-2</v>
      </c>
      <c r="I1130" s="78">
        <v>181.57749837803999</v>
      </c>
      <c r="J1130" s="78">
        <v>185.25103158222001</v>
      </c>
      <c r="K1130" s="78">
        <v>179.667844212375</v>
      </c>
      <c r="L1130" s="78">
        <v>182.24806396292999</v>
      </c>
      <c r="M1130" s="78">
        <v>2127265.1656198539</v>
      </c>
      <c r="N1130" s="78" t="s">
        <v>1121</v>
      </c>
      <c r="O1130" s="25">
        <f t="shared" si="31"/>
        <v>-3.6794112941929136E-3</v>
      </c>
    </row>
    <row r="1131" spans="1:15">
      <c r="A1131" s="77">
        <v>317.87254566100495</v>
      </c>
      <c r="B1131" s="77">
        <v>322.90043988386446</v>
      </c>
      <c r="C1131" s="77">
        <v>316.67227767923214</v>
      </c>
      <c r="D1131" s="77">
        <v>319.65877124017874</v>
      </c>
      <c r="E1131" s="77">
        <v>5719740.3615314532</v>
      </c>
      <c r="F1131" s="77" t="s">
        <v>1122</v>
      </c>
      <c r="G1131" s="25">
        <f t="shared" si="30"/>
        <v>-5.5879135499513621E-3</v>
      </c>
      <c r="I1131" s="78">
        <v>178.93410940571999</v>
      </c>
      <c r="J1131" s="78">
        <v>188.97315649544998</v>
      </c>
      <c r="K1131" s="78">
        <v>177.25293345600809</v>
      </c>
      <c r="L1131" s="78">
        <v>184.17229564130997</v>
      </c>
      <c r="M1131" s="78">
        <v>1547671.4334664878</v>
      </c>
      <c r="N1131" s="78" t="s">
        <v>1122</v>
      </c>
      <c r="O1131" s="25">
        <f t="shared" si="31"/>
        <v>-2.8441770882802864E-2</v>
      </c>
    </row>
    <row r="1132" spans="1:15">
      <c r="A1132" s="77">
        <v>320.98190129882596</v>
      </c>
      <c r="B1132" s="77">
        <v>323.29737890145861</v>
      </c>
      <c r="C1132" s="77">
        <v>316.89909997500024</v>
      </c>
      <c r="D1132" s="77">
        <v>323.29737890145861</v>
      </c>
      <c r="E1132" s="77">
        <v>11101015.5834697</v>
      </c>
      <c r="F1132" s="77" t="s">
        <v>1123</v>
      </c>
      <c r="G1132" s="25">
        <f t="shared" si="30"/>
        <v>-7.1620673526661127E-3</v>
      </c>
      <c r="I1132" s="78">
        <v>185.01779137877998</v>
      </c>
      <c r="J1132" s="78">
        <v>188.98287483726</v>
      </c>
      <c r="K1132" s="78">
        <v>183.11299638401999</v>
      </c>
      <c r="L1132" s="78">
        <v>187.60287030024</v>
      </c>
      <c r="M1132" s="78">
        <v>1361484.3209553668</v>
      </c>
      <c r="N1132" s="78" t="s">
        <v>1123</v>
      </c>
      <c r="O1132" s="25">
        <f t="shared" si="31"/>
        <v>-1.3779527559055205E-2</v>
      </c>
    </row>
    <row r="1133" spans="1:15">
      <c r="A1133" s="77">
        <v>326.40673453927957</v>
      </c>
      <c r="B1133" s="77">
        <v>329.40267902921653</v>
      </c>
      <c r="C1133" s="77">
        <v>325.74516950995599</v>
      </c>
      <c r="D1133" s="77">
        <v>328.46703705917315</v>
      </c>
      <c r="E1133" s="77">
        <v>5878387.1994807124</v>
      </c>
      <c r="F1133" s="77" t="s">
        <v>1124</v>
      </c>
      <c r="G1133" s="25">
        <f t="shared" si="30"/>
        <v>-6.2724787800317872E-3</v>
      </c>
      <c r="I1133" s="78">
        <v>188.04019568168999</v>
      </c>
      <c r="J1133" s="78">
        <v>191.66513717682</v>
      </c>
      <c r="K1133" s="78">
        <v>184.3861963445481</v>
      </c>
      <c r="L1133" s="78">
        <v>190.57668289409997</v>
      </c>
      <c r="M1133" s="78">
        <v>1785614.288863956</v>
      </c>
      <c r="N1133" s="78" t="s">
        <v>1124</v>
      </c>
      <c r="O1133" s="25">
        <f t="shared" si="31"/>
        <v>-1.3309535951045337E-2</v>
      </c>
    </row>
    <row r="1134" spans="1:15">
      <c r="A1134" s="77">
        <v>329.18530766243873</v>
      </c>
      <c r="B1134" s="77">
        <v>339.57187862281944</v>
      </c>
      <c r="C1134" s="77">
        <v>329.18530766243873</v>
      </c>
      <c r="D1134" s="77">
        <v>336.81220735764094</v>
      </c>
      <c r="E1134" s="77">
        <v>5398836.4585288176</v>
      </c>
      <c r="F1134" s="77" t="s">
        <v>1125</v>
      </c>
      <c r="G1134" s="25">
        <f t="shared" si="30"/>
        <v>-2.2644368370840162E-2</v>
      </c>
      <c r="I1134" s="78">
        <v>192.58837964876997</v>
      </c>
      <c r="J1134" s="78">
        <v>201.16967546699999</v>
      </c>
      <c r="K1134" s="78">
        <v>189.61456705491</v>
      </c>
      <c r="L1134" s="78">
        <v>191.00428993373998</v>
      </c>
      <c r="M1134" s="78">
        <v>2401406.5831668871</v>
      </c>
      <c r="N1134" s="78" t="s">
        <v>1125</v>
      </c>
      <c r="O1134" s="25">
        <f t="shared" si="31"/>
        <v>8.2934771547775732E-3</v>
      </c>
    </row>
    <row r="1135" spans="1:15">
      <c r="A1135" s="77">
        <v>335.08268735240927</v>
      </c>
      <c r="B1135" s="77">
        <v>336.81220735764094</v>
      </c>
      <c r="C1135" s="77">
        <v>332.51505896431439</v>
      </c>
      <c r="D1135" s="77">
        <v>335.8671144586072</v>
      </c>
      <c r="E1135" s="77">
        <v>3834503.4691353231</v>
      </c>
      <c r="F1135" s="77" t="s">
        <v>1126</v>
      </c>
      <c r="G1135" s="25">
        <f t="shared" si="30"/>
        <v>-2.335528167032308E-3</v>
      </c>
      <c r="I1135" s="78">
        <v>189.21611504069998</v>
      </c>
      <c r="J1135" s="78">
        <v>191.23753013717999</v>
      </c>
      <c r="K1135" s="78">
        <v>187.08779818430997</v>
      </c>
      <c r="L1135" s="78">
        <v>190.72245802124999</v>
      </c>
      <c r="M1135" s="78">
        <v>1045695.8809107785</v>
      </c>
      <c r="N1135" s="78" t="s">
        <v>1126</v>
      </c>
      <c r="O1135" s="25">
        <f t="shared" si="31"/>
        <v>-7.8980891719746538E-3</v>
      </c>
    </row>
    <row r="1136" spans="1:15">
      <c r="A1136" s="77">
        <v>338.9008626645055</v>
      </c>
      <c r="B1136" s="77">
        <v>338.9008626645055</v>
      </c>
      <c r="C1136" s="77">
        <v>333.3815201341485</v>
      </c>
      <c r="D1136" s="77">
        <v>333.42877477910019</v>
      </c>
      <c r="E1136" s="77">
        <v>3610909.5767083964</v>
      </c>
      <c r="F1136" s="77" t="s">
        <v>1127</v>
      </c>
      <c r="G1136" s="25">
        <f t="shared" si="30"/>
        <v>1.641156462585025E-2</v>
      </c>
      <c r="I1136" s="78">
        <v>193.21035352460999</v>
      </c>
      <c r="J1136" s="78">
        <v>193.81289071683</v>
      </c>
      <c r="K1136" s="78">
        <v>186.31033083950999</v>
      </c>
      <c r="L1136" s="78">
        <v>191.95668743112</v>
      </c>
      <c r="M1136" s="78">
        <v>975668.50244383409</v>
      </c>
      <c r="N1136" s="78" t="s">
        <v>1127</v>
      </c>
      <c r="O1136" s="25">
        <f t="shared" si="31"/>
        <v>6.5309842041312294E-3</v>
      </c>
    </row>
    <row r="1137" spans="1:15">
      <c r="A1137" s="77">
        <v>336.32075905014341</v>
      </c>
      <c r="B1137" s="77">
        <v>336.90671664754433</v>
      </c>
      <c r="C1137" s="77">
        <v>333.32481456020651</v>
      </c>
      <c r="D1137" s="77">
        <v>335.09213828139957</v>
      </c>
      <c r="E1137" s="77">
        <v>4710931.5968324682</v>
      </c>
      <c r="F1137" s="77" t="s">
        <v>1128</v>
      </c>
      <c r="G1137" s="25">
        <f t="shared" si="30"/>
        <v>3.6665162454874167E-3</v>
      </c>
      <c r="I1137" s="78">
        <v>194.25021609827999</v>
      </c>
      <c r="J1137" s="78">
        <v>194.74585153058999</v>
      </c>
      <c r="K1137" s="78">
        <v>186.98089642439999</v>
      </c>
      <c r="L1137" s="78">
        <v>194.03641257845999</v>
      </c>
      <c r="M1137" s="78">
        <v>1843385.4612487643</v>
      </c>
      <c r="N1137" s="78" t="s">
        <v>1128</v>
      </c>
      <c r="O1137" s="25">
        <f t="shared" si="31"/>
        <v>1.1018731844134599E-3</v>
      </c>
    </row>
    <row r="1138" spans="1:15">
      <c r="A1138" s="77">
        <v>338.98592102541852</v>
      </c>
      <c r="B1138" s="77">
        <v>343.98546246130701</v>
      </c>
      <c r="C1138" s="77">
        <v>337.77620211465535</v>
      </c>
      <c r="D1138" s="77">
        <v>341.3297514150222</v>
      </c>
      <c r="E1138" s="77">
        <v>4028662.1599768368</v>
      </c>
      <c r="F1138" s="77" t="s">
        <v>1129</v>
      </c>
      <c r="G1138" s="25">
        <f t="shared" si="30"/>
        <v>-6.8667626536715876E-3</v>
      </c>
      <c r="I1138" s="78">
        <v>196.28134953656999</v>
      </c>
      <c r="J1138" s="78">
        <v>198.20558121494997</v>
      </c>
      <c r="K1138" s="78">
        <v>189.75062384025</v>
      </c>
      <c r="L1138" s="78">
        <v>190.479499476</v>
      </c>
      <c r="M1138" s="78">
        <v>1301838.3431401453</v>
      </c>
      <c r="N1138" s="78" t="s">
        <v>1129</v>
      </c>
      <c r="O1138" s="25">
        <f t="shared" si="31"/>
        <v>3.0459183673469337E-2</v>
      </c>
    </row>
    <row r="1139" spans="1:15">
      <c r="A1139" s="77">
        <v>342.81354726650517</v>
      </c>
      <c r="B1139" s="77">
        <v>344.17448104111372</v>
      </c>
      <c r="C1139" s="77">
        <v>339.78924998959718</v>
      </c>
      <c r="D1139" s="77">
        <v>342.67178333165009</v>
      </c>
      <c r="E1139" s="77">
        <v>3762074.6104802787</v>
      </c>
      <c r="F1139" s="77" t="s">
        <v>1130</v>
      </c>
      <c r="G1139" s="25">
        <f t="shared" si="30"/>
        <v>4.1370180374000753E-4</v>
      </c>
      <c r="I1139" s="78">
        <v>191.31527687166002</v>
      </c>
      <c r="J1139" s="78">
        <v>194.55148469438998</v>
      </c>
      <c r="K1139" s="78">
        <v>189.58541202948001</v>
      </c>
      <c r="L1139" s="78">
        <v>193.35612865176</v>
      </c>
      <c r="M1139" s="78">
        <v>1009195.8269988036</v>
      </c>
      <c r="N1139" s="78" t="s">
        <v>1130</v>
      </c>
      <c r="O1139" s="25">
        <f t="shared" si="31"/>
        <v>-1.0554885404101211E-2</v>
      </c>
    </row>
    <row r="1140" spans="1:15">
      <c r="A1140" s="77">
        <v>341.53767185280958</v>
      </c>
      <c r="B1140" s="77">
        <v>350.18527187896819</v>
      </c>
      <c r="C1140" s="77">
        <v>340.49816417316242</v>
      </c>
      <c r="D1140" s="77">
        <v>349.0606113291181</v>
      </c>
      <c r="E1140" s="77">
        <v>5871564.5897599189</v>
      </c>
      <c r="F1140" s="77" t="s">
        <v>1131</v>
      </c>
      <c r="G1140" s="25">
        <f t="shared" si="30"/>
        <v>-2.1551957545892786E-2</v>
      </c>
      <c r="I1140" s="78">
        <v>193.51162212072001</v>
      </c>
      <c r="J1140" s="78">
        <v>199.82854429721999</v>
      </c>
      <c r="K1140" s="78">
        <v>192.72443643411</v>
      </c>
      <c r="L1140" s="78">
        <v>197.74881914987998</v>
      </c>
      <c r="M1140" s="78">
        <v>1476880.5502633376</v>
      </c>
      <c r="N1140" s="78" t="s">
        <v>1131</v>
      </c>
      <c r="O1140" s="25">
        <f t="shared" si="31"/>
        <v>-2.1427167289168381E-2</v>
      </c>
    </row>
    <row r="1141" spans="1:15">
      <c r="A1141" s="77">
        <v>357.11280282888549</v>
      </c>
      <c r="B1141" s="77">
        <v>357.72711321325738</v>
      </c>
      <c r="C1141" s="77">
        <v>354.89183451615622</v>
      </c>
      <c r="D1141" s="77">
        <v>355.18481331485668</v>
      </c>
      <c r="E1141" s="77">
        <v>3133399.9049487179</v>
      </c>
      <c r="F1141" s="77" t="s">
        <v>1132</v>
      </c>
      <c r="G1141" s="25">
        <f t="shared" si="30"/>
        <v>5.4281304879995051E-3</v>
      </c>
      <c r="I1141" s="78">
        <v>206.50504512069</v>
      </c>
      <c r="J1141" s="78">
        <v>208.210614108345</v>
      </c>
      <c r="K1141" s="78">
        <v>204.12891054814497</v>
      </c>
      <c r="L1141" s="78">
        <v>205.23194234357999</v>
      </c>
      <c r="M1141" s="78">
        <v>1368910.4849461969</v>
      </c>
      <c r="N1141" s="78" t="s">
        <v>1132</v>
      </c>
      <c r="O1141" s="25">
        <f t="shared" si="31"/>
        <v>6.2032389430817236E-3</v>
      </c>
    </row>
    <row r="1142" spans="1:15">
      <c r="A1142" s="77">
        <v>353.22847101385685</v>
      </c>
      <c r="B1142" s="77">
        <v>354.04125090702587</v>
      </c>
      <c r="C1142" s="77">
        <v>349.66547078449969</v>
      </c>
      <c r="D1142" s="77">
        <v>349.91119493824846</v>
      </c>
      <c r="E1142" s="77">
        <v>2773865.9370738068</v>
      </c>
      <c r="F1142" s="77" t="s">
        <v>1133</v>
      </c>
      <c r="G1142" s="25">
        <f t="shared" si="30"/>
        <v>9.4803370786515906E-3</v>
      </c>
      <c r="I1142" s="78">
        <v>204.42531997334999</v>
      </c>
      <c r="J1142" s="78">
        <v>205.01444585387219</v>
      </c>
      <c r="K1142" s="78">
        <v>199.28431715585998</v>
      </c>
      <c r="L1142" s="78">
        <v>202.14150964799998</v>
      </c>
      <c r="M1142" s="78">
        <v>1504140.3446994009</v>
      </c>
      <c r="N1142" s="78" t="s">
        <v>1133</v>
      </c>
      <c r="O1142" s="25">
        <f t="shared" si="31"/>
        <v>1.1298076923077049E-2</v>
      </c>
    </row>
    <row r="1143" spans="1:15">
      <c r="A1143" s="77">
        <v>347.86034334734524</v>
      </c>
      <c r="B1143" s="77">
        <v>348.24783143594914</v>
      </c>
      <c r="C1143" s="77">
        <v>342.37880453294963</v>
      </c>
      <c r="D1143" s="77">
        <v>343.42313218638191</v>
      </c>
      <c r="E1143" s="77">
        <v>3906533.4252058854</v>
      </c>
      <c r="F1143" s="77" t="s">
        <v>1134</v>
      </c>
      <c r="G1143" s="25">
        <f t="shared" si="30"/>
        <v>1.2920536635706803E-2</v>
      </c>
      <c r="I1143" s="78">
        <v>201.47094406310998</v>
      </c>
      <c r="J1143" s="78">
        <v>201.68474758292999</v>
      </c>
      <c r="K1143" s="78">
        <v>194.38627288361999</v>
      </c>
      <c r="L1143" s="78">
        <v>196.37853295466999</v>
      </c>
      <c r="M1143" s="78">
        <v>1509501.3415668285</v>
      </c>
      <c r="N1143" s="78" t="s">
        <v>1134</v>
      </c>
      <c r="O1143" s="25">
        <f t="shared" si="31"/>
        <v>2.5931607858662886E-2</v>
      </c>
    </row>
    <row r="1144" spans="1:15">
      <c r="A1144" s="77">
        <v>345.60157131865463</v>
      </c>
      <c r="B1144" s="77">
        <v>346.25841088348312</v>
      </c>
      <c r="C1144" s="77">
        <v>338.99574999156852</v>
      </c>
      <c r="D1144" s="77">
        <v>339.15603774724462</v>
      </c>
      <c r="E1144" s="77">
        <v>4377295.6121346867</v>
      </c>
      <c r="F1144" s="77" t="s">
        <v>1135</v>
      </c>
      <c r="G1144" s="25">
        <f t="shared" si="30"/>
        <v>1.9004625759349025E-2</v>
      </c>
      <c r="I1144" s="78">
        <v>199.95488274074998</v>
      </c>
      <c r="J1144" s="78">
        <v>200.81009682003</v>
      </c>
      <c r="K1144" s="78">
        <v>192.03929333650498</v>
      </c>
      <c r="L1144" s="78">
        <v>195.33867038099999</v>
      </c>
      <c r="M1144" s="78">
        <v>1453304.5118321476</v>
      </c>
      <c r="N1144" s="78" t="s">
        <v>1135</v>
      </c>
      <c r="O1144" s="25">
        <f t="shared" si="31"/>
        <v>2.3631840796019876E-2</v>
      </c>
    </row>
    <row r="1145" spans="1:15">
      <c r="A1145" s="77">
        <v>339.51517304887744</v>
      </c>
      <c r="B1145" s="77">
        <v>342.38825546193993</v>
      </c>
      <c r="C1145" s="77">
        <v>337.39816495504186</v>
      </c>
      <c r="D1145" s="77">
        <v>341.51876999482897</v>
      </c>
      <c r="E1145" s="77">
        <v>6010322.3776282622</v>
      </c>
      <c r="F1145" s="77" t="s">
        <v>1136</v>
      </c>
      <c r="G1145" s="25">
        <f t="shared" si="30"/>
        <v>-5.8667257029002551E-3</v>
      </c>
      <c r="I1145" s="78">
        <v>195.35810706462001</v>
      </c>
      <c r="J1145" s="78">
        <v>203.08904797447499</v>
      </c>
      <c r="K1145" s="78">
        <v>194.57578054891499</v>
      </c>
      <c r="L1145" s="78">
        <v>198.50684981105999</v>
      </c>
      <c r="M1145" s="78">
        <v>2276246.3424817533</v>
      </c>
      <c r="N1145" s="78" t="s">
        <v>1136</v>
      </c>
      <c r="O1145" s="25">
        <f t="shared" si="31"/>
        <v>-1.5862136492705292E-2</v>
      </c>
    </row>
    <row r="1146" spans="1:15">
      <c r="A1146" s="77">
        <v>340.65873545670826</v>
      </c>
      <c r="B1146" s="77">
        <v>348.86214182032103</v>
      </c>
      <c r="C1146" s="77">
        <v>339.08043031532191</v>
      </c>
      <c r="D1146" s="77">
        <v>347.74693219946118</v>
      </c>
      <c r="E1146" s="77">
        <v>4808228.9102436844</v>
      </c>
      <c r="F1146" s="77" t="s">
        <v>1137</v>
      </c>
      <c r="G1146" s="25">
        <f t="shared" si="30"/>
        <v>-2.0383204239706298E-2</v>
      </c>
      <c r="I1146" s="78">
        <v>190.54752786866999</v>
      </c>
      <c r="J1146" s="78">
        <v>198.49713146924998</v>
      </c>
      <c r="K1146" s="78">
        <v>189.86724394197</v>
      </c>
      <c r="L1146" s="78">
        <v>198.07924277141998</v>
      </c>
      <c r="M1146" s="78">
        <v>1314041.0421518197</v>
      </c>
      <c r="N1146" s="78" t="s">
        <v>1137</v>
      </c>
      <c r="O1146" s="25">
        <f t="shared" si="31"/>
        <v>-3.8023746442939821E-2</v>
      </c>
    </row>
    <row r="1147" spans="1:15">
      <c r="A1147" s="77">
        <v>344.26899033101705</v>
      </c>
      <c r="B1147" s="77">
        <v>344.67538027760156</v>
      </c>
      <c r="C1147" s="77">
        <v>338.82525523258278</v>
      </c>
      <c r="D1147" s="77">
        <v>341.2730458410802</v>
      </c>
      <c r="E1147" s="77">
        <v>6482789.1588902213</v>
      </c>
      <c r="F1147" s="77" t="s">
        <v>1138</v>
      </c>
      <c r="G1147" s="25">
        <f t="shared" si="30"/>
        <v>8.7787316532814685E-3</v>
      </c>
      <c r="I1147" s="78">
        <v>194.96937339222001</v>
      </c>
      <c r="J1147" s="78">
        <v>199.22600710499998</v>
      </c>
      <c r="K1147" s="78">
        <v>185.81469540719999</v>
      </c>
      <c r="L1147" s="78">
        <v>194.36683619999999</v>
      </c>
      <c r="M1147" s="78">
        <v>2315469.0830945368</v>
      </c>
      <c r="N1147" s="78" t="s">
        <v>1138</v>
      </c>
      <c r="O1147" s="25">
        <f t="shared" si="31"/>
        <v>3.1000000000001027E-3</v>
      </c>
    </row>
    <row r="1148" spans="1:15">
      <c r="A1148" s="77">
        <v>343.21048628409932</v>
      </c>
      <c r="B1148" s="77">
        <v>348.5408102346496</v>
      </c>
      <c r="C1148" s="77">
        <v>343.17268256813799</v>
      </c>
      <c r="D1148" s="77">
        <v>347.42560061378975</v>
      </c>
      <c r="E1148" s="77">
        <v>4298560.4951148899</v>
      </c>
      <c r="F1148" s="77" t="s">
        <v>1139</v>
      </c>
      <c r="G1148" s="25">
        <f t="shared" ref="G1148:G1211" si="32">A1148/D1148-1</f>
        <v>-1.2132422948233135E-2</v>
      </c>
      <c r="I1148" s="78">
        <v>195.96064425683997</v>
      </c>
      <c r="J1148" s="78">
        <v>202.82179357469997</v>
      </c>
      <c r="K1148" s="78">
        <v>195.40669877366997</v>
      </c>
      <c r="L1148" s="78">
        <v>202.29700311695998</v>
      </c>
      <c r="M1148" s="78">
        <v>1617710.130736799</v>
      </c>
      <c r="N1148" s="78" t="s">
        <v>1139</v>
      </c>
      <c r="O1148" s="25">
        <f t="shared" ref="O1148:O1211" si="33">I1148/L1148-1</f>
        <v>-3.1322059953881709E-2</v>
      </c>
    </row>
    <row r="1149" spans="1:15">
      <c r="A1149" s="77">
        <v>345.93235383331643</v>
      </c>
      <c r="B1149" s="77">
        <v>351.05003188158412</v>
      </c>
      <c r="C1149" s="77">
        <v>344.03271710625864</v>
      </c>
      <c r="D1149" s="77">
        <v>350.91299341122425</v>
      </c>
      <c r="E1149" s="77">
        <v>5337608.6151504973</v>
      </c>
      <c r="F1149" s="77" t="s">
        <v>1140</v>
      </c>
      <c r="G1149" s="25">
        <f t="shared" si="32"/>
        <v>-1.4193374629679734E-2</v>
      </c>
      <c r="I1149" s="78">
        <v>199.46896565025</v>
      </c>
      <c r="J1149" s="78">
        <v>207.01039889480998</v>
      </c>
      <c r="K1149" s="78">
        <v>198.608892400065</v>
      </c>
      <c r="L1149" s="78">
        <v>205.67898606683997</v>
      </c>
      <c r="M1149" s="78">
        <v>1638968.9014241414</v>
      </c>
      <c r="N1149" s="78" t="s">
        <v>1140</v>
      </c>
      <c r="O1149" s="25">
        <f t="shared" si="33"/>
        <v>-3.0192780192780044E-2</v>
      </c>
    </row>
    <row r="1150" spans="1:15">
      <c r="A1150" s="77">
        <v>349.73162728743205</v>
      </c>
      <c r="B1150" s="77">
        <v>352.56690598453326</v>
      </c>
      <c r="C1150" s="77">
        <v>348.53135930565918</v>
      </c>
      <c r="D1150" s="77">
        <v>349.46700127570261</v>
      </c>
      <c r="E1150" s="77">
        <v>5240922.8818290168</v>
      </c>
      <c r="F1150" s="77" t="s">
        <v>1141</v>
      </c>
      <c r="G1150" s="25">
        <f t="shared" si="32"/>
        <v>7.5722746572193245E-4</v>
      </c>
      <c r="I1150" s="78">
        <v>204.26010816258</v>
      </c>
      <c r="J1150" s="78">
        <v>204.60996846773998</v>
      </c>
      <c r="K1150" s="78">
        <v>197.29205708480998</v>
      </c>
      <c r="L1150" s="78">
        <v>197.93346764426997</v>
      </c>
      <c r="M1150" s="78">
        <v>1683587.6242965774</v>
      </c>
      <c r="N1150" s="78" t="s">
        <v>1141</v>
      </c>
      <c r="O1150" s="25">
        <f t="shared" si="33"/>
        <v>3.1963470319634757E-2</v>
      </c>
    </row>
    <row r="1151" spans="1:15">
      <c r="A1151" s="77">
        <v>352.05655581905501</v>
      </c>
      <c r="B1151" s="77">
        <v>364.85311367197176</v>
      </c>
      <c r="C1151" s="77">
        <v>352.05655581905501</v>
      </c>
      <c r="D1151" s="77">
        <v>364.38056722245489</v>
      </c>
      <c r="E1151" s="77">
        <v>5452543.3481392413</v>
      </c>
      <c r="F1151" s="77" t="s">
        <v>1142</v>
      </c>
      <c r="G1151" s="25">
        <f t="shared" si="32"/>
        <v>-3.3821812994423661E-2</v>
      </c>
      <c r="I1151" s="78">
        <v>199.58558575197</v>
      </c>
      <c r="J1151" s="78">
        <v>211.59745622912999</v>
      </c>
      <c r="K1151" s="78">
        <v>199.57586741016001</v>
      </c>
      <c r="L1151" s="78">
        <v>210.46041023736001</v>
      </c>
      <c r="M1151" s="78">
        <v>1535901.9359291296</v>
      </c>
      <c r="N1151" s="78" t="s">
        <v>1142</v>
      </c>
      <c r="O1151" s="25">
        <f t="shared" si="33"/>
        <v>-5.1671592168452185E-2</v>
      </c>
    </row>
    <row r="1152" spans="1:15">
      <c r="A1152" s="77">
        <v>364.55068394428099</v>
      </c>
      <c r="B1152" s="77">
        <v>364.55068394428099</v>
      </c>
      <c r="C1152" s="77">
        <v>359.79686666214127</v>
      </c>
      <c r="D1152" s="77">
        <v>360.79866513511701</v>
      </c>
      <c r="E1152" s="77">
        <v>2784160.1631863369</v>
      </c>
      <c r="F1152" s="77" t="s">
        <v>1143</v>
      </c>
      <c r="G1152" s="25">
        <f t="shared" si="32"/>
        <v>1.0399203688181258E-2</v>
      </c>
      <c r="I1152" s="78">
        <v>211.39337105112</v>
      </c>
      <c r="J1152" s="78">
        <v>211.95703487609998</v>
      </c>
      <c r="K1152" s="78">
        <v>206.4176772278181</v>
      </c>
      <c r="L1152" s="78">
        <v>206.69941195689</v>
      </c>
      <c r="M1152" s="78">
        <v>1852476.5183166573</v>
      </c>
      <c r="N1152" s="78" t="s">
        <v>1143</v>
      </c>
      <c r="O1152" s="25">
        <f t="shared" si="33"/>
        <v>2.2709107151253072E-2</v>
      </c>
    </row>
    <row r="1153" spans="1:15">
      <c r="A1153" s="77">
        <v>359.3148692836341</v>
      </c>
      <c r="B1153" s="77">
        <v>360.62854841329096</v>
      </c>
      <c r="C1153" s="77">
        <v>357.41523255657631</v>
      </c>
      <c r="D1153" s="77">
        <v>358.09569944388056</v>
      </c>
      <c r="E1153" s="77">
        <v>2371454.7028037813</v>
      </c>
      <c r="F1153" s="77" t="s">
        <v>1144</v>
      </c>
      <c r="G1153" s="25">
        <f t="shared" si="32"/>
        <v>3.4045922406968909E-3</v>
      </c>
      <c r="I1153" s="78">
        <v>204.81405364574999</v>
      </c>
      <c r="J1153" s="78">
        <v>205.98997300476</v>
      </c>
      <c r="K1153" s="78">
        <v>189.87210311287498</v>
      </c>
      <c r="L1153" s="78">
        <v>190.13935751265001</v>
      </c>
      <c r="M1153" s="78">
        <v>2284500.8370826175</v>
      </c>
      <c r="N1153" s="78" t="s">
        <v>1144</v>
      </c>
      <c r="O1153" s="25">
        <f t="shared" si="33"/>
        <v>7.7178635318170041E-2</v>
      </c>
    </row>
    <row r="1154" spans="1:15">
      <c r="A1154" s="77">
        <v>358.22801244974534</v>
      </c>
      <c r="B1154" s="77">
        <v>360.90262535401075</v>
      </c>
      <c r="C1154" s="77">
        <v>357.73968294881456</v>
      </c>
      <c r="D1154" s="77">
        <v>358.71946075724281</v>
      </c>
      <c r="E1154" s="77">
        <v>3035875.1006736723</v>
      </c>
      <c r="F1154" s="77" t="s">
        <v>1145</v>
      </c>
      <c r="G1154" s="25">
        <f t="shared" si="32"/>
        <v>-1.3700073769625787E-3</v>
      </c>
      <c r="I1154" s="78">
        <v>189.35217182604001</v>
      </c>
      <c r="J1154" s="78">
        <v>190.97027573740499</v>
      </c>
      <c r="K1154" s="78">
        <v>186.3977959158</v>
      </c>
      <c r="L1154" s="78">
        <v>189.08977659716999</v>
      </c>
      <c r="M1154" s="78">
        <v>1110730.638110783</v>
      </c>
      <c r="N1154" s="78" t="s">
        <v>1145</v>
      </c>
      <c r="O1154" s="25">
        <f t="shared" si="33"/>
        <v>1.3876753867503311E-3</v>
      </c>
    </row>
    <row r="1155" spans="1:15">
      <c r="A1155" s="77">
        <v>359.07859605887563</v>
      </c>
      <c r="B1155" s="77">
        <v>362.4809304953971</v>
      </c>
      <c r="C1155" s="77">
        <v>358.27526709469697</v>
      </c>
      <c r="D1155" s="77">
        <v>362.37697027650336</v>
      </c>
      <c r="E1155" s="77">
        <v>4395036.7252222393</v>
      </c>
      <c r="F1155" s="77" t="s">
        <v>1146</v>
      </c>
      <c r="G1155" s="25">
        <f t="shared" si="32"/>
        <v>-9.1020525258848073E-3</v>
      </c>
      <c r="I1155" s="78">
        <v>190.07132911997999</v>
      </c>
      <c r="J1155" s="78">
        <v>195.9217708896</v>
      </c>
      <c r="K1155" s="78">
        <v>188.56498613943</v>
      </c>
      <c r="L1155" s="78">
        <v>194.14331433837</v>
      </c>
      <c r="M1155" s="78">
        <v>1131101.3972248833</v>
      </c>
      <c r="N1155" s="78" t="s">
        <v>1146</v>
      </c>
      <c r="O1155" s="25">
        <f t="shared" si="33"/>
        <v>-2.0974120238274052E-2</v>
      </c>
    </row>
    <row r="1156" spans="1:15">
      <c r="A1156" s="77">
        <v>366.80945597297159</v>
      </c>
      <c r="B1156" s="77">
        <v>369.48406887723701</v>
      </c>
      <c r="C1156" s="77">
        <v>365.98722515081221</v>
      </c>
      <c r="D1156" s="77">
        <v>369.2477956524786</v>
      </c>
      <c r="E1156" s="77">
        <v>3067455.0649613254</v>
      </c>
      <c r="F1156" s="77" t="s">
        <v>1147</v>
      </c>
      <c r="G1156" s="25">
        <f t="shared" si="32"/>
        <v>-6.6035321218325116E-3</v>
      </c>
      <c r="I1156" s="78">
        <v>197.03938019775001</v>
      </c>
      <c r="J1156" s="78">
        <v>203.33686569062999</v>
      </c>
      <c r="K1156" s="78">
        <v>195.97522176955499</v>
      </c>
      <c r="L1156" s="78">
        <v>201.52925411396998</v>
      </c>
      <c r="M1156" s="78">
        <v>1354349.3589057042</v>
      </c>
      <c r="N1156" s="78" t="s">
        <v>1147</v>
      </c>
      <c r="O1156" s="25">
        <f t="shared" si="33"/>
        <v>-2.2279018180064503E-2</v>
      </c>
    </row>
    <row r="1157" spans="1:15">
      <c r="A1157" s="77">
        <v>371.94131041472474</v>
      </c>
      <c r="B1157" s="77">
        <v>372.38550407727058</v>
      </c>
      <c r="C1157" s="77">
        <v>369.69198931502444</v>
      </c>
      <c r="D1157" s="77">
        <v>370.87335543881665</v>
      </c>
      <c r="E1157" s="77">
        <v>3447365.8656530841</v>
      </c>
      <c r="F1157" s="77" t="s">
        <v>1148</v>
      </c>
      <c r="G1157" s="25">
        <f t="shared" si="32"/>
        <v>2.8795678099995392E-3</v>
      </c>
      <c r="I1157" s="78">
        <v>203.17165387986</v>
      </c>
      <c r="J1157" s="78">
        <v>207.540048523455</v>
      </c>
      <c r="K1157" s="78">
        <v>201.26685888509999</v>
      </c>
      <c r="L1157" s="78">
        <v>207.000680553</v>
      </c>
      <c r="M1157" s="78">
        <v>1052234.0333283667</v>
      </c>
      <c r="N1157" s="78" t="s">
        <v>1148</v>
      </c>
      <c r="O1157" s="25">
        <f t="shared" si="33"/>
        <v>-1.8497652582159629E-2</v>
      </c>
    </row>
    <row r="1158" spans="1:15">
      <c r="A1158" s="77">
        <v>370.79774800689387</v>
      </c>
      <c r="B1158" s="77">
        <v>373.16993118346858</v>
      </c>
      <c r="C1158" s="77">
        <v>368.86323735186176</v>
      </c>
      <c r="D1158" s="77">
        <v>370.06057554564762</v>
      </c>
      <c r="E1158" s="77">
        <v>3409532.5478527313</v>
      </c>
      <c r="F1158" s="77" t="s">
        <v>1149</v>
      </c>
      <c r="G1158" s="25">
        <f t="shared" si="32"/>
        <v>1.9920318725097363E-3</v>
      </c>
      <c r="I1158" s="78">
        <v>207.02011723662</v>
      </c>
      <c r="J1158" s="78">
        <v>212.42351528297999</v>
      </c>
      <c r="K1158" s="78">
        <v>204.6878123856381</v>
      </c>
      <c r="L1158" s="78">
        <v>210.11054993219997</v>
      </c>
      <c r="M1158" s="78">
        <v>1316810.0330482202</v>
      </c>
      <c r="N1158" s="78" t="s">
        <v>1149</v>
      </c>
      <c r="O1158" s="25">
        <f t="shared" si="33"/>
        <v>-1.470860314523581E-2</v>
      </c>
    </row>
    <row r="1159" spans="1:15">
      <c r="A1159" s="77">
        <v>373.34949883428499</v>
      </c>
      <c r="B1159" s="77">
        <v>375.09792069749739</v>
      </c>
      <c r="C1159" s="77">
        <v>370.89225729679731</v>
      </c>
      <c r="D1159" s="77">
        <v>371.64833161602428</v>
      </c>
      <c r="E1159" s="77">
        <v>4089385.2910665683</v>
      </c>
      <c r="F1159" s="77" t="s">
        <v>1150</v>
      </c>
      <c r="G1159" s="25">
        <f t="shared" si="32"/>
        <v>4.5773573390295308E-3</v>
      </c>
      <c r="I1159" s="78">
        <v>213.63830800923</v>
      </c>
      <c r="J1159" s="78">
        <v>218.5562748821805</v>
      </c>
      <c r="K1159" s="78">
        <v>207.49641316872808</v>
      </c>
      <c r="L1159" s="78">
        <v>217.89494172201</v>
      </c>
      <c r="M1159" s="78">
        <v>2098732.5202960731</v>
      </c>
      <c r="N1159" s="78" t="s">
        <v>1150</v>
      </c>
      <c r="O1159" s="25">
        <f t="shared" si="33"/>
        <v>-1.9535257125016692E-2</v>
      </c>
    </row>
    <row r="1160" spans="1:15">
      <c r="A1160" s="77">
        <v>372.69738473395171</v>
      </c>
      <c r="B1160" s="77">
        <v>373.08487282255555</v>
      </c>
      <c r="C1160" s="77">
        <v>369.0209733567105</v>
      </c>
      <c r="D1160" s="77">
        <v>369.04932614368153</v>
      </c>
      <c r="E1160" s="77">
        <v>3390072.0270734467</v>
      </c>
      <c r="F1160" s="77" t="s">
        <v>1151</v>
      </c>
      <c r="G1160" s="25">
        <f t="shared" si="32"/>
        <v>9.8850162616199722E-3</v>
      </c>
      <c r="I1160" s="78">
        <v>220.20790707278999</v>
      </c>
      <c r="J1160" s="78">
        <v>225.11566968683996</v>
      </c>
      <c r="K1160" s="78">
        <v>202.29700311695998</v>
      </c>
      <c r="L1160" s="78">
        <v>202.35531316781999</v>
      </c>
      <c r="M1160" s="78">
        <v>4144817.1702040597</v>
      </c>
      <c r="N1160" s="78" t="s">
        <v>1151</v>
      </c>
      <c r="O1160" s="25">
        <f t="shared" si="33"/>
        <v>8.8223993852655891E-2</v>
      </c>
    </row>
    <row r="1161" spans="1:15">
      <c r="A1161" s="77">
        <v>371.10962866357505</v>
      </c>
      <c r="B1161" s="77">
        <v>371.15688330852674</v>
      </c>
      <c r="C1161" s="77">
        <v>365.83601028696683</v>
      </c>
      <c r="D1161" s="77">
        <v>366.64879018013585</v>
      </c>
      <c r="E1161" s="77">
        <v>3877245.2991091809</v>
      </c>
      <c r="F1161" s="77" t="s">
        <v>1152</v>
      </c>
      <c r="G1161" s="25">
        <f t="shared" si="32"/>
        <v>1.216651630364729E-2</v>
      </c>
      <c r="I1161" s="78">
        <v>202.457355756825</v>
      </c>
      <c r="J1161" s="78">
        <v>205.69842275046</v>
      </c>
      <c r="K1161" s="78">
        <v>192.42316783799998</v>
      </c>
      <c r="L1161" s="78">
        <v>194.74585153058999</v>
      </c>
      <c r="M1161" s="78">
        <v>6752989.4793852698</v>
      </c>
      <c r="N1161" s="78" t="s">
        <v>1152</v>
      </c>
      <c r="O1161" s="25">
        <f t="shared" si="33"/>
        <v>3.9597784320574814E-2</v>
      </c>
    </row>
    <row r="1162" spans="1:15">
      <c r="A1162" s="77">
        <v>364.86256460096206</v>
      </c>
      <c r="B1162" s="77">
        <v>369.20054100752691</v>
      </c>
      <c r="C1162" s="77">
        <v>364.23880328759981</v>
      </c>
      <c r="D1162" s="77">
        <v>367.51827564724687</v>
      </c>
      <c r="E1162" s="77">
        <v>3783088.417715848</v>
      </c>
      <c r="F1162" s="77" t="s">
        <v>1153</v>
      </c>
      <c r="G1162" s="25">
        <f t="shared" si="32"/>
        <v>-7.226065266027315E-3</v>
      </c>
      <c r="I1162" s="78">
        <v>221.03396612664</v>
      </c>
      <c r="J1162" s="78">
        <v>229.63469862848999</v>
      </c>
      <c r="K1162" s="78">
        <v>219.10487527735501</v>
      </c>
      <c r="L1162" s="78">
        <v>223.09425459035998</v>
      </c>
      <c r="M1162" s="78">
        <v>2908301.6992587135</v>
      </c>
      <c r="N1162" s="78" t="s">
        <v>1153</v>
      </c>
      <c r="O1162" s="25">
        <f t="shared" si="33"/>
        <v>-9.2350583725386848E-3</v>
      </c>
    </row>
    <row r="1163" spans="1:15">
      <c r="A1163" s="77">
        <v>364.86256460096206</v>
      </c>
      <c r="B1163" s="77">
        <v>365.02323039379786</v>
      </c>
      <c r="C1163" s="77">
        <v>362.06508961982229</v>
      </c>
      <c r="D1163" s="77">
        <v>363.85131519899602</v>
      </c>
      <c r="E1163" s="77">
        <v>3863103.8321553348</v>
      </c>
      <c r="F1163" s="77" t="s">
        <v>1154</v>
      </c>
      <c r="G1163" s="25">
        <f t="shared" si="32"/>
        <v>2.779292968648317E-3</v>
      </c>
      <c r="I1163" s="78">
        <v>220.89790934129999</v>
      </c>
      <c r="J1163" s="78">
        <v>220.91734602491999</v>
      </c>
      <c r="K1163" s="78">
        <v>214.15338012516</v>
      </c>
      <c r="L1163" s="78">
        <v>215.26127109149999</v>
      </c>
      <c r="M1163" s="78">
        <v>1037765.515679058</v>
      </c>
      <c r="N1163" s="78" t="s">
        <v>1154</v>
      </c>
      <c r="O1163" s="25">
        <f t="shared" si="33"/>
        <v>2.6185101580135539E-2</v>
      </c>
    </row>
    <row r="1164" spans="1:15">
      <c r="A1164" s="77">
        <v>357.37742884061493</v>
      </c>
      <c r="B1164" s="77">
        <v>358.57769682238779</v>
      </c>
      <c r="C1164" s="77">
        <v>356.39453222561986</v>
      </c>
      <c r="D1164" s="77">
        <v>358.20911059176461</v>
      </c>
      <c r="E1164" s="77">
        <v>2497663.4597650827</v>
      </c>
      <c r="F1164" s="77" t="s">
        <v>1155</v>
      </c>
      <c r="G1164" s="25">
        <f t="shared" si="32"/>
        <v>-2.3217772149226601E-3</v>
      </c>
      <c r="I1164" s="78">
        <v>208.7499820788</v>
      </c>
      <c r="J1164" s="78">
        <v>215.747188182</v>
      </c>
      <c r="K1164" s="78">
        <v>207.57406271978999</v>
      </c>
      <c r="L1164" s="78">
        <v>215.26127109149999</v>
      </c>
      <c r="M1164" s="78">
        <v>828052.78486083634</v>
      </c>
      <c r="N1164" s="78" t="s">
        <v>1155</v>
      </c>
      <c r="O1164" s="25">
        <f t="shared" si="33"/>
        <v>-3.0248306997742613E-2</v>
      </c>
    </row>
    <row r="1165" spans="1:15">
      <c r="A1165" s="77">
        <v>358.79506818916553</v>
      </c>
      <c r="B1165" s="77">
        <v>362.82759057076265</v>
      </c>
      <c r="C1165" s="77">
        <v>357.78381878719944</v>
      </c>
      <c r="D1165" s="77">
        <v>360.81756699309767</v>
      </c>
      <c r="E1165" s="77">
        <v>3656093.4946530345</v>
      </c>
      <c r="F1165" s="77" t="s">
        <v>1156</v>
      </c>
      <c r="G1165" s="25">
        <f t="shared" si="32"/>
        <v>-5.605322437005511E-3</v>
      </c>
      <c r="I1165" s="78">
        <v>216.69958567937999</v>
      </c>
      <c r="J1165" s="78">
        <v>224.16327218946</v>
      </c>
      <c r="K1165" s="78">
        <v>216.20395024707</v>
      </c>
      <c r="L1165" s="78">
        <v>220.13987868012001</v>
      </c>
      <c r="M1165" s="78">
        <v>853948.14900012256</v>
      </c>
      <c r="N1165" s="78" t="s">
        <v>1156</v>
      </c>
      <c r="O1165" s="25">
        <f t="shared" si="33"/>
        <v>-1.5627759138265973E-2</v>
      </c>
    </row>
    <row r="1166" spans="1:15">
      <c r="A1166" s="77">
        <v>359.11639977483702</v>
      </c>
      <c r="B1166" s="77">
        <v>359.79686666214127</v>
      </c>
      <c r="C1166" s="77">
        <v>355.86528020216099</v>
      </c>
      <c r="D1166" s="77">
        <v>355.96924042105468</v>
      </c>
      <c r="E1166" s="77">
        <v>3017787.9898536913</v>
      </c>
      <c r="F1166" s="77" t="s">
        <v>1157</v>
      </c>
      <c r="G1166" s="25">
        <f t="shared" si="32"/>
        <v>8.8410991636798109E-3</v>
      </c>
      <c r="I1166" s="78">
        <v>217.46733468236999</v>
      </c>
      <c r="J1166" s="78">
        <v>219.68311661505001</v>
      </c>
      <c r="K1166" s="78">
        <v>212.370064403025</v>
      </c>
      <c r="L1166" s="78">
        <v>214.46436706308</v>
      </c>
      <c r="M1166" s="78">
        <v>769589.10750639671</v>
      </c>
      <c r="N1166" s="78" t="s">
        <v>1157</v>
      </c>
      <c r="O1166" s="25">
        <f t="shared" si="33"/>
        <v>1.4002175095160441E-2</v>
      </c>
    </row>
    <row r="1167" spans="1:15">
      <c r="A1167" s="77">
        <v>359.86302316507363</v>
      </c>
      <c r="B1167" s="77">
        <v>360.58129376833926</v>
      </c>
      <c r="C1167" s="77">
        <v>358.36977638460036</v>
      </c>
      <c r="D1167" s="77">
        <v>359.96698338396737</v>
      </c>
      <c r="E1167" s="77">
        <v>3608778.5692676897</v>
      </c>
      <c r="F1167" s="77" t="s">
        <v>1158</v>
      </c>
      <c r="G1167" s="25">
        <f t="shared" si="32"/>
        <v>-2.888048729259296E-4</v>
      </c>
      <c r="I1167" s="78">
        <v>218.93480429567998</v>
      </c>
      <c r="J1167" s="78">
        <v>218.96395932111</v>
      </c>
      <c r="K1167" s="78">
        <v>212.72478387908998</v>
      </c>
      <c r="L1167" s="78">
        <v>218.03099850734998</v>
      </c>
      <c r="M1167" s="78">
        <v>887431.22732374864</v>
      </c>
      <c r="N1167" s="78" t="s">
        <v>1158</v>
      </c>
      <c r="O1167" s="25">
        <f t="shared" si="33"/>
        <v>4.1453086694895891E-3</v>
      </c>
    </row>
    <row r="1168" spans="1:15">
      <c r="A1168" s="77">
        <v>360.14655103478378</v>
      </c>
      <c r="B1168" s="77">
        <v>361.11999672078855</v>
      </c>
      <c r="C1168" s="77">
        <v>356.21496457480345</v>
      </c>
      <c r="D1168" s="77">
        <v>356.47959058653288</v>
      </c>
      <c r="E1168" s="77">
        <v>4078730.2538630348</v>
      </c>
      <c r="F1168" s="77" t="s">
        <v>1159</v>
      </c>
      <c r="G1168" s="25">
        <f t="shared" si="32"/>
        <v>1.0286592963758334E-2</v>
      </c>
      <c r="I1168" s="78">
        <v>216.8162057811</v>
      </c>
      <c r="J1168" s="78">
        <v>220.8006287397819</v>
      </c>
      <c r="K1168" s="78">
        <v>216.53534570279101</v>
      </c>
      <c r="L1168" s="78">
        <v>217.85606835476997</v>
      </c>
      <c r="M1168" s="78">
        <v>1302620.3695545876</v>
      </c>
      <c r="N1168" s="78" t="s">
        <v>1159</v>
      </c>
      <c r="O1168" s="25">
        <f t="shared" si="33"/>
        <v>-4.7731632243386279E-3</v>
      </c>
    </row>
    <row r="1169" spans="1:15">
      <c r="A1169" s="77">
        <v>354.60830664644607</v>
      </c>
      <c r="B1169" s="77">
        <v>358.78278198147808</v>
      </c>
      <c r="C1169" s="77">
        <v>353.41748959366362</v>
      </c>
      <c r="D1169" s="77">
        <v>355.45889025557648</v>
      </c>
      <c r="E1169" s="77">
        <v>4372679.1347445166</v>
      </c>
      <c r="F1169" s="77" t="s">
        <v>1160</v>
      </c>
      <c r="G1169" s="25">
        <f t="shared" si="32"/>
        <v>-2.3929169657814775E-3</v>
      </c>
      <c r="I1169" s="78">
        <v>212.96774242433997</v>
      </c>
      <c r="J1169" s="78">
        <v>215.12764389161251</v>
      </c>
      <c r="K1169" s="78">
        <v>207.01039889480998</v>
      </c>
      <c r="L1169" s="78">
        <v>208.5556152426</v>
      </c>
      <c r="M1169" s="78">
        <v>980786.65952993475</v>
      </c>
      <c r="N1169" s="78" t="s">
        <v>1160</v>
      </c>
      <c r="O1169" s="25">
        <f t="shared" si="33"/>
        <v>2.1155638397017507E-2</v>
      </c>
    </row>
    <row r="1170" spans="1:15">
      <c r="A1170" s="77">
        <v>356.91433332008836</v>
      </c>
      <c r="B1170" s="77">
        <v>359.14475256180799</v>
      </c>
      <c r="C1170" s="77">
        <v>354.82567801322386</v>
      </c>
      <c r="D1170" s="77">
        <v>355.46834118456678</v>
      </c>
      <c r="E1170" s="77">
        <v>4678237.4563605729</v>
      </c>
      <c r="F1170" s="77" t="s">
        <v>1161</v>
      </c>
      <c r="G1170" s="25">
        <f t="shared" si="32"/>
        <v>4.0678506859512797E-3</v>
      </c>
      <c r="I1170" s="78">
        <v>209.53716776541</v>
      </c>
      <c r="J1170" s="78">
        <v>214.41577535402999</v>
      </c>
      <c r="K1170" s="78">
        <v>206.64110190603</v>
      </c>
      <c r="L1170" s="78">
        <v>208.96378559862001</v>
      </c>
      <c r="M1170" s="78">
        <v>746908.28352331847</v>
      </c>
      <c r="N1170" s="78" t="s">
        <v>1161</v>
      </c>
      <c r="O1170" s="25">
        <f t="shared" si="33"/>
        <v>2.7439307971350857E-3</v>
      </c>
    </row>
    <row r="1171" spans="1:15">
      <c r="A1171" s="77">
        <v>357.99173922498687</v>
      </c>
      <c r="B1171" s="77">
        <v>358.81397004714626</v>
      </c>
      <c r="C1171" s="77">
        <v>353.39858773568295</v>
      </c>
      <c r="D1171" s="77">
        <v>354.15466205490992</v>
      </c>
      <c r="E1171" s="77">
        <v>5551214.0715097608</v>
      </c>
      <c r="F1171" s="77" t="s">
        <v>1162</v>
      </c>
      <c r="G1171" s="25">
        <f t="shared" si="32"/>
        <v>1.0834467483254562E-2</v>
      </c>
      <c r="I1171" s="78">
        <v>210.57703033908001</v>
      </c>
      <c r="J1171" s="78">
        <v>211.44682193107499</v>
      </c>
      <c r="K1171" s="78">
        <v>205.990944838941</v>
      </c>
      <c r="L1171" s="78">
        <v>207.32138583273002</v>
      </c>
      <c r="M1171" s="78">
        <v>1042083.1246724796</v>
      </c>
      <c r="N1171" s="78" t="s">
        <v>1162</v>
      </c>
      <c r="O1171" s="25">
        <f t="shared" si="33"/>
        <v>1.5703370365161895E-2</v>
      </c>
    </row>
    <row r="1172" spans="1:15">
      <c r="A1172" s="77">
        <v>352.82208106727234</v>
      </c>
      <c r="B1172" s="77">
        <v>353.37968587770229</v>
      </c>
      <c r="C1172" s="77">
        <v>345.88509918836479</v>
      </c>
      <c r="D1172" s="77">
        <v>349.13621876104082</v>
      </c>
      <c r="E1172" s="77">
        <v>4597786.1059401669</v>
      </c>
      <c r="F1172" s="77" t="s">
        <v>1163</v>
      </c>
      <c r="G1172" s="25">
        <f t="shared" si="32"/>
        <v>1.0557089491635363E-2</v>
      </c>
      <c r="I1172" s="78">
        <v>207.72955618875</v>
      </c>
      <c r="J1172" s="78">
        <v>209.27477253653998</v>
      </c>
      <c r="K1172" s="78">
        <v>199.66333248644997</v>
      </c>
      <c r="L1172" s="78">
        <v>201.68474758292999</v>
      </c>
      <c r="M1172" s="78">
        <v>1224797.4225142016</v>
      </c>
      <c r="N1172" s="78" t="s">
        <v>1163</v>
      </c>
      <c r="O1172" s="25">
        <f t="shared" si="33"/>
        <v>2.9971570375367573E-2</v>
      </c>
    </row>
    <row r="1173" spans="1:15">
      <c r="A1173" s="77">
        <v>348.41794815777519</v>
      </c>
      <c r="B1173" s="77">
        <v>349.99625329916148</v>
      </c>
      <c r="C1173" s="77">
        <v>342.33202243444748</v>
      </c>
      <c r="D1173" s="77">
        <v>342.58672497073707</v>
      </c>
      <c r="E1173" s="77">
        <v>4761716.0224154685</v>
      </c>
      <c r="F1173" s="77" t="s">
        <v>1164</v>
      </c>
      <c r="G1173" s="25">
        <f t="shared" si="32"/>
        <v>1.7021159204391845E-2</v>
      </c>
      <c r="I1173" s="78">
        <v>201.33488727776998</v>
      </c>
      <c r="J1173" s="78">
        <v>202.02488954627998</v>
      </c>
      <c r="K1173" s="78">
        <v>192.61267550329498</v>
      </c>
      <c r="L1173" s="78">
        <v>193.66711558967998</v>
      </c>
      <c r="M1173" s="78">
        <v>1198037.7133905317</v>
      </c>
      <c r="N1173" s="78" t="s">
        <v>1164</v>
      </c>
      <c r="O1173" s="25">
        <f t="shared" si="33"/>
        <v>3.9592533119229278E-2</v>
      </c>
    </row>
    <row r="1174" spans="1:15">
      <c r="A1174" s="77">
        <v>339.52462397786775</v>
      </c>
      <c r="B1174" s="77">
        <v>342.32209895900758</v>
      </c>
      <c r="C1174" s="77">
        <v>338.76864416793069</v>
      </c>
      <c r="D1174" s="77">
        <v>342.23704059809455</v>
      </c>
      <c r="E1174" s="77">
        <v>3160736.9001016966</v>
      </c>
      <c r="F1174" s="77" t="s">
        <v>1165</v>
      </c>
      <c r="G1174" s="25">
        <f t="shared" si="32"/>
        <v>-7.925549541588417E-3</v>
      </c>
      <c r="I1174" s="78">
        <v>193.67683393148999</v>
      </c>
      <c r="J1174" s="78">
        <v>194.30852614913999</v>
      </c>
      <c r="K1174" s="78">
        <v>190.479499476</v>
      </c>
      <c r="L1174" s="78">
        <v>194.01697589483999</v>
      </c>
      <c r="M1174" s="78">
        <v>854700.33493296115</v>
      </c>
      <c r="N1174" s="78" t="s">
        <v>1165</v>
      </c>
      <c r="O1174" s="25">
        <f t="shared" si="33"/>
        <v>-1.7531556802243831E-3</v>
      </c>
    </row>
    <row r="1175" spans="1:15">
      <c r="A1175" s="77">
        <v>343.64522901765486</v>
      </c>
      <c r="B1175" s="77">
        <v>344.42965612385285</v>
      </c>
      <c r="C1175" s="77">
        <v>341.60382835574194</v>
      </c>
      <c r="D1175" s="77">
        <v>343.86260038443254</v>
      </c>
      <c r="E1175" s="77">
        <v>4128938.0165586537</v>
      </c>
      <c r="F1175" s="77" t="s">
        <v>1166</v>
      </c>
      <c r="G1175" s="25">
        <f t="shared" si="32"/>
        <v>-6.321459982407962E-4</v>
      </c>
      <c r="I1175" s="78">
        <v>193.89063745130997</v>
      </c>
      <c r="J1175" s="78">
        <v>196.70895657621</v>
      </c>
      <c r="K1175" s="78">
        <v>192.66612638325</v>
      </c>
      <c r="L1175" s="78">
        <v>195.98979928226998</v>
      </c>
      <c r="M1175" s="78">
        <v>699458.8308270257</v>
      </c>
      <c r="N1175" s="78" t="s">
        <v>1166</v>
      </c>
      <c r="O1175" s="25">
        <f t="shared" si="33"/>
        <v>-1.0710566767491492E-2</v>
      </c>
    </row>
    <row r="1176" spans="1:15">
      <c r="A1176" s="77">
        <v>343.3049955740027</v>
      </c>
      <c r="B1176" s="77">
        <v>347.64297198056749</v>
      </c>
      <c r="C1176" s="77">
        <v>341.18798748016712</v>
      </c>
      <c r="D1176" s="77">
        <v>346.55611514667874</v>
      </c>
      <c r="E1176" s="77">
        <v>4797265.966801201</v>
      </c>
      <c r="F1176" s="77" t="s">
        <v>1167</v>
      </c>
      <c r="G1176" s="25">
        <f t="shared" si="32"/>
        <v>-9.3812211950148328E-3</v>
      </c>
      <c r="I1176" s="78">
        <v>196.00923596588999</v>
      </c>
      <c r="J1176" s="78">
        <v>205.62067601598</v>
      </c>
      <c r="K1176" s="78">
        <v>194.8527532905</v>
      </c>
      <c r="L1176" s="78">
        <v>202.87038528374998</v>
      </c>
      <c r="M1176" s="78">
        <v>910792.20849096682</v>
      </c>
      <c r="N1176" s="78" t="s">
        <v>1167</v>
      </c>
      <c r="O1176" s="25">
        <f t="shared" si="33"/>
        <v>-3.3820359281437118E-2</v>
      </c>
    </row>
    <row r="1177" spans="1:15">
      <c r="A1177" s="77">
        <v>346.46160585677535</v>
      </c>
      <c r="B1177" s="77">
        <v>346.48995864374638</v>
      </c>
      <c r="C1177" s="77">
        <v>340.24289458113338</v>
      </c>
      <c r="D1177" s="77">
        <v>342.46386289386265</v>
      </c>
      <c r="E1177" s="77">
        <v>4871456.5570296198</v>
      </c>
      <c r="F1177" s="77" t="s">
        <v>1168</v>
      </c>
      <c r="G1177" s="25">
        <f t="shared" si="32"/>
        <v>1.1673473893365705E-2</v>
      </c>
      <c r="I1177" s="78">
        <v>201.16967546699999</v>
      </c>
      <c r="J1177" s="78">
        <v>202.11235462257</v>
      </c>
      <c r="K1177" s="78">
        <v>194.62923142887001</v>
      </c>
      <c r="L1177" s="78">
        <v>195.49416384995999</v>
      </c>
      <c r="M1177" s="78">
        <v>1343428.7716208657</v>
      </c>
      <c r="N1177" s="78" t="s">
        <v>1168</v>
      </c>
      <c r="O1177" s="25">
        <f t="shared" si="33"/>
        <v>2.9031616623583334E-2</v>
      </c>
    </row>
    <row r="1178" spans="1:15">
      <c r="A1178" s="77">
        <v>342.99311491732158</v>
      </c>
      <c r="B1178" s="77">
        <v>344.24054303475617</v>
      </c>
      <c r="C1178" s="77">
        <v>339.71364255767452</v>
      </c>
      <c r="D1178" s="77">
        <v>340.89500868146666</v>
      </c>
      <c r="E1178" s="77">
        <v>4518747.3150695842</v>
      </c>
      <c r="F1178" s="77" t="s">
        <v>1169</v>
      </c>
      <c r="G1178" s="25">
        <f t="shared" si="32"/>
        <v>6.1546991960077513E-3</v>
      </c>
      <c r="I1178" s="78">
        <v>195.00824675945998</v>
      </c>
      <c r="J1178" s="78">
        <v>197.58360733910999</v>
      </c>
      <c r="K1178" s="78">
        <v>189.22583338250999</v>
      </c>
      <c r="L1178" s="78">
        <v>190.11020248721999</v>
      </c>
      <c r="M1178" s="78">
        <v>1252306.2306243374</v>
      </c>
      <c r="N1178" s="78" t="s">
        <v>1169</v>
      </c>
      <c r="O1178" s="25">
        <f t="shared" si="33"/>
        <v>2.5764236785604577E-2</v>
      </c>
    </row>
    <row r="1179" spans="1:15">
      <c r="A1179" s="77">
        <v>340.80995032055364</v>
      </c>
      <c r="B1179" s="77">
        <v>341.26359491208979</v>
      </c>
      <c r="C1179" s="77">
        <v>334.79915948269911</v>
      </c>
      <c r="D1179" s="77">
        <v>335.46072451202269</v>
      </c>
      <c r="E1179" s="77">
        <v>3830472.1194088617</v>
      </c>
      <c r="F1179" s="77" t="s">
        <v>1170</v>
      </c>
      <c r="G1179" s="25">
        <f t="shared" si="32"/>
        <v>1.5945907874348686E-2</v>
      </c>
      <c r="I1179" s="78">
        <v>189.15780498983997</v>
      </c>
      <c r="J1179" s="78">
        <v>189.38132685146999</v>
      </c>
      <c r="K1179" s="78">
        <v>181.69411847975999</v>
      </c>
      <c r="L1179" s="78">
        <v>185.91187882529999</v>
      </c>
      <c r="M1179" s="78">
        <v>1551878.9413726127</v>
      </c>
      <c r="N1179" s="78" t="s">
        <v>1170</v>
      </c>
      <c r="O1179" s="25">
        <f t="shared" si="33"/>
        <v>1.7459487715629773E-2</v>
      </c>
    </row>
    <row r="1180" spans="1:15">
      <c r="A1180" s="77">
        <v>331.80321499276215</v>
      </c>
      <c r="B1180" s="77">
        <v>337.98412255244278</v>
      </c>
      <c r="C1180" s="77">
        <v>330.70690722988309</v>
      </c>
      <c r="D1180" s="77">
        <v>337.36981216807089</v>
      </c>
      <c r="E1180" s="77">
        <v>3750827.0389337479</v>
      </c>
      <c r="F1180" s="77" t="s">
        <v>1171</v>
      </c>
      <c r="G1180" s="25">
        <f t="shared" si="32"/>
        <v>-1.6499985993220889E-2</v>
      </c>
      <c r="I1180" s="78">
        <v>182.01482375948999</v>
      </c>
      <c r="J1180" s="78">
        <v>190.03731492364497</v>
      </c>
      <c r="K1180" s="78">
        <v>180.6639742479</v>
      </c>
      <c r="L1180" s="78">
        <v>185.18300318954999</v>
      </c>
      <c r="M1180" s="78">
        <v>1147168.9530953018</v>
      </c>
      <c r="N1180" s="78" t="s">
        <v>1171</v>
      </c>
      <c r="O1180" s="25">
        <f t="shared" si="33"/>
        <v>-1.7108370506428772E-2</v>
      </c>
    </row>
    <row r="1181" spans="1:15">
      <c r="A1181" s="77">
        <v>334.57233718693101</v>
      </c>
      <c r="B1181" s="77">
        <v>334.66684647683439</v>
      </c>
      <c r="C1181" s="77">
        <v>330.59349608199904</v>
      </c>
      <c r="D1181" s="77">
        <v>332.4175253771341</v>
      </c>
      <c r="E1181" s="77">
        <v>4783101.2217124514</v>
      </c>
      <c r="F1181" s="77" t="s">
        <v>1172</v>
      </c>
      <c r="G1181" s="25">
        <f t="shared" si="32"/>
        <v>6.4822449037613694E-3</v>
      </c>
      <c r="I1181" s="78">
        <v>183.88074538700999</v>
      </c>
      <c r="J1181" s="78">
        <v>185.04694640420999</v>
      </c>
      <c r="K1181" s="78">
        <v>172.61718722922001</v>
      </c>
      <c r="L1181" s="78">
        <v>175.58128148126997</v>
      </c>
      <c r="M1181" s="78">
        <v>1892309.4453291309</v>
      </c>
      <c r="N1181" s="78" t="s">
        <v>1172</v>
      </c>
      <c r="O1181" s="25">
        <f t="shared" si="33"/>
        <v>4.7268500581170159E-2</v>
      </c>
    </row>
    <row r="1182" spans="1:15">
      <c r="A1182" s="77">
        <v>328.3630768402794</v>
      </c>
      <c r="B1182" s="77">
        <v>328.84507421878658</v>
      </c>
      <c r="C1182" s="77">
        <v>322.3192077509587</v>
      </c>
      <c r="D1182" s="77">
        <v>324.55435245717348</v>
      </c>
      <c r="E1182" s="77">
        <v>4893529.5194032956</v>
      </c>
      <c r="F1182" s="77" t="s">
        <v>1173</v>
      </c>
      <c r="G1182" s="25">
        <f t="shared" si="32"/>
        <v>1.1735243586383559E-2</v>
      </c>
      <c r="I1182" s="78">
        <v>172.23817189862999</v>
      </c>
      <c r="J1182" s="78">
        <v>175.88255007737999</v>
      </c>
      <c r="K1182" s="78">
        <v>168.56463869445</v>
      </c>
      <c r="L1182" s="78">
        <v>175.49381640498001</v>
      </c>
      <c r="M1182" s="78">
        <v>1207018.6693711281</v>
      </c>
      <c r="N1182" s="78" t="s">
        <v>1173</v>
      </c>
      <c r="O1182" s="25">
        <f t="shared" si="33"/>
        <v>-1.8551334588548185E-2</v>
      </c>
    </row>
    <row r="1183" spans="1:15">
      <c r="A1183" s="77">
        <v>329.23256230739042</v>
      </c>
      <c r="B1183" s="77">
        <v>331.72760756083949</v>
      </c>
      <c r="C1183" s="77">
        <v>325.46164164024583</v>
      </c>
      <c r="D1183" s="77">
        <v>325.81132601288834</v>
      </c>
      <c r="E1183" s="77">
        <v>5929084.8611063445</v>
      </c>
      <c r="F1183" s="77" t="s">
        <v>1174</v>
      </c>
      <c r="G1183" s="25">
        <f t="shared" si="32"/>
        <v>1.0500667169460964E-2</v>
      </c>
      <c r="I1183" s="78">
        <v>176.07691691357999</v>
      </c>
      <c r="J1183" s="78">
        <v>178.52593904969999</v>
      </c>
      <c r="K1183" s="78">
        <v>172.05352340424</v>
      </c>
      <c r="L1183" s="78">
        <v>175.16339278344</v>
      </c>
      <c r="M1183" s="78">
        <v>1324879.3108667168</v>
      </c>
      <c r="N1183" s="78" t="s">
        <v>1174</v>
      </c>
      <c r="O1183" s="25">
        <f t="shared" si="33"/>
        <v>5.2152685308477498E-3</v>
      </c>
    </row>
    <row r="1184" spans="1:15">
      <c r="A1184" s="77">
        <v>330.77306373281544</v>
      </c>
      <c r="B1184" s="77">
        <v>335.413469867071</v>
      </c>
      <c r="C1184" s="77">
        <v>329.25146416537109</v>
      </c>
      <c r="D1184" s="77">
        <v>333.23975619929348</v>
      </c>
      <c r="E1184" s="77">
        <v>4317322.6718470706</v>
      </c>
      <c r="F1184" s="77" t="s">
        <v>1175</v>
      </c>
      <c r="G1184" s="25">
        <f t="shared" si="32"/>
        <v>-7.4021554169030335E-3</v>
      </c>
      <c r="I1184" s="78">
        <v>182.69510768619</v>
      </c>
      <c r="J1184" s="78">
        <v>187.70005371833997</v>
      </c>
      <c r="K1184" s="78">
        <v>180.39186067722</v>
      </c>
      <c r="L1184" s="78">
        <v>184.83314288438999</v>
      </c>
      <c r="M1184" s="78">
        <v>1428749.9114007805</v>
      </c>
      <c r="N1184" s="78" t="s">
        <v>1175</v>
      </c>
      <c r="O1184" s="25">
        <f t="shared" si="33"/>
        <v>-1.1567379988432602E-2</v>
      </c>
    </row>
    <row r="1185" spans="1:15">
      <c r="A1185" s="77">
        <v>333.85406658366537</v>
      </c>
      <c r="B1185" s="77">
        <v>336.04668210942361</v>
      </c>
      <c r="C1185" s="77">
        <v>333.1546978383804</v>
      </c>
      <c r="D1185" s="77">
        <v>335.356764293129</v>
      </c>
      <c r="E1185" s="77">
        <v>3694552.1478046575</v>
      </c>
      <c r="F1185" s="77" t="s">
        <v>1176</v>
      </c>
      <c r="G1185" s="25">
        <f t="shared" si="32"/>
        <v>-4.4808927967534551E-3</v>
      </c>
      <c r="I1185" s="78">
        <v>184.95948132791997</v>
      </c>
      <c r="J1185" s="78">
        <v>191.15006506089</v>
      </c>
      <c r="K1185" s="78">
        <v>184.14799978678499</v>
      </c>
      <c r="L1185" s="78">
        <v>189.61456705491</v>
      </c>
      <c r="M1185" s="78">
        <v>834599.1691354186</v>
      </c>
      <c r="N1185" s="78" t="s">
        <v>1176</v>
      </c>
      <c r="O1185" s="25">
        <f t="shared" si="33"/>
        <v>-2.4550253703039426E-2</v>
      </c>
    </row>
    <row r="1186" spans="1:15">
      <c r="A1186" s="77">
        <v>337.67224189576166</v>
      </c>
      <c r="B1186" s="77">
        <v>339.33560539806103</v>
      </c>
      <c r="C1186" s="77">
        <v>335.00802501338558</v>
      </c>
      <c r="D1186" s="77">
        <v>336.36404430491916</v>
      </c>
      <c r="E1186" s="77">
        <v>5069703.7348378124</v>
      </c>
      <c r="F1186" s="77" t="s">
        <v>1177</v>
      </c>
      <c r="G1186" s="25">
        <f t="shared" si="32"/>
        <v>3.8892313640295217E-3</v>
      </c>
      <c r="I1186" s="78">
        <v>191.49020702423999</v>
      </c>
      <c r="J1186" s="78">
        <v>198.51170898196497</v>
      </c>
      <c r="K1186" s="78">
        <v>191.29584018803999</v>
      </c>
      <c r="L1186" s="78">
        <v>193.18119849918</v>
      </c>
      <c r="M1186" s="78">
        <v>898732.53799456556</v>
      </c>
      <c r="N1186" s="78" t="s">
        <v>1177</v>
      </c>
      <c r="O1186" s="25">
        <f t="shared" si="33"/>
        <v>-8.7533957138545837E-3</v>
      </c>
    </row>
    <row r="1187" spans="1:15">
      <c r="A1187" s="77">
        <v>337.87071140455873</v>
      </c>
      <c r="B1187" s="77">
        <v>338.62678572378576</v>
      </c>
      <c r="C1187" s="77">
        <v>334.5628862579407</v>
      </c>
      <c r="D1187" s="77">
        <v>334.57233718693101</v>
      </c>
      <c r="E1187" s="77">
        <v>3954614.4128489615</v>
      </c>
      <c r="F1187" s="77" t="s">
        <v>1178</v>
      </c>
      <c r="G1187" s="25">
        <f t="shared" si="32"/>
        <v>9.8584785740516434E-3</v>
      </c>
      <c r="I1187" s="78">
        <v>196.50487139819998</v>
      </c>
      <c r="J1187" s="78">
        <v>197.00050683051001</v>
      </c>
      <c r="K1187" s="78">
        <v>188.27343588512997</v>
      </c>
      <c r="L1187" s="78">
        <v>188.71076126657999</v>
      </c>
      <c r="M1187" s="78">
        <v>1014911.822699103</v>
      </c>
      <c r="N1187" s="78" t="s">
        <v>1178</v>
      </c>
      <c r="O1187" s="25">
        <f t="shared" si="33"/>
        <v>4.1301884849108905E-2</v>
      </c>
    </row>
    <row r="1188" spans="1:15">
      <c r="A1188" s="77">
        <v>332.98458111655435</v>
      </c>
      <c r="B1188" s="77">
        <v>335.20554942928362</v>
      </c>
      <c r="C1188" s="77">
        <v>329.77126525983965</v>
      </c>
      <c r="D1188" s="77">
        <v>331.94497892761729</v>
      </c>
      <c r="E1188" s="77">
        <v>5767610.787863357</v>
      </c>
      <c r="F1188" s="77" t="s">
        <v>1179</v>
      </c>
      <c r="G1188" s="25">
        <f t="shared" si="32"/>
        <v>3.1318509238960068E-3</v>
      </c>
      <c r="I1188" s="78">
        <v>189.88668062558997</v>
      </c>
      <c r="J1188" s="78">
        <v>193.88091910949998</v>
      </c>
      <c r="K1188" s="78">
        <v>186.88857217720499</v>
      </c>
      <c r="L1188" s="78">
        <v>187.58343361662</v>
      </c>
      <c r="M1188" s="78">
        <v>1116952.8930162212</v>
      </c>
      <c r="N1188" s="78" t="s">
        <v>1179</v>
      </c>
      <c r="O1188" s="25">
        <f t="shared" si="33"/>
        <v>1.2278520360584189E-2</v>
      </c>
    </row>
    <row r="1189" spans="1:15">
      <c r="A1189" s="77">
        <v>331.78431313478148</v>
      </c>
      <c r="B1189" s="77">
        <v>331.82211685074287</v>
      </c>
      <c r="C1189" s="77">
        <v>323.9589439307822</v>
      </c>
      <c r="D1189" s="77">
        <v>326.51069475817332</v>
      </c>
      <c r="E1189" s="77">
        <v>6539636.4805185283</v>
      </c>
      <c r="F1189" s="77" t="s">
        <v>1180</v>
      </c>
      <c r="G1189" s="25">
        <f t="shared" si="32"/>
        <v>1.6151441472733508E-2</v>
      </c>
      <c r="I1189" s="78">
        <v>187.58343361662</v>
      </c>
      <c r="J1189" s="78">
        <v>187.75836376919997</v>
      </c>
      <c r="K1189" s="78">
        <v>181.07214460391998</v>
      </c>
      <c r="L1189" s="78">
        <v>184.64849439</v>
      </c>
      <c r="M1189" s="78">
        <v>1136081.6707063322</v>
      </c>
      <c r="N1189" s="78" t="s">
        <v>1180</v>
      </c>
      <c r="O1189" s="25">
        <f t="shared" si="33"/>
        <v>1.5894736842105184E-2</v>
      </c>
    </row>
    <row r="1190" spans="1:15">
      <c r="A1190" s="77">
        <v>331.19835553738062</v>
      </c>
      <c r="B1190" s="77">
        <v>331.56694176800374</v>
      </c>
      <c r="C1190" s="77">
        <v>324.72446917899953</v>
      </c>
      <c r="D1190" s="77">
        <v>327.15335792951623</v>
      </c>
      <c r="E1190" s="77">
        <v>7916131.8507938376</v>
      </c>
      <c r="F1190" s="77" t="s">
        <v>1181</v>
      </c>
      <c r="G1190" s="25">
        <f t="shared" si="32"/>
        <v>1.2364224636006504E-2</v>
      </c>
      <c r="I1190" s="78">
        <v>185.65920193823999</v>
      </c>
      <c r="J1190" s="78">
        <v>185.94103385073001</v>
      </c>
      <c r="K1190" s="78">
        <v>178.03030361738999</v>
      </c>
      <c r="L1190" s="78">
        <v>178.18579708634999</v>
      </c>
      <c r="M1190" s="78">
        <v>1150569.739016002</v>
      </c>
      <c r="N1190" s="78" t="s">
        <v>1181</v>
      </c>
      <c r="O1190" s="25">
        <f t="shared" si="33"/>
        <v>4.19416416689391E-2</v>
      </c>
    </row>
    <row r="1191" spans="1:15">
      <c r="A1191" s="77">
        <v>327.83382481682054</v>
      </c>
      <c r="B1191" s="77">
        <v>330.63129979796031</v>
      </c>
      <c r="C1191" s="77">
        <v>323.64706327410107</v>
      </c>
      <c r="D1191" s="77">
        <v>326.8887319177868</v>
      </c>
      <c r="E1191" s="77">
        <v>7575550.5171184987</v>
      </c>
      <c r="F1191" s="77" t="s">
        <v>1182</v>
      </c>
      <c r="G1191" s="25">
        <f t="shared" si="32"/>
        <v>2.8911761304499795E-3</v>
      </c>
      <c r="I1191" s="78">
        <v>179.16734960916</v>
      </c>
      <c r="J1191" s="78">
        <v>181.98732085216767</v>
      </c>
      <c r="K1191" s="78">
        <v>176.06719857176998</v>
      </c>
      <c r="L1191" s="78">
        <v>180.41129736083997</v>
      </c>
      <c r="M1191" s="78">
        <v>1279755.3577712658</v>
      </c>
      <c r="N1191" s="78" t="s">
        <v>1182</v>
      </c>
      <c r="O1191" s="25">
        <f t="shared" si="33"/>
        <v>-6.8950657185949948E-3</v>
      </c>
    </row>
    <row r="1192" spans="1:15">
      <c r="A1192" s="77">
        <v>330.4422812181536</v>
      </c>
      <c r="B1192" s="77">
        <v>332.06784100449164</v>
      </c>
      <c r="C1192" s="77">
        <v>328.71276121292186</v>
      </c>
      <c r="D1192" s="77">
        <v>331.18890460839026</v>
      </c>
      <c r="E1192" s="77">
        <v>3995227.3515761946</v>
      </c>
      <c r="F1192" s="77" t="s">
        <v>1183</v>
      </c>
      <c r="G1192" s="25">
        <f t="shared" si="32"/>
        <v>-2.2543731986417459E-3</v>
      </c>
      <c r="I1192" s="78">
        <v>181.17904636383</v>
      </c>
      <c r="J1192" s="78">
        <v>182.16050170322188</v>
      </c>
      <c r="K1192" s="78">
        <v>177.18480787991999</v>
      </c>
      <c r="L1192" s="78">
        <v>181.14989133840001</v>
      </c>
      <c r="M1192" s="78">
        <v>1258723.9921333864</v>
      </c>
      <c r="N1192" s="78" t="s">
        <v>1183</v>
      </c>
      <c r="O1192" s="25">
        <f t="shared" si="33"/>
        <v>1.6094420600842874E-4</v>
      </c>
    </row>
    <row r="1193" spans="1:15">
      <c r="A1193" s="77">
        <v>330.27963073710072</v>
      </c>
      <c r="B1193" s="77">
        <v>341.5132796195382</v>
      </c>
      <c r="C1193" s="77">
        <v>330.27963073710072</v>
      </c>
      <c r="D1193" s="77">
        <v>338.92017508069318</v>
      </c>
      <c r="E1193" s="77">
        <v>9351302.0924334582</v>
      </c>
      <c r="F1193" s="77" t="s">
        <v>1184</v>
      </c>
      <c r="G1193" s="25">
        <f t="shared" si="32"/>
        <v>-2.5494334592312873E-2</v>
      </c>
      <c r="I1193" s="78">
        <v>182.15088054482999</v>
      </c>
      <c r="J1193" s="78">
        <v>191.2709612330064</v>
      </c>
      <c r="K1193" s="78">
        <v>182.07313381034999</v>
      </c>
      <c r="L1193" s="78">
        <v>189.17724167346</v>
      </c>
      <c r="M1193" s="78">
        <v>1550232.5699737866</v>
      </c>
      <c r="N1193" s="78" t="s">
        <v>1184</v>
      </c>
      <c r="O1193" s="25">
        <f t="shared" si="33"/>
        <v>-3.7141682934347164E-2</v>
      </c>
    </row>
    <row r="1194" spans="1:15">
      <c r="A1194" s="77">
        <v>337.57420793348871</v>
      </c>
      <c r="B1194" s="77">
        <v>339.92729735167836</v>
      </c>
      <c r="C1194" s="77">
        <v>336.55767330483076</v>
      </c>
      <c r="D1194" s="77">
        <v>339.786111986587</v>
      </c>
      <c r="E1194" s="77">
        <v>4896318.3935712902</v>
      </c>
      <c r="F1194" s="77" t="s">
        <v>1185</v>
      </c>
      <c r="G1194" s="25">
        <f t="shared" si="32"/>
        <v>-6.5096952908587635E-3</v>
      </c>
      <c r="I1194" s="78">
        <v>187.90413889634999</v>
      </c>
      <c r="J1194" s="78">
        <v>188.87597307734998</v>
      </c>
      <c r="K1194" s="78">
        <v>184.08483056501998</v>
      </c>
      <c r="L1194" s="78">
        <v>188.67188789933999</v>
      </c>
      <c r="M1194" s="78">
        <v>1428167.5075184458</v>
      </c>
      <c r="N1194" s="78" t="s">
        <v>1185</v>
      </c>
      <c r="O1194" s="25">
        <f t="shared" si="33"/>
        <v>-4.0692283918821737E-3</v>
      </c>
    </row>
    <row r="1195" spans="1:15">
      <c r="A1195" s="77">
        <v>338.84487621931112</v>
      </c>
      <c r="B1195" s="77">
        <v>338.86370093465661</v>
      </c>
      <c r="C1195" s="77">
        <v>331.28675300808595</v>
      </c>
      <c r="D1195" s="77">
        <v>331.34322715412247</v>
      </c>
      <c r="E1195" s="77">
        <v>5799353.5623898217</v>
      </c>
      <c r="F1195" s="77" t="s">
        <v>1186</v>
      </c>
      <c r="G1195" s="25">
        <f t="shared" si="32"/>
        <v>2.2640115899213109E-2</v>
      </c>
      <c r="I1195" s="78">
        <v>188.46780272133</v>
      </c>
      <c r="J1195" s="78">
        <v>190.46006279237997</v>
      </c>
      <c r="K1195" s="78">
        <v>185.51342681108997</v>
      </c>
      <c r="L1195" s="78">
        <v>190.19766756351001</v>
      </c>
      <c r="M1195" s="78">
        <v>4355919.0268900413</v>
      </c>
      <c r="N1195" s="78" t="s">
        <v>1186</v>
      </c>
      <c r="O1195" s="25">
        <f t="shared" si="33"/>
        <v>-9.0950896734964815E-3</v>
      </c>
    </row>
    <row r="1196" spans="1:15">
      <c r="A1196" s="77">
        <v>328.61364342902249</v>
      </c>
      <c r="B1196" s="77">
        <v>329.06543659731489</v>
      </c>
      <c r="C1196" s="77">
        <v>323.9168769503159</v>
      </c>
      <c r="D1196" s="77">
        <v>327.20178977810866</v>
      </c>
      <c r="E1196" s="77">
        <v>7127623.3152684094</v>
      </c>
      <c r="F1196" s="77" t="s">
        <v>1187</v>
      </c>
      <c r="G1196" s="25">
        <f t="shared" si="32"/>
        <v>4.3149325432212393E-3</v>
      </c>
      <c r="I1196" s="78">
        <v>188.09850573255</v>
      </c>
      <c r="J1196" s="78">
        <v>189.31329845880001</v>
      </c>
      <c r="K1196" s="78">
        <v>176.1935370153</v>
      </c>
      <c r="L1196" s="78">
        <v>177.00987772733998</v>
      </c>
      <c r="M1196" s="78">
        <v>1563295.4980413476</v>
      </c>
      <c r="N1196" s="78" t="s">
        <v>1187</v>
      </c>
      <c r="O1196" s="25">
        <f t="shared" si="33"/>
        <v>6.2644119907763418E-2</v>
      </c>
    </row>
    <row r="1197" spans="1:15">
      <c r="A1197" s="77">
        <v>325.19695759381108</v>
      </c>
      <c r="B1197" s="77">
        <v>328.97131302058727</v>
      </c>
      <c r="C1197" s="77">
        <v>321.5588931061364</v>
      </c>
      <c r="D1197" s="77">
        <v>321.97793126972761</v>
      </c>
      <c r="E1197" s="77">
        <v>5180487.3651501266</v>
      </c>
      <c r="F1197" s="77" t="s">
        <v>1188</v>
      </c>
      <c r="G1197" s="25">
        <f t="shared" si="32"/>
        <v>9.9976613657624114E-3</v>
      </c>
      <c r="I1197" s="78">
        <v>176.46565058598</v>
      </c>
      <c r="J1197" s="78">
        <v>180.48904409532</v>
      </c>
      <c r="K1197" s="78">
        <v>174.93015258</v>
      </c>
      <c r="L1197" s="78">
        <v>175.48409806316999</v>
      </c>
      <c r="M1197" s="78">
        <v>2971719.9255414954</v>
      </c>
      <c r="N1197" s="78" t="s">
        <v>1188</v>
      </c>
      <c r="O1197" s="25">
        <f t="shared" si="33"/>
        <v>5.5933986819516335E-3</v>
      </c>
    </row>
    <row r="1198" spans="1:15">
      <c r="A1198" s="77">
        <v>325.8840597039225</v>
      </c>
      <c r="B1198" s="77">
        <v>327.07942912836279</v>
      </c>
      <c r="C1198" s="77">
        <v>322.94740411002181</v>
      </c>
      <c r="D1198" s="77">
        <v>323.02270297140382</v>
      </c>
      <c r="E1198" s="77">
        <v>5979743.0098620579</v>
      </c>
      <c r="F1198" s="77" t="s">
        <v>1189</v>
      </c>
      <c r="G1198" s="25">
        <f t="shared" si="32"/>
        <v>8.8580669599931383E-3</v>
      </c>
      <c r="I1198" s="78">
        <v>178.07889532644</v>
      </c>
      <c r="J1198" s="78">
        <v>185.82441374901001</v>
      </c>
      <c r="K1198" s="78">
        <v>177.73875336308998</v>
      </c>
      <c r="L1198" s="78">
        <v>185.0372280624</v>
      </c>
      <c r="M1198" s="78">
        <v>2682730.2959412993</v>
      </c>
      <c r="N1198" s="78" t="s">
        <v>1189</v>
      </c>
      <c r="O1198" s="25">
        <f t="shared" si="33"/>
        <v>-3.76050420168067E-2</v>
      </c>
    </row>
    <row r="1199" spans="1:15">
      <c r="A1199" s="77">
        <v>318.09062755087831</v>
      </c>
      <c r="B1199" s="77">
        <v>320.83903599132384</v>
      </c>
      <c r="C1199" s="77">
        <v>314.59864285428489</v>
      </c>
      <c r="D1199" s="77">
        <v>317.48823665982178</v>
      </c>
      <c r="E1199" s="77">
        <v>7526255.6378435791</v>
      </c>
      <c r="F1199" s="77" t="s">
        <v>1190</v>
      </c>
      <c r="G1199" s="25">
        <f t="shared" si="32"/>
        <v>1.8973644422044522E-3</v>
      </c>
      <c r="I1199" s="78">
        <v>182.01482375948999</v>
      </c>
      <c r="J1199" s="78">
        <v>188.42892935408997</v>
      </c>
      <c r="K1199" s="78">
        <v>180.73200264056999</v>
      </c>
      <c r="L1199" s="78">
        <v>183.34623658746</v>
      </c>
      <c r="M1199" s="78">
        <v>3070400.3402407598</v>
      </c>
      <c r="N1199" s="78" t="s">
        <v>1190</v>
      </c>
      <c r="O1199" s="25">
        <f t="shared" si="33"/>
        <v>-7.2617406975512555E-3</v>
      </c>
    </row>
    <row r="1200" spans="1:15">
      <c r="A1200" s="77">
        <v>317.26234007567552</v>
      </c>
      <c r="B1200" s="77">
        <v>320.81079891830552</v>
      </c>
      <c r="C1200" s="77">
        <v>314.90925065748587</v>
      </c>
      <c r="D1200" s="77">
        <v>320.47195404208628</v>
      </c>
      <c r="E1200" s="77">
        <v>9372645.3102524541</v>
      </c>
      <c r="F1200" s="77" t="s">
        <v>1191</v>
      </c>
      <c r="G1200" s="25">
        <f t="shared" si="32"/>
        <v>-1.0015272556391119E-2</v>
      </c>
      <c r="I1200" s="78">
        <v>182.48130416636999</v>
      </c>
      <c r="J1200" s="78">
        <v>185.62032857099999</v>
      </c>
      <c r="K1200" s="78">
        <v>177.32086466525999</v>
      </c>
      <c r="L1200" s="78">
        <v>184.75539614991001</v>
      </c>
      <c r="M1200" s="78">
        <v>2096135.369414425</v>
      </c>
      <c r="N1200" s="78" t="s">
        <v>1191</v>
      </c>
      <c r="O1200" s="25">
        <f t="shared" si="33"/>
        <v>-1.2308663405396936E-2</v>
      </c>
    </row>
    <row r="1201" spans="1:15">
      <c r="A1201" s="77">
        <v>328.03948961098416</v>
      </c>
      <c r="B1201" s="77">
        <v>332.10562812561591</v>
      </c>
      <c r="C1201" s="77">
        <v>321.87439533532734</v>
      </c>
      <c r="D1201" s="77">
        <v>326.43938880661523</v>
      </c>
      <c r="E1201" s="77">
        <v>8380072.5325477757</v>
      </c>
      <c r="F1201" s="77" t="s">
        <v>1192</v>
      </c>
      <c r="G1201" s="25">
        <f t="shared" si="32"/>
        <v>4.9016781039155077E-3</v>
      </c>
      <c r="I1201" s="78">
        <v>188.17625246703</v>
      </c>
      <c r="J1201" s="78">
        <v>192.14493171197969</v>
      </c>
      <c r="K1201" s="78">
        <v>182.92834788962998</v>
      </c>
      <c r="L1201" s="78">
        <v>186.62131777742999</v>
      </c>
      <c r="M1201" s="78">
        <v>2169069.6223824215</v>
      </c>
      <c r="N1201" s="78" t="s">
        <v>1192</v>
      </c>
      <c r="O1201" s="25">
        <f t="shared" si="33"/>
        <v>8.3320314534187645E-3</v>
      </c>
    </row>
    <row r="1202" spans="1:15">
      <c r="A1202" s="77">
        <v>323.40860963598698</v>
      </c>
      <c r="B1202" s="77">
        <v>326.91000669025317</v>
      </c>
      <c r="C1202" s="77">
        <v>320.55666526114106</v>
      </c>
      <c r="D1202" s="77">
        <v>326.01583271134109</v>
      </c>
      <c r="E1202" s="77">
        <v>8057694.2182618631</v>
      </c>
      <c r="F1202" s="77" t="s">
        <v>1193</v>
      </c>
      <c r="G1202" s="25">
        <f t="shared" si="32"/>
        <v>-7.9972283973784863E-3</v>
      </c>
      <c r="I1202" s="78">
        <v>184.07511222321</v>
      </c>
      <c r="J1202" s="78">
        <v>190.62527460314999</v>
      </c>
      <c r="K1202" s="78">
        <v>182.11949030078367</v>
      </c>
      <c r="L1202" s="78">
        <v>189.31329845880001</v>
      </c>
      <c r="M1202" s="78">
        <v>1864485.7686889695</v>
      </c>
      <c r="N1202" s="78" t="s">
        <v>1193</v>
      </c>
      <c r="O1202" s="25">
        <f t="shared" si="33"/>
        <v>-2.7669404517453811E-2</v>
      </c>
    </row>
    <row r="1203" spans="1:15">
      <c r="A1203" s="77">
        <v>324.21807239584416</v>
      </c>
      <c r="B1203" s="77">
        <v>330.218732782958</v>
      </c>
      <c r="C1203" s="77">
        <v>322.900342321658</v>
      </c>
      <c r="D1203" s="77">
        <v>328.59481871367694</v>
      </c>
      <c r="E1203" s="77">
        <v>11048993.633230662</v>
      </c>
      <c r="F1203" s="77" t="s">
        <v>1194</v>
      </c>
      <c r="G1203" s="25">
        <f t="shared" si="32"/>
        <v>-1.3319584085245362E-2</v>
      </c>
      <c r="I1203" s="78">
        <v>188.83709971010998</v>
      </c>
      <c r="J1203" s="78">
        <v>194.52232966896</v>
      </c>
      <c r="K1203" s="78">
        <v>187.12667155155</v>
      </c>
      <c r="L1203" s="78">
        <v>191.94696908930999</v>
      </c>
      <c r="M1203" s="78">
        <v>1891056.1451017745</v>
      </c>
      <c r="N1203" s="78" t="s">
        <v>1194</v>
      </c>
      <c r="O1203" s="25">
        <f t="shared" si="33"/>
        <v>-1.620171130575665E-2</v>
      </c>
    </row>
    <row r="1204" spans="1:15">
      <c r="A1204" s="77">
        <v>337.21653834192387</v>
      </c>
      <c r="B1204" s="77">
        <v>342.31803620055905</v>
      </c>
      <c r="C1204" s="77">
        <v>337.17888891123283</v>
      </c>
      <c r="D1204" s="77">
        <v>341.60269701742942</v>
      </c>
      <c r="E1204" s="77">
        <v>8106038.1099646781</v>
      </c>
      <c r="F1204" s="77" t="s">
        <v>1195</v>
      </c>
      <c r="G1204" s="25">
        <f t="shared" si="32"/>
        <v>-1.28399415865319E-2</v>
      </c>
      <c r="I1204" s="78">
        <v>198.43882141838998</v>
      </c>
      <c r="J1204" s="78">
        <v>209.05125067490999</v>
      </c>
      <c r="K1204" s="78">
        <v>191.261825991705</v>
      </c>
      <c r="L1204" s="78">
        <v>208.79857378784999</v>
      </c>
      <c r="M1204" s="78">
        <v>3091339.0974874552</v>
      </c>
      <c r="N1204" s="78" t="s">
        <v>1195</v>
      </c>
      <c r="O1204" s="25">
        <f t="shared" si="33"/>
        <v>-4.9616011170584229E-2</v>
      </c>
    </row>
    <row r="1205" spans="1:15">
      <c r="A1205" s="77">
        <v>347.41012170152152</v>
      </c>
      <c r="B1205" s="77">
        <v>356.20126376787806</v>
      </c>
      <c r="C1205" s="77">
        <v>347.3348228401394</v>
      </c>
      <c r="D1205" s="77">
        <v>354.13054507987118</v>
      </c>
      <c r="E1205" s="77">
        <v>3210650.4077572911</v>
      </c>
      <c r="F1205" s="77" t="s">
        <v>1196</v>
      </c>
      <c r="G1205" s="25">
        <f t="shared" si="32"/>
        <v>-1.8977248564745919E-2</v>
      </c>
      <c r="I1205" s="78">
        <v>218.14761860906998</v>
      </c>
      <c r="J1205" s="78">
        <v>224.86299279977999</v>
      </c>
      <c r="K1205" s="78">
        <v>217.96297011467999</v>
      </c>
      <c r="L1205" s="78">
        <v>224.13411716402999</v>
      </c>
      <c r="M1205" s="78">
        <v>956058.16111956653</v>
      </c>
      <c r="N1205" s="78" t="s">
        <v>1196</v>
      </c>
      <c r="O1205" s="25">
        <f t="shared" si="33"/>
        <v>-2.6709448033647054E-2</v>
      </c>
    </row>
    <row r="1206" spans="1:15">
      <c r="A1206" s="77">
        <v>355.77770767260392</v>
      </c>
      <c r="B1206" s="77">
        <v>359.7685473258536</v>
      </c>
      <c r="C1206" s="77">
        <v>355.09060556249256</v>
      </c>
      <c r="D1206" s="77">
        <v>358.14020944846635</v>
      </c>
      <c r="E1206" s="77">
        <v>3650990.6651186813</v>
      </c>
      <c r="F1206" s="77" t="s">
        <v>1197</v>
      </c>
      <c r="G1206" s="25">
        <f t="shared" si="32"/>
        <v>-6.5965834428384218E-3</v>
      </c>
      <c r="I1206" s="78">
        <v>226.95243628892999</v>
      </c>
      <c r="J1206" s="78">
        <v>230.42188431509999</v>
      </c>
      <c r="K1206" s="78">
        <v>223.39552318647</v>
      </c>
      <c r="L1206" s="78">
        <v>225.21285310494</v>
      </c>
      <c r="M1206" s="78">
        <v>1066598.6237831246</v>
      </c>
      <c r="N1206" s="78" t="s">
        <v>1197</v>
      </c>
      <c r="O1206" s="25">
        <f t="shared" si="33"/>
        <v>7.724173642875698E-3</v>
      </c>
    </row>
    <row r="1207" spans="1:15">
      <c r="A1207" s="77">
        <v>359.71207317981703</v>
      </c>
      <c r="B1207" s="77">
        <v>360.12621691741845</v>
      </c>
      <c r="C1207" s="77">
        <v>352.69045435593904</v>
      </c>
      <c r="D1207" s="77">
        <v>353.11401045121323</v>
      </c>
      <c r="E1207" s="77">
        <v>2815295.6911839927</v>
      </c>
      <c r="F1207" s="77" t="s">
        <v>1198</v>
      </c>
      <c r="G1207" s="25">
        <f t="shared" si="32"/>
        <v>1.868536091267714E-2</v>
      </c>
      <c r="I1207" s="78">
        <v>226.50539256566998</v>
      </c>
      <c r="J1207" s="78">
        <v>227.12736644150999</v>
      </c>
      <c r="K1207" s="78">
        <v>216.8971595683773</v>
      </c>
      <c r="L1207" s="78">
        <v>218.28367539441001</v>
      </c>
      <c r="M1207" s="78">
        <v>1316576.4541060119</v>
      </c>
      <c r="N1207" s="78" t="s">
        <v>1198</v>
      </c>
      <c r="O1207" s="25">
        <f t="shared" si="33"/>
        <v>3.7665286496593842E-2</v>
      </c>
    </row>
    <row r="1208" spans="1:15">
      <c r="A1208" s="77">
        <v>356.22950084089638</v>
      </c>
      <c r="B1208" s="77">
        <v>360.45564943596492</v>
      </c>
      <c r="C1208" s="77">
        <v>355.23179092758392</v>
      </c>
      <c r="D1208" s="77">
        <v>358.92143513530527</v>
      </c>
      <c r="E1208" s="77">
        <v>2825521.6094232206</v>
      </c>
      <c r="F1208" s="77" t="s">
        <v>1199</v>
      </c>
      <c r="G1208" s="25">
        <f t="shared" si="32"/>
        <v>-7.5000655600133692E-3</v>
      </c>
      <c r="I1208" s="78">
        <v>220.21762541459998</v>
      </c>
      <c r="J1208" s="78">
        <v>232.04484739737001</v>
      </c>
      <c r="K1208" s="78">
        <v>218.32254876164998</v>
      </c>
      <c r="L1208" s="78">
        <v>231.29653507800001</v>
      </c>
      <c r="M1208" s="78">
        <v>1357091.5962668739</v>
      </c>
      <c r="N1208" s="78" t="s">
        <v>1199</v>
      </c>
      <c r="O1208" s="25">
        <f t="shared" si="33"/>
        <v>-4.7899159663865709E-2</v>
      </c>
    </row>
    <row r="1209" spans="1:15">
      <c r="A1209" s="77">
        <v>355.26002800060218</v>
      </c>
      <c r="B1209" s="77">
        <v>358.23433302519396</v>
      </c>
      <c r="C1209" s="77">
        <v>354.35644166401738</v>
      </c>
      <c r="D1209" s="77">
        <v>356.83189173195291</v>
      </c>
      <c r="E1209" s="77">
        <v>2921200.0814182251</v>
      </c>
      <c r="F1209" s="77" t="s">
        <v>1200</v>
      </c>
      <c r="G1209" s="25">
        <f t="shared" si="32"/>
        <v>-4.4050539421277568E-3</v>
      </c>
      <c r="I1209" s="78">
        <v>226.40820914756998</v>
      </c>
      <c r="J1209" s="78">
        <v>238.80881329712997</v>
      </c>
      <c r="K1209" s="78">
        <v>225.92229205707</v>
      </c>
      <c r="L1209" s="78">
        <v>229.13906319617999</v>
      </c>
      <c r="M1209" s="78">
        <v>956665.26057288377</v>
      </c>
      <c r="N1209" s="78" t="s">
        <v>1200</v>
      </c>
      <c r="O1209" s="25">
        <f t="shared" si="33"/>
        <v>-1.1917889558062611E-2</v>
      </c>
    </row>
    <row r="1210" spans="1:15">
      <c r="A1210" s="77">
        <v>361.10510211538531</v>
      </c>
      <c r="B1210" s="77">
        <v>361.18981333444015</v>
      </c>
      <c r="C1210" s="77">
        <v>352.21042411462838</v>
      </c>
      <c r="D1210" s="77">
        <v>354.29055516030809</v>
      </c>
      <c r="E1210" s="77">
        <v>3478109.4321084316</v>
      </c>
      <c r="F1210" s="77" t="s">
        <v>1201</v>
      </c>
      <c r="G1210" s="25">
        <f t="shared" si="32"/>
        <v>1.9234345527483265E-2</v>
      </c>
      <c r="I1210" s="78">
        <v>241.52994900393</v>
      </c>
      <c r="J1210" s="78">
        <v>241.87009096727999</v>
      </c>
      <c r="K1210" s="78">
        <v>227.29257825227998</v>
      </c>
      <c r="L1210" s="78">
        <v>228.49765263672001</v>
      </c>
      <c r="M1210" s="78">
        <v>1176750.1312037101</v>
      </c>
      <c r="N1210" s="78" t="s">
        <v>1201</v>
      </c>
      <c r="O1210" s="25">
        <f t="shared" si="33"/>
        <v>5.70347056822047E-2</v>
      </c>
    </row>
    <row r="1211" spans="1:15">
      <c r="A1211" s="77">
        <v>354.37526637936287</v>
      </c>
      <c r="B1211" s="77">
        <v>360.15445399043665</v>
      </c>
      <c r="C1211" s="77">
        <v>352.11630053790083</v>
      </c>
      <c r="D1211" s="77">
        <v>359.18498115014256</v>
      </c>
      <c r="E1211" s="77">
        <v>4510897.4261446707</v>
      </c>
      <c r="F1211" s="77" t="s">
        <v>1202</v>
      </c>
      <c r="G1211" s="25">
        <f t="shared" si="32"/>
        <v>-1.3390634417337122E-2</v>
      </c>
      <c r="I1211" s="78">
        <v>228.57539937119998</v>
      </c>
      <c r="J1211" s="78">
        <v>234.98950496579999</v>
      </c>
      <c r="K1211" s="78">
        <v>223.88144027696998</v>
      </c>
      <c r="L1211" s="78">
        <v>232.73484966587998</v>
      </c>
      <c r="M1211" s="78">
        <v>1383055.9022084859</v>
      </c>
      <c r="N1211" s="78" t="s">
        <v>1202</v>
      </c>
      <c r="O1211" s="25">
        <f t="shared" si="33"/>
        <v>-1.7872056121596813E-2</v>
      </c>
    </row>
    <row r="1212" spans="1:15">
      <c r="A1212" s="77">
        <v>357.36839611930014</v>
      </c>
      <c r="B1212" s="77">
        <v>360.35211350156465</v>
      </c>
      <c r="C1212" s="77">
        <v>354.77058540161875</v>
      </c>
      <c r="D1212" s="77">
        <v>357.88607579130189</v>
      </c>
      <c r="E1212" s="77">
        <v>5329710.338695325</v>
      </c>
      <c r="F1212" s="77" t="s">
        <v>1203</v>
      </c>
      <c r="G1212" s="25">
        <f t="shared" ref="G1212:G1275" si="34">A1212/D1212-1</f>
        <v>-1.4464929121847936E-3</v>
      </c>
      <c r="I1212" s="78">
        <v>232.73484966587998</v>
      </c>
      <c r="J1212" s="78">
        <v>247.32208072269</v>
      </c>
      <c r="K1212" s="78">
        <v>230.70371622758998</v>
      </c>
      <c r="L1212" s="78">
        <v>246.99165710115</v>
      </c>
      <c r="M1212" s="78">
        <v>2431113.2970944559</v>
      </c>
      <c r="N1212" s="78" t="s">
        <v>1203</v>
      </c>
      <c r="O1212" s="25">
        <f t="shared" ref="O1212:O1275" si="35">I1212/L1212-1</f>
        <v>-5.772181782411967E-2</v>
      </c>
    </row>
    <row r="1213" spans="1:15">
      <c r="A1213" s="77">
        <v>359.36381594592496</v>
      </c>
      <c r="B1213" s="77">
        <v>359.42029009196153</v>
      </c>
      <c r="C1213" s="77">
        <v>352.77516557499393</v>
      </c>
      <c r="D1213" s="77">
        <v>352.90693858241252</v>
      </c>
      <c r="E1213" s="77">
        <v>4156015.0347043751</v>
      </c>
      <c r="F1213" s="77" t="s">
        <v>1204</v>
      </c>
      <c r="G1213" s="25">
        <f t="shared" si="34"/>
        <v>1.8296260735050973E-2</v>
      </c>
      <c r="I1213" s="78">
        <v>250.79152874886</v>
      </c>
      <c r="J1213" s="78">
        <v>250.80124709066999</v>
      </c>
      <c r="K1213" s="78">
        <v>237.54542886183</v>
      </c>
      <c r="L1213" s="78">
        <v>238.95458842427999</v>
      </c>
      <c r="M1213" s="78">
        <v>1252703.4177243041</v>
      </c>
      <c r="N1213" s="78" t="s">
        <v>1204</v>
      </c>
      <c r="O1213" s="25">
        <f t="shared" si="35"/>
        <v>4.9536359199609636E-2</v>
      </c>
    </row>
    <row r="1214" spans="1:15">
      <c r="A1214" s="77">
        <v>350.57267387956836</v>
      </c>
      <c r="B1214" s="77">
        <v>352.14453761091909</v>
      </c>
      <c r="C1214" s="77">
        <v>344.74642448013077</v>
      </c>
      <c r="D1214" s="77">
        <v>344.91114073940406</v>
      </c>
      <c r="E1214" s="77">
        <v>4513484.4506550618</v>
      </c>
      <c r="F1214" s="77" t="s">
        <v>1205</v>
      </c>
      <c r="G1214" s="25">
        <f t="shared" si="34"/>
        <v>1.6414468747015132E-2</v>
      </c>
      <c r="I1214" s="78">
        <v>236.70965146616999</v>
      </c>
      <c r="J1214" s="78">
        <v>238.59500977730997</v>
      </c>
      <c r="K1214" s="78">
        <v>235.00894164942</v>
      </c>
      <c r="L1214" s="78">
        <v>237.24416026571998</v>
      </c>
      <c r="M1214" s="78">
        <v>815763.65135072358</v>
      </c>
      <c r="N1214" s="78" t="s">
        <v>1205</v>
      </c>
      <c r="O1214" s="25">
        <f t="shared" si="35"/>
        <v>-2.2529903326232725E-3</v>
      </c>
    </row>
    <row r="1215" spans="1:15">
      <c r="A1215" s="77">
        <v>343.73930220914559</v>
      </c>
      <c r="B1215" s="77">
        <v>345.58412431300633</v>
      </c>
      <c r="C1215" s="77">
        <v>339.09900987647558</v>
      </c>
      <c r="D1215" s="77">
        <v>339.35314353364009</v>
      </c>
      <c r="E1215" s="77">
        <v>6060755.6558441473</v>
      </c>
      <c r="F1215" s="77" t="s">
        <v>1206</v>
      </c>
      <c r="G1215" s="25">
        <f t="shared" si="34"/>
        <v>1.2925056859155681E-2</v>
      </c>
      <c r="I1215" s="78">
        <v>235.57260547440001</v>
      </c>
      <c r="J1215" s="78">
        <v>237.43852710191999</v>
      </c>
      <c r="K1215" s="78">
        <v>231.07301321637001</v>
      </c>
      <c r="L1215" s="78">
        <v>231.23822502713998</v>
      </c>
      <c r="M1215" s="78">
        <v>781675.53153802897</v>
      </c>
      <c r="N1215" s="78" t="s">
        <v>1206</v>
      </c>
      <c r="O1215" s="25">
        <f t="shared" si="35"/>
        <v>1.8744221232243508E-2</v>
      </c>
    </row>
    <row r="1216" spans="1:15">
      <c r="A1216" s="77">
        <v>340.89677019197251</v>
      </c>
      <c r="B1216" s="77">
        <v>341.86624303226665</v>
      </c>
      <c r="C1216" s="77">
        <v>334.79756242002492</v>
      </c>
      <c r="D1216" s="77">
        <v>339.64492662149564</v>
      </c>
      <c r="E1216" s="77">
        <v>5914884.6586152893</v>
      </c>
      <c r="F1216" s="77" t="s">
        <v>1207</v>
      </c>
      <c r="G1216" s="25">
        <f t="shared" si="34"/>
        <v>3.6857419980600437E-3</v>
      </c>
      <c r="I1216" s="78">
        <v>233.49288032705999</v>
      </c>
      <c r="J1216" s="78">
        <v>236.39866452824998</v>
      </c>
      <c r="K1216" s="78">
        <v>231.58322616139498</v>
      </c>
      <c r="L1216" s="78">
        <v>236.39866452824998</v>
      </c>
      <c r="M1216" s="78">
        <v>820607.0702096452</v>
      </c>
      <c r="N1216" s="78" t="s">
        <v>1207</v>
      </c>
      <c r="O1216" s="25">
        <f t="shared" si="35"/>
        <v>-1.2291880781089337E-2</v>
      </c>
    </row>
    <row r="1217" spans="1:15">
      <c r="A1217" s="77">
        <v>343.37222025990803</v>
      </c>
      <c r="B1217" s="77">
        <v>344.08755944303766</v>
      </c>
      <c r="C1217" s="77">
        <v>337.76245508694387</v>
      </c>
      <c r="D1217" s="77">
        <v>339.87082320564178</v>
      </c>
      <c r="E1217" s="77">
        <v>5582995.4435420977</v>
      </c>
      <c r="F1217" s="77" t="s">
        <v>1208</v>
      </c>
      <c r="G1217" s="25">
        <f t="shared" si="34"/>
        <v>1.0302140740535704E-2</v>
      </c>
      <c r="I1217" s="78">
        <v>238.16740273766999</v>
      </c>
      <c r="J1217" s="78">
        <v>239.93614094708997</v>
      </c>
      <c r="K1217" s="78">
        <v>232.82231474216999</v>
      </c>
      <c r="L1217" s="78">
        <v>239.76121079450999</v>
      </c>
      <c r="M1217" s="78">
        <v>819299.23392970266</v>
      </c>
      <c r="N1217" s="78" t="s">
        <v>1208</v>
      </c>
      <c r="O1217" s="25">
        <f t="shared" si="35"/>
        <v>-6.6474808479591863E-3</v>
      </c>
    </row>
    <row r="1218" spans="1:15">
      <c r="A1218" s="77">
        <v>336.98122940010489</v>
      </c>
      <c r="B1218" s="77">
        <v>340.68028596549902</v>
      </c>
      <c r="C1218" s="77">
        <v>329.20662196240625</v>
      </c>
      <c r="D1218" s="77">
        <v>340.17201865117011</v>
      </c>
      <c r="E1218" s="77">
        <v>9302510.9164107759</v>
      </c>
      <c r="F1218" s="77" t="s">
        <v>1209</v>
      </c>
      <c r="G1218" s="25">
        <f t="shared" si="34"/>
        <v>-9.3799286129327974E-3</v>
      </c>
      <c r="I1218" s="78">
        <v>236.63190473169001</v>
      </c>
      <c r="J1218" s="78">
        <v>239.10036355142998</v>
      </c>
      <c r="K1218" s="78">
        <v>229.59582526124998</v>
      </c>
      <c r="L1218" s="78">
        <v>237.93416253423001</v>
      </c>
      <c r="M1218" s="78">
        <v>1002413.8058177644</v>
      </c>
      <c r="N1218" s="78" t="s">
        <v>1209</v>
      </c>
      <c r="O1218" s="25">
        <f t="shared" si="35"/>
        <v>-5.4731854756361331E-3</v>
      </c>
    </row>
    <row r="1219" spans="1:15">
      <c r="A1219" s="77">
        <v>336.89651818105011</v>
      </c>
      <c r="B1219" s="77">
        <v>340.94383198033631</v>
      </c>
      <c r="C1219" s="77">
        <v>334.93874778511628</v>
      </c>
      <c r="D1219" s="77">
        <v>336.18117899792043</v>
      </c>
      <c r="E1219" s="77">
        <v>6756518.6333767092</v>
      </c>
      <c r="F1219" s="77" t="s">
        <v>1210</v>
      </c>
      <c r="G1219" s="25">
        <f t="shared" si="34"/>
        <v>2.1278382842904175E-3</v>
      </c>
      <c r="I1219" s="78">
        <v>233.96907907574999</v>
      </c>
      <c r="J1219" s="78">
        <v>237.79810574888998</v>
      </c>
      <c r="K1219" s="78">
        <v>228.41990590223998</v>
      </c>
      <c r="L1219" s="78">
        <v>229.11962651255999</v>
      </c>
      <c r="M1219" s="78">
        <v>1138162.2725615988</v>
      </c>
      <c r="N1219" s="78" t="s">
        <v>1210</v>
      </c>
      <c r="O1219" s="25">
        <f t="shared" si="35"/>
        <v>2.1165592127587285E-2</v>
      </c>
    </row>
    <row r="1220" spans="1:15">
      <c r="A1220" s="77">
        <v>339.16489638018487</v>
      </c>
      <c r="B1220" s="77">
        <v>349.34906738210981</v>
      </c>
      <c r="C1220" s="77">
        <v>337.90364045203523</v>
      </c>
      <c r="D1220" s="77">
        <v>349.17964494400013</v>
      </c>
      <c r="E1220" s="77">
        <v>7313332.365091172</v>
      </c>
      <c r="F1220" s="77" t="s">
        <v>1211</v>
      </c>
      <c r="G1220" s="25">
        <f t="shared" si="34"/>
        <v>-2.8680791417327267E-2</v>
      </c>
      <c r="I1220" s="78">
        <v>233.05555494561</v>
      </c>
      <c r="J1220" s="78">
        <v>241.80692174551498</v>
      </c>
      <c r="K1220" s="78">
        <v>230.91751974741001</v>
      </c>
      <c r="L1220" s="78">
        <v>232.64738458958999</v>
      </c>
      <c r="M1220" s="78">
        <v>1709379.0612413129</v>
      </c>
      <c r="N1220" s="78" t="s">
        <v>1211</v>
      </c>
      <c r="O1220" s="25">
        <f t="shared" si="35"/>
        <v>1.7544592505953638E-3</v>
      </c>
    </row>
    <row r="1221" spans="1:15">
      <c r="A1221" s="77">
        <v>353.15165988190427</v>
      </c>
      <c r="B1221" s="77">
        <v>353.49050475812356</v>
      </c>
      <c r="C1221" s="77">
        <v>348.3325327534518</v>
      </c>
      <c r="D1221" s="77">
        <v>351.70215680029946</v>
      </c>
      <c r="E1221" s="77">
        <v>4795088.708817848</v>
      </c>
      <c r="F1221" s="77" t="s">
        <v>1212</v>
      </c>
      <c r="G1221" s="25">
        <f t="shared" si="34"/>
        <v>4.1213937804420731E-3</v>
      </c>
      <c r="I1221" s="78">
        <v>236.36950950281999</v>
      </c>
      <c r="J1221" s="78">
        <v>238.06050097776</v>
      </c>
      <c r="K1221" s="78">
        <v>230.96611145646</v>
      </c>
      <c r="L1221" s="78">
        <v>232.5599195133</v>
      </c>
      <c r="M1221" s="78">
        <v>1262944.8768071269</v>
      </c>
      <c r="N1221" s="78" t="s">
        <v>1212</v>
      </c>
      <c r="O1221" s="25">
        <f t="shared" si="35"/>
        <v>1.6381111575428209E-2</v>
      </c>
    </row>
    <row r="1222" spans="1:15">
      <c r="A1222" s="77">
        <v>346.22416463475389</v>
      </c>
      <c r="B1222" s="77">
        <v>349.5279021778922</v>
      </c>
      <c r="C1222" s="77">
        <v>343.97461115096456</v>
      </c>
      <c r="D1222" s="77">
        <v>346.10180398500802</v>
      </c>
      <c r="E1222" s="77">
        <v>5014514.0719208084</v>
      </c>
      <c r="F1222" s="77" t="s">
        <v>1213</v>
      </c>
      <c r="G1222" s="25">
        <f t="shared" si="34"/>
        <v>3.5353947404215269E-4</v>
      </c>
      <c r="I1222" s="78">
        <v>227.15652146694001</v>
      </c>
      <c r="J1222" s="78">
        <v>230.43160265691</v>
      </c>
      <c r="K1222" s="78">
        <v>222.550027449</v>
      </c>
      <c r="L1222" s="78">
        <v>225.21285310494</v>
      </c>
      <c r="M1222" s="78">
        <v>1510962.4961832867</v>
      </c>
      <c r="N1222" s="78" t="s">
        <v>1213</v>
      </c>
      <c r="O1222" s="25">
        <f t="shared" si="35"/>
        <v>8.6303616121516935E-3</v>
      </c>
    </row>
    <row r="1223" spans="1:15">
      <c r="A1223" s="77">
        <v>347.46659584755804</v>
      </c>
      <c r="B1223" s="77">
        <v>348.80315063708974</v>
      </c>
      <c r="C1223" s="77">
        <v>342.27248038942287</v>
      </c>
      <c r="D1223" s="77">
        <v>343.29692139852597</v>
      </c>
      <c r="E1223" s="77">
        <v>5713166.8673869483</v>
      </c>
      <c r="F1223" s="77" t="s">
        <v>1214</v>
      </c>
      <c r="G1223" s="25">
        <f t="shared" si="34"/>
        <v>1.2145970992240906E-2</v>
      </c>
      <c r="I1223" s="78">
        <v>226.98159131436</v>
      </c>
      <c r="J1223" s="78">
        <v>228.98842889812499</v>
      </c>
      <c r="K1223" s="78">
        <v>215.56253968760998</v>
      </c>
      <c r="L1223" s="78">
        <v>216.8162057811</v>
      </c>
      <c r="M1223" s="78">
        <v>1848158.9093232357</v>
      </c>
      <c r="N1223" s="78" t="s">
        <v>1214</v>
      </c>
      <c r="O1223" s="25">
        <f t="shared" si="35"/>
        <v>4.688480502017045E-2</v>
      </c>
    </row>
    <row r="1224" spans="1:15">
      <c r="A1224" s="77">
        <v>339.45667946804042</v>
      </c>
      <c r="B1224" s="77">
        <v>342.37451034659563</v>
      </c>
      <c r="C1224" s="77">
        <v>333.21628633100141</v>
      </c>
      <c r="D1224" s="77">
        <v>336.80710078315883</v>
      </c>
      <c r="E1224" s="77">
        <v>8158675.2936783731</v>
      </c>
      <c r="F1224" s="77" t="s">
        <v>1215</v>
      </c>
      <c r="G1224" s="25">
        <f t="shared" si="34"/>
        <v>7.866754230301698E-3</v>
      </c>
      <c r="I1224" s="78">
        <v>211.29618763301997</v>
      </c>
      <c r="J1224" s="78">
        <v>215.65972310570999</v>
      </c>
      <c r="K1224" s="78">
        <v>202.98700538546998</v>
      </c>
      <c r="L1224" s="78">
        <v>204.26010816258</v>
      </c>
      <c r="M1224" s="78">
        <v>1397543.9705181557</v>
      </c>
      <c r="N1224" s="78" t="s">
        <v>1215</v>
      </c>
      <c r="O1224" s="25">
        <f t="shared" si="35"/>
        <v>3.4446664763535972E-2</v>
      </c>
    </row>
    <row r="1225" spans="1:15">
      <c r="A1225" s="77">
        <v>339.72022548287765</v>
      </c>
      <c r="B1225" s="77">
        <v>349.53731453556497</v>
      </c>
      <c r="C1225" s="77">
        <v>339.09900987647558</v>
      </c>
      <c r="D1225" s="77">
        <v>344.46405374994805</v>
      </c>
      <c r="E1225" s="77">
        <v>8528090.7069986053</v>
      </c>
      <c r="F1225" s="77" t="s">
        <v>1216</v>
      </c>
      <c r="G1225" s="25">
        <f t="shared" si="34"/>
        <v>-1.3771620624641434E-2</v>
      </c>
      <c r="I1225" s="78">
        <v>207.04927226205001</v>
      </c>
      <c r="J1225" s="78">
        <v>218.14761860906998</v>
      </c>
      <c r="K1225" s="78">
        <v>202.48165161134997</v>
      </c>
      <c r="L1225" s="78">
        <v>209.42054766369</v>
      </c>
      <c r="M1225" s="78">
        <v>1793649.6102723517</v>
      </c>
      <c r="N1225" s="78" t="s">
        <v>1216</v>
      </c>
      <c r="O1225" s="25">
        <f t="shared" si="35"/>
        <v>-1.1323031231147529E-2</v>
      </c>
    </row>
    <row r="1226" spans="1:15">
      <c r="A1226" s="77">
        <v>345.28292886747801</v>
      </c>
      <c r="B1226" s="77">
        <v>351.2880130626981</v>
      </c>
      <c r="C1226" s="77">
        <v>341.58387230208393</v>
      </c>
      <c r="D1226" s="77">
        <v>350.04558184989389</v>
      </c>
      <c r="E1226" s="77">
        <v>8362145.037028946</v>
      </c>
      <c r="F1226" s="77" t="s">
        <v>1217</v>
      </c>
      <c r="G1226" s="25">
        <f t="shared" si="34"/>
        <v>-1.3605808012906784E-2</v>
      </c>
      <c r="I1226" s="78">
        <v>213.48281454026997</v>
      </c>
      <c r="J1226" s="78">
        <v>223.52186162999999</v>
      </c>
      <c r="K1226" s="78">
        <v>205.92194461208999</v>
      </c>
      <c r="L1226" s="78">
        <v>219.14860781549999</v>
      </c>
      <c r="M1226" s="78">
        <v>2030937.0040566623</v>
      </c>
      <c r="N1226" s="78" t="s">
        <v>1217</v>
      </c>
      <c r="O1226" s="25">
        <f t="shared" si="35"/>
        <v>-2.5853658536585389E-2</v>
      </c>
    </row>
    <row r="1227" spans="1:15">
      <c r="A1227" s="77">
        <v>344.3981672462387</v>
      </c>
      <c r="B1227" s="77">
        <v>351.60803322357185</v>
      </c>
      <c r="C1227" s="77">
        <v>343.08043717205248</v>
      </c>
      <c r="D1227" s="77">
        <v>350.4785503028408</v>
      </c>
      <c r="E1227" s="77">
        <v>11467084.417369619</v>
      </c>
      <c r="F1227" s="77" t="s">
        <v>1218</v>
      </c>
      <c r="G1227" s="25">
        <f t="shared" si="34"/>
        <v>-1.7348802234396832E-2</v>
      </c>
      <c r="I1227" s="78">
        <v>214.46436706308</v>
      </c>
      <c r="J1227" s="78">
        <v>233.89628869559309</v>
      </c>
      <c r="K1227" s="78">
        <v>214.14366178334998</v>
      </c>
      <c r="L1227" s="78">
        <v>231.21878834351998</v>
      </c>
      <c r="M1227" s="78">
        <v>2482556.229415026</v>
      </c>
      <c r="N1227" s="78" t="s">
        <v>1218</v>
      </c>
      <c r="O1227" s="25">
        <f t="shared" si="35"/>
        <v>-7.246133154001333E-2</v>
      </c>
    </row>
    <row r="1228" spans="1:15">
      <c r="A1228" s="77">
        <v>355.88124360700431</v>
      </c>
      <c r="B1228" s="77">
        <v>358.87437334694147</v>
      </c>
      <c r="C1228" s="77">
        <v>351.03387940553353</v>
      </c>
      <c r="D1228" s="77">
        <v>355.79653238794941</v>
      </c>
      <c r="E1228" s="77">
        <v>8456592.1491029877</v>
      </c>
      <c r="F1228" s="77" t="s">
        <v>1219</v>
      </c>
      <c r="G1228" s="25">
        <f t="shared" si="34"/>
        <v>2.3808893944621268E-4</v>
      </c>
      <c r="I1228" s="78">
        <v>242.03530277805001</v>
      </c>
      <c r="J1228" s="78">
        <v>275.02907322300001</v>
      </c>
      <c r="K1228" s="78">
        <v>232.29752428442998</v>
      </c>
      <c r="L1228" s="78">
        <v>275.02907322300001</v>
      </c>
      <c r="M1228" s="78">
        <v>3653983.4360899064</v>
      </c>
      <c r="N1228" s="78" t="s">
        <v>1219</v>
      </c>
      <c r="O1228" s="25">
        <f t="shared" si="35"/>
        <v>-0.11996466431095409</v>
      </c>
    </row>
    <row r="1229" spans="1:15">
      <c r="A1229" s="77">
        <v>358.13079709079358</v>
      </c>
      <c r="B1229" s="77">
        <v>367.37373232544257</v>
      </c>
      <c r="C1229" s="77">
        <v>354.23408101427151</v>
      </c>
      <c r="D1229" s="77">
        <v>367.28902110638774</v>
      </c>
      <c r="E1229" s="77">
        <v>11131380.005164264</v>
      </c>
      <c r="F1229" s="77" t="s">
        <v>1220</v>
      </c>
      <c r="G1229" s="25">
        <f t="shared" si="34"/>
        <v>-2.4934652247450173E-2</v>
      </c>
      <c r="I1229" s="78">
        <v>283.50346728132001</v>
      </c>
      <c r="J1229" s="78">
        <v>297.84773979288002</v>
      </c>
      <c r="K1229" s="78">
        <v>279.62584889913001</v>
      </c>
      <c r="L1229" s="78">
        <v>296.97308902997997</v>
      </c>
      <c r="M1229" s="78">
        <v>1084393.8406401863</v>
      </c>
      <c r="N1229" s="78" t="s">
        <v>1220</v>
      </c>
      <c r="O1229" s="25">
        <f t="shared" si="35"/>
        <v>-4.53563714902806E-2</v>
      </c>
    </row>
    <row r="1230" spans="1:15">
      <c r="A1230" s="77">
        <v>371.16691246756426</v>
      </c>
      <c r="B1230" s="77">
        <v>371.71753539142071</v>
      </c>
      <c r="C1230" s="77">
        <v>357.93313757966564</v>
      </c>
      <c r="D1230" s="77">
        <v>360.82273138520259</v>
      </c>
      <c r="E1230" s="77">
        <v>7827525.532017597</v>
      </c>
      <c r="F1230" s="77" t="s">
        <v>1221</v>
      </c>
      <c r="G1230" s="25">
        <f t="shared" si="34"/>
        <v>2.8668318768748868E-2</v>
      </c>
      <c r="I1230" s="78">
        <v>299.01394081007999</v>
      </c>
      <c r="J1230" s="78">
        <v>300.41338203072002</v>
      </c>
      <c r="K1230" s="78">
        <v>283.13417029253998</v>
      </c>
      <c r="L1230" s="78">
        <v>292.24997491032002</v>
      </c>
      <c r="M1230" s="78">
        <v>860696.21377106104</v>
      </c>
      <c r="N1230" s="78" t="s">
        <v>1221</v>
      </c>
      <c r="O1230" s="25">
        <f t="shared" si="35"/>
        <v>2.3144453312051061E-2</v>
      </c>
    </row>
    <row r="1231" spans="1:15">
      <c r="A1231" s="77">
        <v>360.23916520949155</v>
      </c>
      <c r="B1231" s="77">
        <v>362.42810310986829</v>
      </c>
      <c r="C1231" s="77">
        <v>357.66959156482841</v>
      </c>
      <c r="D1231" s="77">
        <v>359.19439350781533</v>
      </c>
      <c r="E1231" s="77">
        <v>5957801.6422281321</v>
      </c>
      <c r="F1231" s="77" t="s">
        <v>1222</v>
      </c>
      <c r="G1231" s="25">
        <f t="shared" si="34"/>
        <v>2.9086525863424306E-3</v>
      </c>
      <c r="I1231" s="78">
        <v>292.23053822669999</v>
      </c>
      <c r="J1231" s="78">
        <v>297.02168073902999</v>
      </c>
      <c r="K1231" s="78">
        <v>290.57842011899999</v>
      </c>
      <c r="L1231" s="78">
        <v>292.58039853186</v>
      </c>
      <c r="M1231" s="78">
        <v>789815.80912309978</v>
      </c>
      <c r="N1231" s="78" t="s">
        <v>1222</v>
      </c>
      <c r="O1231" s="25">
        <f t="shared" si="35"/>
        <v>-1.1957749285856911E-3</v>
      </c>
    </row>
    <row r="1232" spans="1:15">
      <c r="A1232" s="77">
        <v>358.6861261934863</v>
      </c>
      <c r="B1232" s="77">
        <v>359.80619675654458</v>
      </c>
      <c r="C1232" s="77">
        <v>350.45031322982248</v>
      </c>
      <c r="D1232" s="77">
        <v>356.53069628642464</v>
      </c>
      <c r="E1232" s="77">
        <v>11407363.992419465</v>
      </c>
      <c r="F1232" s="77" t="s">
        <v>1223</v>
      </c>
      <c r="G1232" s="25">
        <f t="shared" si="34"/>
        <v>6.0455661448293174E-3</v>
      </c>
      <c r="I1232" s="78">
        <v>292.37631335385004</v>
      </c>
      <c r="J1232" s="78">
        <v>293.80976877082497</v>
      </c>
      <c r="K1232" s="78">
        <v>284.27121628430996</v>
      </c>
      <c r="L1232" s="78">
        <v>286.71052007861999</v>
      </c>
      <c r="M1232" s="78">
        <v>872204.34984885552</v>
      </c>
      <c r="N1232" s="78" t="s">
        <v>1223</v>
      </c>
      <c r="O1232" s="25">
        <f t="shared" si="35"/>
        <v>1.9761372110365549E-2</v>
      </c>
    </row>
    <row r="1233" spans="1:15">
      <c r="A1233" s="77">
        <v>356.44598506736975</v>
      </c>
      <c r="B1233" s="77">
        <v>368.44674110013705</v>
      </c>
      <c r="C1233" s="77">
        <v>355.7871200302767</v>
      </c>
      <c r="D1233" s="77">
        <v>366.53603249256707</v>
      </c>
      <c r="E1233" s="77">
        <v>8735265.1544427052</v>
      </c>
      <c r="F1233" s="77" t="s">
        <v>1224</v>
      </c>
      <c r="G1233" s="25">
        <f t="shared" si="34"/>
        <v>-2.7528118740691498E-2</v>
      </c>
      <c r="I1233" s="78">
        <v>288.29460979364995</v>
      </c>
      <c r="J1233" s="78">
        <v>300.38422700528997</v>
      </c>
      <c r="K1233" s="78">
        <v>287.57545249971002</v>
      </c>
      <c r="L1233" s="78">
        <v>294.95167393349999</v>
      </c>
      <c r="M1233" s="78">
        <v>830703.44281294628</v>
      </c>
      <c r="N1233" s="78" t="s">
        <v>1224</v>
      </c>
      <c r="O1233" s="25">
        <f t="shared" si="35"/>
        <v>-2.257001647446466E-2</v>
      </c>
    </row>
    <row r="1234" spans="1:15">
      <c r="A1234" s="77">
        <v>370.03742954683327</v>
      </c>
      <c r="B1234" s="77">
        <v>371.69400449723878</v>
      </c>
      <c r="C1234" s="77">
        <v>361.31217398418602</v>
      </c>
      <c r="D1234" s="77">
        <v>365.4159619295088</v>
      </c>
      <c r="E1234" s="77">
        <v>7475483.0241568815</v>
      </c>
      <c r="F1234" s="77" t="s">
        <v>1225</v>
      </c>
      <c r="G1234" s="25">
        <f t="shared" si="34"/>
        <v>1.2647142157999003E-2</v>
      </c>
      <c r="I1234" s="78">
        <v>294.52406689385998</v>
      </c>
      <c r="J1234" s="78">
        <v>295.99153650717</v>
      </c>
      <c r="K1234" s="78">
        <v>284.35382218969499</v>
      </c>
      <c r="L1234" s="78">
        <v>291.67659274352997</v>
      </c>
      <c r="M1234" s="78">
        <v>972303.7308974833</v>
      </c>
      <c r="N1234" s="78" t="s">
        <v>1225</v>
      </c>
      <c r="O1234" s="25">
        <f t="shared" si="35"/>
        <v>9.7624362776131957E-3</v>
      </c>
    </row>
    <row r="1235" spans="1:15">
      <c r="A1235" s="77">
        <v>360.99215382331215</v>
      </c>
      <c r="B1235" s="77">
        <v>365.90540452849223</v>
      </c>
      <c r="C1235" s="77">
        <v>359.08144521574218</v>
      </c>
      <c r="D1235" s="77">
        <v>360.96391675029395</v>
      </c>
      <c r="E1235" s="77">
        <v>6816253.9323897576</v>
      </c>
      <c r="F1235" s="77" t="s">
        <v>1226</v>
      </c>
      <c r="G1235" s="25">
        <f t="shared" si="34"/>
        <v>7.8226857887608858E-5</v>
      </c>
      <c r="I1235" s="78">
        <v>289.15954221473999</v>
      </c>
      <c r="J1235" s="78">
        <v>298.21693959824188</v>
      </c>
      <c r="K1235" s="78">
        <v>288.18770803374002</v>
      </c>
      <c r="L1235" s="78">
        <v>292.22081988488998</v>
      </c>
      <c r="M1235" s="78">
        <v>810188.62620144873</v>
      </c>
      <c r="N1235" s="78" t="s">
        <v>1226</v>
      </c>
      <c r="O1235" s="25">
        <f t="shared" si="35"/>
        <v>-1.0475905417539622E-2</v>
      </c>
    </row>
    <row r="1236" spans="1:15">
      <c r="A1236" s="77">
        <v>360.0603304137091</v>
      </c>
      <c r="B1236" s="77">
        <v>368.57851410755563</v>
      </c>
      <c r="C1236" s="77">
        <v>359.96620683698148</v>
      </c>
      <c r="D1236" s="77">
        <v>368.39967931177324</v>
      </c>
      <c r="E1236" s="77">
        <v>9023227.0120593645</v>
      </c>
      <c r="F1236" s="77" t="s">
        <v>1227</v>
      </c>
      <c r="G1236" s="25">
        <f t="shared" si="34"/>
        <v>-2.2636688809402061E-2</v>
      </c>
      <c r="I1236" s="78">
        <v>292.94969552063998</v>
      </c>
      <c r="J1236" s="78">
        <v>308.25219653466598</v>
      </c>
      <c r="K1236" s="78">
        <v>292.08476309955</v>
      </c>
      <c r="L1236" s="78">
        <v>306.05002028052002</v>
      </c>
      <c r="M1236" s="78">
        <v>956999.67976327031</v>
      </c>
      <c r="N1236" s="78" t="s">
        <v>1227</v>
      </c>
      <c r="O1236" s="25">
        <f t="shared" si="35"/>
        <v>-4.2804521783310179E-2</v>
      </c>
    </row>
    <row r="1237" spans="1:15">
      <c r="A1237" s="77">
        <v>370.65864515323534</v>
      </c>
      <c r="B1237" s="77">
        <v>370.9018604754994</v>
      </c>
      <c r="C1237" s="77">
        <v>362.37577040120772</v>
      </c>
      <c r="D1237" s="77">
        <v>366.53603249256707</v>
      </c>
      <c r="E1237" s="77">
        <v>8649460.9353428055</v>
      </c>
      <c r="F1237" s="77" t="s">
        <v>1228</v>
      </c>
      <c r="G1237" s="25">
        <f t="shared" si="34"/>
        <v>1.1247496276513669E-2</v>
      </c>
      <c r="I1237" s="78">
        <v>310.11228715710001</v>
      </c>
      <c r="J1237" s="78">
        <v>312.14342059539001</v>
      </c>
      <c r="K1237" s="78">
        <v>303.96057679136999</v>
      </c>
      <c r="L1237" s="78">
        <v>310.98693792</v>
      </c>
      <c r="M1237" s="78">
        <v>936952.02103618952</v>
      </c>
      <c r="N1237" s="78" t="s">
        <v>1228</v>
      </c>
      <c r="O1237" s="25">
        <f t="shared" si="35"/>
        <v>-2.8124999999999956E-3</v>
      </c>
    </row>
    <row r="1238" spans="1:15">
      <c r="A1238" s="77">
        <v>368.64440061126498</v>
      </c>
      <c r="B1238" s="77">
        <v>378.2685363316607</v>
      </c>
      <c r="C1238" s="77">
        <v>368.11730858159052</v>
      </c>
      <c r="D1238" s="77">
        <v>378.06617064169637</v>
      </c>
      <c r="E1238" s="77">
        <v>6721415.8449482312</v>
      </c>
      <c r="F1238" s="77" t="s">
        <v>1229</v>
      </c>
      <c r="G1238" s="25">
        <f t="shared" si="34"/>
        <v>-2.4920955012821433E-2</v>
      </c>
      <c r="I1238" s="78">
        <v>313.58173518326998</v>
      </c>
      <c r="J1238" s="78">
        <v>325.19515364621998</v>
      </c>
      <c r="K1238" s="78">
        <v>312.58560514774496</v>
      </c>
      <c r="L1238" s="78">
        <v>322.86275161181999</v>
      </c>
      <c r="M1238" s="78">
        <v>736678.14324386278</v>
      </c>
      <c r="N1238" s="78" t="s">
        <v>1229</v>
      </c>
      <c r="O1238" s="25">
        <f t="shared" si="35"/>
        <v>-2.8746011679007921E-2</v>
      </c>
    </row>
    <row r="1239" spans="1:15">
      <c r="A1239" s="77">
        <v>378.98858169362671</v>
      </c>
      <c r="B1239" s="77">
        <v>389.37041220667953</v>
      </c>
      <c r="C1239" s="77">
        <v>378.18853129144225</v>
      </c>
      <c r="D1239" s="77">
        <v>388.14680570922087</v>
      </c>
      <c r="E1239" s="77">
        <v>4961724.9602789879</v>
      </c>
      <c r="F1239" s="77" t="s">
        <v>1230</v>
      </c>
      <c r="G1239" s="25">
        <f t="shared" si="34"/>
        <v>-2.3594742713031636E-2</v>
      </c>
      <c r="I1239" s="78">
        <v>326.33219963799002</v>
      </c>
      <c r="J1239" s="78">
        <v>343.01373335485499</v>
      </c>
      <c r="K1239" s="78">
        <v>324.47113718137501</v>
      </c>
      <c r="L1239" s="78">
        <v>337.39167261776998</v>
      </c>
      <c r="M1239" s="78">
        <v>630528.34730454907</v>
      </c>
      <c r="N1239" s="78" t="s">
        <v>1230</v>
      </c>
      <c r="O1239" s="25">
        <f t="shared" si="35"/>
        <v>-3.2779330011233565E-2</v>
      </c>
    </row>
    <row r="1240" spans="1:15">
      <c r="A1240" s="77">
        <v>384.69247044331843</v>
      </c>
      <c r="B1240" s="77">
        <v>387.21498229961776</v>
      </c>
      <c r="C1240" s="77">
        <v>383.71358524535157</v>
      </c>
      <c r="D1240" s="77">
        <v>386.67847791227052</v>
      </c>
      <c r="E1240" s="77">
        <v>5383501.3247163231</v>
      </c>
      <c r="F1240" s="77" t="s">
        <v>1231</v>
      </c>
      <c r="G1240" s="25">
        <f t="shared" si="34"/>
        <v>-5.1360693247651801E-3</v>
      </c>
      <c r="I1240" s="78">
        <v>334.47617007476998</v>
      </c>
      <c r="J1240" s="78">
        <v>339.75322967760002</v>
      </c>
      <c r="K1240" s="78">
        <v>328.18645925533798</v>
      </c>
      <c r="L1240" s="78">
        <v>334.94265048164999</v>
      </c>
      <c r="M1240" s="78">
        <v>732142.39004009683</v>
      </c>
      <c r="N1240" s="78" t="s">
        <v>1231</v>
      </c>
      <c r="O1240" s="25">
        <f t="shared" si="35"/>
        <v>-1.3927172493835016E-3</v>
      </c>
    </row>
    <row r="1241" spans="1:15">
      <c r="A1241" s="77">
        <v>384.98425353117398</v>
      </c>
      <c r="B1241" s="77">
        <v>385.69018035663089</v>
      </c>
      <c r="C1241" s="77">
        <v>378.71562332111677</v>
      </c>
      <c r="D1241" s="77">
        <v>378.92269518991742</v>
      </c>
      <c r="E1241" s="77">
        <v>4081347.2389793941</v>
      </c>
      <c r="F1241" s="77" t="s">
        <v>1232</v>
      </c>
      <c r="G1241" s="25">
        <f t="shared" si="34"/>
        <v>1.5996820507725218E-2</v>
      </c>
      <c r="I1241" s="78">
        <v>332.62968513086997</v>
      </c>
      <c r="J1241" s="78">
        <v>335.10786229242001</v>
      </c>
      <c r="K1241" s="78">
        <v>323.94148755273</v>
      </c>
      <c r="L1241" s="78">
        <v>324.18444609797996</v>
      </c>
      <c r="M1241" s="78">
        <v>771052.32008710341</v>
      </c>
      <c r="N1241" s="78" t="s">
        <v>1232</v>
      </c>
      <c r="O1241" s="25">
        <f t="shared" si="35"/>
        <v>2.6050722465375653E-2</v>
      </c>
    </row>
    <row r="1242" spans="1:15">
      <c r="A1242" s="77">
        <v>378.93210754759014</v>
      </c>
      <c r="B1242" s="77">
        <v>380.46632184824983</v>
      </c>
      <c r="C1242" s="77">
        <v>376.90845064794706</v>
      </c>
      <c r="D1242" s="77">
        <v>377.95322234962327</v>
      </c>
      <c r="E1242" s="77">
        <v>4574696.531626815</v>
      </c>
      <c r="F1242" s="77" t="s">
        <v>1233</v>
      </c>
      <c r="G1242" s="25">
        <f t="shared" si="34"/>
        <v>2.5899638899264943E-3</v>
      </c>
      <c r="I1242" s="78">
        <v>326.39050968884999</v>
      </c>
      <c r="J1242" s="78">
        <v>327.29431547717996</v>
      </c>
      <c r="K1242" s="78">
        <v>320.04443248691996</v>
      </c>
      <c r="L1242" s="78">
        <v>326.52656647419002</v>
      </c>
      <c r="M1242" s="78">
        <v>581328.59601487918</v>
      </c>
      <c r="N1242" s="78" t="s">
        <v>1233</v>
      </c>
      <c r="O1242" s="25">
        <f t="shared" si="35"/>
        <v>-4.1667906782949515E-4</v>
      </c>
    </row>
    <row r="1243" spans="1:15">
      <c r="A1243" s="77">
        <v>378.86622104388084</v>
      </c>
      <c r="B1243" s="77">
        <v>384.75835694702778</v>
      </c>
      <c r="C1243" s="77">
        <v>378.69679860577116</v>
      </c>
      <c r="D1243" s="77">
        <v>383.76064703371537</v>
      </c>
      <c r="E1243" s="77">
        <v>3968908.8854026943</v>
      </c>
      <c r="F1243" s="77" t="s">
        <v>1234</v>
      </c>
      <c r="G1243" s="25">
        <f t="shared" si="34"/>
        <v>-1.2753850681840539E-2</v>
      </c>
      <c r="I1243" s="78">
        <v>327.01248356469</v>
      </c>
      <c r="J1243" s="78">
        <v>335.32166581223998</v>
      </c>
      <c r="K1243" s="78">
        <v>323.99979760358997</v>
      </c>
      <c r="L1243" s="78">
        <v>335.28279244499998</v>
      </c>
      <c r="M1243" s="78">
        <v>599807.05700245383</v>
      </c>
      <c r="N1243" s="78" t="s">
        <v>1234</v>
      </c>
      <c r="O1243" s="25">
        <f t="shared" si="35"/>
        <v>-2.4666666666666615E-2</v>
      </c>
    </row>
    <row r="1244" spans="1:15">
      <c r="A1244" s="77">
        <v>383.5253380918964</v>
      </c>
      <c r="B1244" s="77">
        <v>384.21244020200777</v>
      </c>
      <c r="C1244" s="77">
        <v>378.82857161318987</v>
      </c>
      <c r="D1244" s="77">
        <v>378.91328283224465</v>
      </c>
      <c r="E1244" s="77">
        <v>4630837.6195849748</v>
      </c>
      <c r="F1244" s="77" t="s">
        <v>1235</v>
      </c>
      <c r="G1244" s="25">
        <f t="shared" si="34"/>
        <v>1.2171796209355046E-2</v>
      </c>
      <c r="I1244" s="78">
        <v>333.67926604634999</v>
      </c>
      <c r="J1244" s="78">
        <v>337.4297685176652</v>
      </c>
      <c r="K1244" s="78">
        <v>332.25066980027998</v>
      </c>
      <c r="L1244" s="78">
        <v>334.88434043078996</v>
      </c>
      <c r="M1244" s="78">
        <v>772594.76429137867</v>
      </c>
      <c r="N1244" s="78" t="s">
        <v>1235</v>
      </c>
      <c r="O1244" s="25">
        <f t="shared" si="35"/>
        <v>-3.5984793522736425E-3</v>
      </c>
    </row>
    <row r="1245" spans="1:15">
      <c r="A1245" s="77">
        <v>379.24271535079123</v>
      </c>
      <c r="B1245" s="77">
        <v>385.63370621059431</v>
      </c>
      <c r="C1245" s="77">
        <v>377.78379991151365</v>
      </c>
      <c r="D1245" s="77">
        <v>383.39356508447776</v>
      </c>
      <c r="E1245" s="77">
        <v>7028858.4752230197</v>
      </c>
      <c r="F1245" s="77" t="s">
        <v>1236</v>
      </c>
      <c r="G1245" s="25">
        <f t="shared" si="34"/>
        <v>-1.0826602509022121E-2</v>
      </c>
      <c r="I1245" s="78">
        <v>334.88434043078996</v>
      </c>
      <c r="J1245" s="78">
        <v>346.43944884287998</v>
      </c>
      <c r="K1245" s="78">
        <v>330.50136827447994</v>
      </c>
      <c r="L1245" s="78">
        <v>342.90197242403997</v>
      </c>
      <c r="M1245" s="78">
        <v>608998.9543185248</v>
      </c>
      <c r="N1245" s="78" t="s">
        <v>1236</v>
      </c>
      <c r="O1245" s="25">
        <f t="shared" si="35"/>
        <v>-2.3381702754789679E-2</v>
      </c>
    </row>
    <row r="1246" spans="1:15">
      <c r="A1246" s="77">
        <v>380.63574428635945</v>
      </c>
      <c r="B1246" s="77">
        <v>385.02114997325117</v>
      </c>
      <c r="C1246" s="77">
        <v>380.18865729690344</v>
      </c>
      <c r="D1246" s="77">
        <v>384.49481093219055</v>
      </c>
      <c r="E1246" s="77">
        <v>3551484.2467947486</v>
      </c>
      <c r="F1246" s="77" t="s">
        <v>1237</v>
      </c>
      <c r="G1246" s="25">
        <f t="shared" si="34"/>
        <v>-1.0036719706242425E-2</v>
      </c>
      <c r="I1246" s="78">
        <v>341.38591110167994</v>
      </c>
      <c r="J1246" s="78">
        <v>350.01093945805496</v>
      </c>
      <c r="K1246" s="78">
        <v>340.87083898574997</v>
      </c>
      <c r="L1246" s="78">
        <v>348.65523077555997</v>
      </c>
      <c r="M1246" s="78">
        <v>717949.63960009138</v>
      </c>
      <c r="N1246" s="78" t="s">
        <v>1237</v>
      </c>
      <c r="O1246" s="25">
        <f t="shared" si="35"/>
        <v>-2.084959304270273E-2</v>
      </c>
    </row>
    <row r="1247" spans="1:15">
      <c r="A1247" s="77">
        <v>387.3467553070364</v>
      </c>
      <c r="B1247" s="77">
        <v>389.87867952100851</v>
      </c>
      <c r="C1247" s="77">
        <v>385.88783986775883</v>
      </c>
      <c r="D1247" s="77">
        <v>387.64795075256473</v>
      </c>
      <c r="E1247" s="77">
        <v>5049544.6149009457</v>
      </c>
      <c r="F1247" s="77" t="s">
        <v>1238</v>
      </c>
      <c r="G1247" s="25">
        <f t="shared" si="34"/>
        <v>-7.7698191089003998E-4</v>
      </c>
      <c r="I1247" s="78">
        <v>352.46482076507999</v>
      </c>
      <c r="J1247" s="78">
        <v>358.93723641053998</v>
      </c>
      <c r="K1247" s="78">
        <v>351.59988834399002</v>
      </c>
      <c r="L1247" s="78">
        <v>355.35116828264995</v>
      </c>
      <c r="M1247" s="78">
        <v>886240.6950059724</v>
      </c>
      <c r="N1247" s="78" t="s">
        <v>1238</v>
      </c>
      <c r="O1247" s="25">
        <f t="shared" si="35"/>
        <v>-8.1225215369887804E-3</v>
      </c>
    </row>
    <row r="1248" spans="1:15">
      <c r="A1248" s="77">
        <v>388.28799107431223</v>
      </c>
      <c r="B1248" s="77">
        <v>389.95397838239057</v>
      </c>
      <c r="C1248" s="77">
        <v>383.77947174906086</v>
      </c>
      <c r="D1248" s="77">
        <v>385.53017027619399</v>
      </c>
      <c r="E1248" s="77">
        <v>5263349.7070963196</v>
      </c>
      <c r="F1248" s="77" t="s">
        <v>1239</v>
      </c>
      <c r="G1248" s="25">
        <f t="shared" si="34"/>
        <v>7.1533203124998224E-3</v>
      </c>
      <c r="I1248" s="78">
        <v>357.63497860799998</v>
      </c>
      <c r="J1248" s="78">
        <v>360.10343742774</v>
      </c>
      <c r="K1248" s="78">
        <v>348.5969207247</v>
      </c>
      <c r="L1248" s="78">
        <v>349.81171345094998</v>
      </c>
      <c r="M1248" s="78">
        <v>825757.12574159808</v>
      </c>
      <c r="N1248" s="78" t="s">
        <v>1239</v>
      </c>
      <c r="O1248" s="25">
        <f t="shared" si="35"/>
        <v>2.2364217252396124E-2</v>
      </c>
    </row>
    <row r="1249" spans="1:15">
      <c r="A1249" s="77">
        <v>386.33963303605123</v>
      </c>
      <c r="B1249" s="77">
        <v>388.41035172405816</v>
      </c>
      <c r="C1249" s="77">
        <v>383.68534817233331</v>
      </c>
      <c r="D1249" s="77">
        <v>386.622003766234</v>
      </c>
      <c r="E1249" s="77">
        <v>5886639.8756137434</v>
      </c>
      <c r="F1249" s="77" t="s">
        <v>1240</v>
      </c>
      <c r="G1249" s="25">
        <f t="shared" si="34"/>
        <v>-7.3035349108974135E-4</v>
      </c>
      <c r="I1249" s="78">
        <v>348.42199057211997</v>
      </c>
      <c r="J1249" s="78">
        <v>352.775807703</v>
      </c>
      <c r="K1249" s="78">
        <v>341.11379753099999</v>
      </c>
      <c r="L1249" s="78">
        <v>349.87002350180995</v>
      </c>
      <c r="M1249" s="78">
        <v>921522.43408281601</v>
      </c>
      <c r="N1249" s="78" t="s">
        <v>1240</v>
      </c>
      <c r="O1249" s="25">
        <f t="shared" si="35"/>
        <v>-4.1387739229465925E-3</v>
      </c>
    </row>
    <row r="1250" spans="1:15">
      <c r="A1250" s="77">
        <v>390.29282325860987</v>
      </c>
      <c r="B1250" s="77">
        <v>396.0908355850292</v>
      </c>
      <c r="C1250" s="77">
        <v>389.20098976856985</v>
      </c>
      <c r="D1250" s="77">
        <v>393.96364275098574</v>
      </c>
      <c r="E1250" s="77">
        <v>4368759.8187020607</v>
      </c>
      <c r="F1250" s="77" t="s">
        <v>1241</v>
      </c>
      <c r="G1250" s="25">
        <f t="shared" si="34"/>
        <v>-9.317660550458684E-3</v>
      </c>
      <c r="I1250" s="78">
        <v>353.59214841503996</v>
      </c>
      <c r="J1250" s="78">
        <v>359.18019495578994</v>
      </c>
      <c r="K1250" s="78">
        <v>351.33749311511997</v>
      </c>
      <c r="L1250" s="78">
        <v>356.48821427441999</v>
      </c>
      <c r="M1250" s="78">
        <v>753678.9859009909</v>
      </c>
      <c r="N1250" s="78" t="s">
        <v>1241</v>
      </c>
      <c r="O1250" s="25">
        <f t="shared" si="35"/>
        <v>-8.1238754702579463E-3</v>
      </c>
    </row>
    <row r="1251" spans="1:15">
      <c r="A1251" s="77">
        <v>395.17783689077163</v>
      </c>
      <c r="B1251" s="77">
        <v>395.2813728251719</v>
      </c>
      <c r="C1251" s="77">
        <v>391.29053317192228</v>
      </c>
      <c r="D1251" s="77">
        <v>391.97763528203365</v>
      </c>
      <c r="E1251" s="77">
        <v>5436690.9736232022</v>
      </c>
      <c r="F1251" s="77" t="s">
        <v>1242</v>
      </c>
      <c r="G1251" s="25">
        <f t="shared" si="34"/>
        <v>8.1642454076120696E-3</v>
      </c>
      <c r="I1251" s="78">
        <v>355.25398486454998</v>
      </c>
      <c r="J1251" s="78">
        <v>360.70597461995999</v>
      </c>
      <c r="K1251" s="78">
        <v>354.13637555639997</v>
      </c>
      <c r="L1251" s="78">
        <v>354.13637555639997</v>
      </c>
      <c r="M1251" s="78">
        <v>744881.18873851385</v>
      </c>
      <c r="N1251" s="78" t="s">
        <v>1242</v>
      </c>
      <c r="O1251" s="25">
        <f t="shared" si="35"/>
        <v>3.1558726673985849E-3</v>
      </c>
    </row>
    <row r="1252" spans="1:15">
      <c r="A1252" s="77">
        <v>391.85527463228777</v>
      </c>
      <c r="B1252" s="77">
        <v>392.32401004439117</v>
      </c>
      <c r="C1252" s="77">
        <v>388.60801123518604</v>
      </c>
      <c r="D1252" s="77">
        <v>392.19411950850713</v>
      </c>
      <c r="E1252" s="77">
        <v>4954196.5595887881</v>
      </c>
      <c r="F1252" s="77" t="s">
        <v>1243</v>
      </c>
      <c r="G1252" s="25">
        <f t="shared" si="34"/>
        <v>-8.639723528848231E-4</v>
      </c>
      <c r="I1252" s="78">
        <v>353.65045846589999</v>
      </c>
      <c r="J1252" s="78">
        <v>356.27441075460001</v>
      </c>
      <c r="K1252" s="78">
        <v>341.11379753099999</v>
      </c>
      <c r="L1252" s="78">
        <v>341.98844829389998</v>
      </c>
      <c r="M1252" s="78">
        <v>1033192.7191188185</v>
      </c>
      <c r="N1252" s="78" t="s">
        <v>1243</v>
      </c>
      <c r="O1252" s="25">
        <f t="shared" si="35"/>
        <v>3.4100596760443302E-2</v>
      </c>
    </row>
    <row r="1253" spans="1:15">
      <c r="A1253" s="77">
        <v>390.77285349992059</v>
      </c>
      <c r="B1253" s="77">
        <v>396.89088598721366</v>
      </c>
      <c r="C1253" s="77">
        <v>390.65990520784743</v>
      </c>
      <c r="D1253" s="77">
        <v>396.23202095012061</v>
      </c>
      <c r="E1253" s="77">
        <v>6243535.5777099701</v>
      </c>
      <c r="F1253" s="77" t="s">
        <v>1244</v>
      </c>
      <c r="G1253" s="25">
        <f t="shared" si="34"/>
        <v>-1.3777703874385372E-2</v>
      </c>
      <c r="I1253" s="78">
        <v>339.55886284139996</v>
      </c>
      <c r="J1253" s="78">
        <v>345.16634606576997</v>
      </c>
      <c r="K1253" s="78">
        <v>338.67449373669001</v>
      </c>
      <c r="L1253" s="78">
        <v>341.73577140684</v>
      </c>
      <c r="M1253" s="78">
        <v>968637.46758872236</v>
      </c>
      <c r="N1253" s="78" t="s">
        <v>1244</v>
      </c>
      <c r="O1253" s="25">
        <f t="shared" si="35"/>
        <v>-6.3701512910933067E-3</v>
      </c>
    </row>
    <row r="1254" spans="1:15">
      <c r="A1254" s="77">
        <v>396.87206127186812</v>
      </c>
      <c r="B1254" s="77">
        <v>399.09337768263919</v>
      </c>
      <c r="C1254" s="77">
        <v>394.93311559127983</v>
      </c>
      <c r="D1254" s="77">
        <v>398.38745085718227</v>
      </c>
      <c r="E1254" s="77">
        <v>5093658.9605767094</v>
      </c>
      <c r="F1254" s="77" t="s">
        <v>1245</v>
      </c>
      <c r="G1254" s="25">
        <f t="shared" si="34"/>
        <v>-3.8038085337618321E-3</v>
      </c>
      <c r="I1254" s="78">
        <v>342.12450507924001</v>
      </c>
      <c r="J1254" s="78">
        <v>348.79060727697328</v>
      </c>
      <c r="K1254" s="78">
        <v>340.15168169180998</v>
      </c>
      <c r="L1254" s="78">
        <v>345.70085486532003</v>
      </c>
      <c r="M1254" s="78">
        <v>602627.49700506777</v>
      </c>
      <c r="N1254" s="78" t="s">
        <v>1245</v>
      </c>
      <c r="O1254" s="25">
        <f t="shared" si="35"/>
        <v>-1.0345215337906222E-2</v>
      </c>
    </row>
    <row r="1255" spans="1:15">
      <c r="A1255" s="77">
        <v>399.35692369747647</v>
      </c>
      <c r="B1255" s="77">
        <v>399.76165507740507</v>
      </c>
      <c r="C1255" s="77">
        <v>395.55433119768196</v>
      </c>
      <c r="D1255" s="77">
        <v>398.1050801269995</v>
      </c>
      <c r="E1255" s="77">
        <v>5854594.7695429288</v>
      </c>
      <c r="F1255" s="77" t="s">
        <v>1246</v>
      </c>
      <c r="G1255" s="25">
        <f t="shared" si="34"/>
        <v>3.1445053905809761E-3</v>
      </c>
      <c r="I1255" s="78">
        <v>347.28494458034999</v>
      </c>
      <c r="J1255" s="78">
        <v>348.04297524152997</v>
      </c>
      <c r="K1255" s="78">
        <v>341.41506612710998</v>
      </c>
      <c r="L1255" s="78">
        <v>342.12450507924001</v>
      </c>
      <c r="M1255" s="78">
        <v>752210.62840966287</v>
      </c>
      <c r="N1255" s="78" t="s">
        <v>1246</v>
      </c>
      <c r="O1255" s="25">
        <f t="shared" si="35"/>
        <v>1.5083513237132085E-2</v>
      </c>
    </row>
    <row r="1256" spans="1:15">
      <c r="A1256" s="77">
        <v>394.36837413091433</v>
      </c>
      <c r="B1256" s="77">
        <v>394.42484827695091</v>
      </c>
      <c r="C1256" s="77">
        <v>389.37982456435225</v>
      </c>
      <c r="D1256" s="77">
        <v>391.08346130312157</v>
      </c>
      <c r="E1256" s="77">
        <v>3607315.104298274</v>
      </c>
      <c r="F1256" s="77" t="s">
        <v>1247</v>
      </c>
      <c r="G1256" s="25">
        <f t="shared" si="34"/>
        <v>8.3995186522263232E-3</v>
      </c>
      <c r="I1256" s="78">
        <v>337.30420754147997</v>
      </c>
      <c r="J1256" s="78">
        <v>338.60646534402002</v>
      </c>
      <c r="K1256" s="78">
        <v>328.36333307627996</v>
      </c>
      <c r="L1256" s="78">
        <v>333.17391227222998</v>
      </c>
      <c r="M1256" s="78">
        <v>636408.98014473112</v>
      </c>
      <c r="N1256" s="78" t="s">
        <v>1247</v>
      </c>
      <c r="O1256" s="25">
        <f t="shared" si="35"/>
        <v>1.2396814747834162E-2</v>
      </c>
    </row>
    <row r="1257" spans="1:15">
      <c r="A1257" s="77">
        <v>391.66702747883261</v>
      </c>
      <c r="B1257" s="77">
        <v>391.89113571502099</v>
      </c>
      <c r="C1257" s="77">
        <v>387.98208944994758</v>
      </c>
      <c r="D1257" s="77">
        <v>390.41518390835574</v>
      </c>
      <c r="E1257" s="77">
        <v>3870714.5719125741</v>
      </c>
      <c r="F1257" s="77" t="s">
        <v>1248</v>
      </c>
      <c r="G1257" s="25">
        <f t="shared" si="34"/>
        <v>3.2064418139299278E-3</v>
      </c>
      <c r="I1257" s="78">
        <v>332.09517633132003</v>
      </c>
      <c r="J1257" s="78">
        <v>336.06997813161001</v>
      </c>
      <c r="K1257" s="78">
        <v>324.87444836649001</v>
      </c>
      <c r="L1257" s="78">
        <v>336.06997813161001</v>
      </c>
      <c r="M1257" s="78">
        <v>498939.02630699921</v>
      </c>
      <c r="N1257" s="78" t="s">
        <v>1248</v>
      </c>
      <c r="O1257" s="25">
        <f t="shared" si="35"/>
        <v>-1.1827304010872952E-2</v>
      </c>
    </row>
    <row r="1258" spans="1:15">
      <c r="A1258" s="77">
        <v>389.69043236755329</v>
      </c>
      <c r="B1258" s="77">
        <v>389.76573122893541</v>
      </c>
      <c r="C1258" s="77">
        <v>384.78659402004604</v>
      </c>
      <c r="D1258" s="77">
        <v>385.80312864870399</v>
      </c>
      <c r="E1258" s="77">
        <v>3163200.0222611455</v>
      </c>
      <c r="F1258" s="77" t="s">
        <v>1249</v>
      </c>
      <c r="G1258" s="25">
        <f t="shared" si="34"/>
        <v>1.0075874014979558E-2</v>
      </c>
      <c r="I1258" s="78">
        <v>333.38771579205002</v>
      </c>
      <c r="J1258" s="78">
        <v>333.63553350820501</v>
      </c>
      <c r="K1258" s="78">
        <v>322.96965337172998</v>
      </c>
      <c r="L1258" s="78">
        <v>330.42362154</v>
      </c>
      <c r="M1258" s="78">
        <v>544254.37007756368</v>
      </c>
      <c r="N1258" s="78" t="s">
        <v>1249</v>
      </c>
      <c r="O1258" s="25">
        <f t="shared" si="35"/>
        <v>8.9705882352941746E-3</v>
      </c>
    </row>
    <row r="1259" spans="1:15">
      <c r="A1259" s="77">
        <v>383.98306102786501</v>
      </c>
      <c r="B1259" s="77">
        <v>388.00741138530168</v>
      </c>
      <c r="C1259" s="77">
        <v>383.94553794760924</v>
      </c>
      <c r="D1259" s="77">
        <v>386.63781895596429</v>
      </c>
      <c r="E1259" s="77">
        <v>3989611.6997693013</v>
      </c>
      <c r="F1259" s="77" t="s">
        <v>1250</v>
      </c>
      <c r="G1259" s="25">
        <f t="shared" si="34"/>
        <v>-6.8662655279504436E-3</v>
      </c>
      <c r="I1259" s="78">
        <v>330.21953636198998</v>
      </c>
      <c r="J1259" s="78">
        <v>339.98646988103997</v>
      </c>
      <c r="K1259" s="78">
        <v>328.18840292369998</v>
      </c>
      <c r="L1259" s="78">
        <v>339.98646988103997</v>
      </c>
      <c r="M1259" s="78">
        <v>639929.12799184618</v>
      </c>
      <c r="N1259" s="78" t="s">
        <v>1250</v>
      </c>
      <c r="O1259" s="25">
        <f t="shared" si="35"/>
        <v>-2.8727418248342018E-2</v>
      </c>
    </row>
    <row r="1260" spans="1:15">
      <c r="A1260" s="77">
        <v>388.99239224201699</v>
      </c>
      <c r="B1260" s="77">
        <v>389.78975769745307</v>
      </c>
      <c r="C1260" s="77">
        <v>385.73726502982458</v>
      </c>
      <c r="D1260" s="77">
        <v>385.73726502982458</v>
      </c>
      <c r="E1260" s="77">
        <v>4511052.8998681512</v>
      </c>
      <c r="F1260" s="77" t="s">
        <v>1251</v>
      </c>
      <c r="G1260" s="25">
        <f t="shared" si="34"/>
        <v>8.438715953307474E-3</v>
      </c>
      <c r="I1260" s="78">
        <v>340.33633018619997</v>
      </c>
      <c r="J1260" s="78">
        <v>341.82323648313002</v>
      </c>
      <c r="K1260" s="78">
        <v>332.76088274530497</v>
      </c>
      <c r="L1260" s="78">
        <v>332.76088274530497</v>
      </c>
      <c r="M1260" s="78">
        <v>638917.63856369245</v>
      </c>
      <c r="N1260" s="78" t="s">
        <v>1251</v>
      </c>
      <c r="O1260" s="25">
        <f t="shared" si="35"/>
        <v>2.2765438588805642E-2</v>
      </c>
    </row>
    <row r="1261" spans="1:15">
      <c r="A1261" s="77">
        <v>384.52714569157445</v>
      </c>
      <c r="B1261" s="77">
        <v>386.2532073833421</v>
      </c>
      <c r="C1261" s="77">
        <v>381.26263770931814</v>
      </c>
      <c r="D1261" s="77">
        <v>384.4614803011267</v>
      </c>
      <c r="E1261" s="77">
        <v>4434062.4188014502</v>
      </c>
      <c r="F1261" s="77" t="s">
        <v>1252</v>
      </c>
      <c r="G1261" s="25">
        <f t="shared" si="34"/>
        <v>1.7079836033584428E-4</v>
      </c>
      <c r="I1261" s="78">
        <v>337.22646080699997</v>
      </c>
      <c r="J1261" s="78">
        <v>338.91745228193997</v>
      </c>
      <c r="K1261" s="78">
        <v>330.37502983094998</v>
      </c>
      <c r="L1261" s="78">
        <v>331.93968286235997</v>
      </c>
      <c r="M1261" s="78">
        <v>768915.12421500229</v>
      </c>
      <c r="N1261" s="78" t="s">
        <v>1252</v>
      </c>
      <c r="O1261" s="25">
        <f t="shared" si="35"/>
        <v>1.5926923527345149E-2</v>
      </c>
    </row>
    <row r="1262" spans="1:15">
      <c r="A1262" s="77">
        <v>384.50838415144648</v>
      </c>
      <c r="B1262" s="77">
        <v>384.87423418394076</v>
      </c>
      <c r="C1262" s="77">
        <v>378.27017205891656</v>
      </c>
      <c r="D1262" s="77">
        <v>378.96434904364918</v>
      </c>
      <c r="E1262" s="77">
        <v>6262793.9496932309</v>
      </c>
      <c r="F1262" s="77" t="s">
        <v>1253</v>
      </c>
      <c r="G1262" s="25">
        <f t="shared" si="34"/>
        <v>1.462943710084641E-2</v>
      </c>
      <c r="I1262" s="78">
        <v>336.36152838590999</v>
      </c>
      <c r="J1262" s="78">
        <v>336.89603718545999</v>
      </c>
      <c r="K1262" s="78">
        <v>326.31276295436999</v>
      </c>
      <c r="L1262" s="78">
        <v>326.48769310694996</v>
      </c>
      <c r="M1262" s="78">
        <v>1415585.1141029173</v>
      </c>
      <c r="N1262" s="78" t="s">
        <v>1253</v>
      </c>
      <c r="O1262" s="25">
        <f t="shared" si="35"/>
        <v>3.0242595624349056E-2</v>
      </c>
    </row>
    <row r="1263" spans="1:15">
      <c r="A1263" s="77">
        <v>380.30579916279476</v>
      </c>
      <c r="B1263" s="77">
        <v>380.44651071375404</v>
      </c>
      <c r="C1263" s="77">
        <v>373.63607164732281</v>
      </c>
      <c r="D1263" s="77">
        <v>373.95501782949725</v>
      </c>
      <c r="E1263" s="77">
        <v>5519298.4847740578</v>
      </c>
      <c r="F1263" s="77" t="s">
        <v>1254</v>
      </c>
      <c r="G1263" s="25">
        <f t="shared" si="34"/>
        <v>1.6982741320489714E-2</v>
      </c>
      <c r="I1263" s="78">
        <v>328.73263006505999</v>
      </c>
      <c r="J1263" s="78">
        <v>328.73263006505999</v>
      </c>
      <c r="K1263" s="78">
        <v>312.77511281303998</v>
      </c>
      <c r="L1263" s="78">
        <v>315.93357390128995</v>
      </c>
      <c r="M1263" s="78">
        <v>906265.71612631937</v>
      </c>
      <c r="N1263" s="78" t="s">
        <v>1254</v>
      </c>
      <c r="O1263" s="25">
        <f t="shared" si="35"/>
        <v>4.0511858254637323E-2</v>
      </c>
    </row>
    <row r="1264" spans="1:15">
      <c r="A1264" s="77">
        <v>375.70922183145683</v>
      </c>
      <c r="B1264" s="77">
        <v>375.74674491171265</v>
      </c>
      <c r="C1264" s="77">
        <v>366.3659748477578</v>
      </c>
      <c r="D1264" s="77">
        <v>371.00945602941545</v>
      </c>
      <c r="E1264" s="77">
        <v>7896293.107601352</v>
      </c>
      <c r="F1264" s="77" t="s">
        <v>1255</v>
      </c>
      <c r="G1264" s="25">
        <f t="shared" si="34"/>
        <v>1.2667509481668837E-2</v>
      </c>
      <c r="I1264" s="78">
        <v>317.40104351460002</v>
      </c>
      <c r="J1264" s="78">
        <v>318.81992141885996</v>
      </c>
      <c r="K1264" s="78">
        <v>305.98199188785003</v>
      </c>
      <c r="L1264" s="78">
        <v>307.43974315935003</v>
      </c>
      <c r="M1264" s="78">
        <v>931949.10994800669</v>
      </c>
      <c r="N1264" s="78" t="s">
        <v>1255</v>
      </c>
      <c r="O1264" s="25">
        <f t="shared" si="35"/>
        <v>3.2400821874505992E-2</v>
      </c>
    </row>
    <row r="1265" spans="1:15">
      <c r="A1265" s="77">
        <v>367.49166725543239</v>
      </c>
      <c r="B1265" s="77">
        <v>368.0732749993976</v>
      </c>
      <c r="C1265" s="77">
        <v>360.81255896989649</v>
      </c>
      <c r="D1265" s="77">
        <v>361.96639368776295</v>
      </c>
      <c r="E1265" s="77">
        <v>6118219.46478914</v>
      </c>
      <c r="F1265" s="77" t="s">
        <v>1256</v>
      </c>
      <c r="G1265" s="25">
        <f t="shared" si="34"/>
        <v>1.5264603742290106E-2</v>
      </c>
      <c r="I1265" s="78">
        <v>303.80508332240998</v>
      </c>
      <c r="J1265" s="78">
        <v>305.5325185791375</v>
      </c>
      <c r="K1265" s="78">
        <v>294.26167166498999</v>
      </c>
      <c r="L1265" s="78">
        <v>303.81966083512498</v>
      </c>
      <c r="M1265" s="78">
        <v>837975.25948513637</v>
      </c>
      <c r="N1265" s="78" t="s">
        <v>1256</v>
      </c>
      <c r="O1265" s="25">
        <f t="shared" si="35"/>
        <v>-4.798080767687285E-5</v>
      </c>
    </row>
    <row r="1266" spans="1:15">
      <c r="A1266" s="77">
        <v>359.60243963164629</v>
      </c>
      <c r="B1266" s="77">
        <v>366.10143713195424</v>
      </c>
      <c r="C1266" s="77">
        <v>358.57993569467521</v>
      </c>
      <c r="D1266" s="77">
        <v>363.10146686550149</v>
      </c>
      <c r="E1266" s="77">
        <v>6881072.615565869</v>
      </c>
      <c r="F1266" s="77" t="s">
        <v>1257</v>
      </c>
      <c r="G1266" s="25">
        <f t="shared" si="34"/>
        <v>-9.6364998579069328E-3</v>
      </c>
      <c r="I1266" s="78">
        <v>297.48816114591</v>
      </c>
      <c r="J1266" s="78">
        <v>304.46593056549</v>
      </c>
      <c r="K1266" s="78">
        <v>294.61153197014994</v>
      </c>
      <c r="L1266" s="78">
        <v>296.36083349594998</v>
      </c>
      <c r="M1266" s="78">
        <v>973105.30797228671</v>
      </c>
      <c r="N1266" s="78" t="s">
        <v>1257</v>
      </c>
      <c r="O1266" s="25">
        <f t="shared" si="35"/>
        <v>3.8039022790621324E-3</v>
      </c>
    </row>
    <row r="1267" spans="1:15">
      <c r="A1267" s="77">
        <v>362.24781678968162</v>
      </c>
      <c r="B1267" s="77">
        <v>369.78048134333676</v>
      </c>
      <c r="C1267" s="77">
        <v>361.79753982661174</v>
      </c>
      <c r="D1267" s="77">
        <v>369.24587125739191</v>
      </c>
      <c r="E1267" s="77">
        <v>6260465.7826183429</v>
      </c>
      <c r="F1267" s="77" t="s">
        <v>1258</v>
      </c>
      <c r="G1267" s="25">
        <f t="shared" si="34"/>
        <v>-1.8952289009704693E-2</v>
      </c>
      <c r="I1267" s="78">
        <v>295.31125258047001</v>
      </c>
      <c r="J1267" s="78">
        <v>313.26102990353996</v>
      </c>
      <c r="K1267" s="78">
        <v>294.94681476259501</v>
      </c>
      <c r="L1267" s="78">
        <v>312.33778743158996</v>
      </c>
      <c r="M1267" s="78">
        <v>661307.26060560322</v>
      </c>
      <c r="N1267" s="78" t="s">
        <v>1258</v>
      </c>
      <c r="O1267" s="25">
        <f t="shared" si="35"/>
        <v>-5.4513208251656731E-2</v>
      </c>
    </row>
    <row r="1268" spans="1:15">
      <c r="A1268" s="77">
        <v>366.92882105159504</v>
      </c>
      <c r="B1268" s="77">
        <v>367.73556727709519</v>
      </c>
      <c r="C1268" s="77">
        <v>362.59490528204788</v>
      </c>
      <c r="D1268" s="77">
        <v>364.38663236426328</v>
      </c>
      <c r="E1268" s="77">
        <v>6816911.571654059</v>
      </c>
      <c r="F1268" s="77" t="s">
        <v>1259</v>
      </c>
      <c r="G1268" s="25">
        <f t="shared" si="34"/>
        <v>6.9766244465039318E-3</v>
      </c>
      <c r="I1268" s="78">
        <v>307.13847456323998</v>
      </c>
      <c r="J1268" s="78">
        <v>310.54961253854998</v>
      </c>
      <c r="K1268" s="78">
        <v>301.34634284447998</v>
      </c>
      <c r="L1268" s="78">
        <v>307.75073009726998</v>
      </c>
      <c r="M1268" s="78">
        <v>790799.51603389846</v>
      </c>
      <c r="N1268" s="78" t="s">
        <v>1259</v>
      </c>
      <c r="O1268" s="25">
        <f t="shared" si="35"/>
        <v>-1.9894527426026487E-3</v>
      </c>
    </row>
    <row r="1269" spans="1:15">
      <c r="A1269" s="77">
        <v>368.57045581278715</v>
      </c>
      <c r="B1269" s="77">
        <v>370.39970597525843</v>
      </c>
      <c r="C1269" s="77">
        <v>364.64929392605404</v>
      </c>
      <c r="D1269" s="77">
        <v>366.67554025986828</v>
      </c>
      <c r="E1269" s="77">
        <v>6196290.8805691823</v>
      </c>
      <c r="F1269" s="77" t="s">
        <v>1260</v>
      </c>
      <c r="G1269" s="25">
        <f t="shared" si="34"/>
        <v>5.1678264428980381E-3</v>
      </c>
      <c r="I1269" s="78">
        <v>315.56427691250997</v>
      </c>
      <c r="J1269" s="78">
        <v>319.78203725805002</v>
      </c>
      <c r="K1269" s="78">
        <v>311.80502793356578</v>
      </c>
      <c r="L1269" s="78">
        <v>313.55258015784</v>
      </c>
      <c r="M1269" s="78">
        <v>898900.26208082098</v>
      </c>
      <c r="N1269" s="78" t="s">
        <v>1260</v>
      </c>
      <c r="O1269" s="25">
        <f t="shared" si="35"/>
        <v>6.4158194892138809E-3</v>
      </c>
    </row>
    <row r="1270" spans="1:15">
      <c r="A1270" s="77">
        <v>359.00207034755317</v>
      </c>
      <c r="B1270" s="77">
        <v>368.42036349176391</v>
      </c>
      <c r="C1270" s="77">
        <v>358.00770872077396</v>
      </c>
      <c r="D1270" s="77">
        <v>361.87258598712339</v>
      </c>
      <c r="E1270" s="77">
        <v>9973674.8009102494</v>
      </c>
      <c r="F1270" s="77" t="s">
        <v>1261</v>
      </c>
      <c r="G1270" s="25">
        <f t="shared" si="34"/>
        <v>-7.9323931978432238E-3</v>
      </c>
      <c r="I1270" s="78">
        <v>304.68945242711999</v>
      </c>
      <c r="J1270" s="78">
        <v>315.35047339268999</v>
      </c>
      <c r="K1270" s="78">
        <v>297.76027471658995</v>
      </c>
      <c r="L1270" s="78">
        <v>303.87311171507997</v>
      </c>
      <c r="M1270" s="78">
        <v>801244.71357732581</v>
      </c>
      <c r="N1270" s="78" t="s">
        <v>1261</v>
      </c>
      <c r="O1270" s="25">
        <f t="shared" si="35"/>
        <v>2.686452603300582E-3</v>
      </c>
    </row>
    <row r="1271" spans="1:15">
      <c r="A1271" s="77">
        <v>361.73187443616411</v>
      </c>
      <c r="B1271" s="77">
        <v>372.41657153900866</v>
      </c>
      <c r="C1271" s="77">
        <v>361.68497058584433</v>
      </c>
      <c r="D1271" s="77">
        <v>372.16329074728191</v>
      </c>
      <c r="E1271" s="77">
        <v>8966729.7488941625</v>
      </c>
      <c r="F1271" s="77" t="s">
        <v>1262</v>
      </c>
      <c r="G1271" s="25">
        <f t="shared" si="34"/>
        <v>-2.8029138204824333E-2</v>
      </c>
      <c r="I1271" s="78">
        <v>307.42030647573</v>
      </c>
      <c r="J1271" s="78">
        <v>315.84610882499999</v>
      </c>
      <c r="K1271" s="78">
        <v>305.19480620124</v>
      </c>
      <c r="L1271" s="78">
        <v>313.902440463</v>
      </c>
      <c r="M1271" s="78">
        <v>750382.12717484159</v>
      </c>
      <c r="N1271" s="78" t="s">
        <v>1262</v>
      </c>
      <c r="O1271" s="25">
        <f t="shared" si="35"/>
        <v>-2.0650154798761644E-2</v>
      </c>
    </row>
    <row r="1272" spans="1:15">
      <c r="A1272" s="77">
        <v>372.7355177211831</v>
      </c>
      <c r="B1272" s="77">
        <v>373.7546445809312</v>
      </c>
      <c r="C1272" s="77">
        <v>369.01135200579307</v>
      </c>
      <c r="D1272" s="77">
        <v>372.35090614856102</v>
      </c>
      <c r="E1272" s="77">
        <v>6739828.3476681653</v>
      </c>
      <c r="F1272" s="77" t="s">
        <v>1263</v>
      </c>
      <c r="G1272" s="25">
        <f t="shared" si="34"/>
        <v>1.0329277202527631E-3</v>
      </c>
      <c r="I1272" s="78">
        <v>314.45638594616997</v>
      </c>
      <c r="J1272" s="78">
        <v>324.42740464322998</v>
      </c>
      <c r="K1272" s="78">
        <v>311.58947511221999</v>
      </c>
      <c r="L1272" s="78">
        <v>318.85879478610002</v>
      </c>
      <c r="M1272" s="78">
        <v>790815.97974788665</v>
      </c>
      <c r="N1272" s="78" t="s">
        <v>1263</v>
      </c>
      <c r="O1272" s="25">
        <f t="shared" si="35"/>
        <v>-1.3806766229808143E-2</v>
      </c>
    </row>
    <row r="1273" spans="1:15">
      <c r="A1273" s="77">
        <v>375.77488722190452</v>
      </c>
      <c r="B1273" s="77">
        <v>380.42774917362618</v>
      </c>
      <c r="C1273" s="77">
        <v>374.18015631103219</v>
      </c>
      <c r="D1273" s="77">
        <v>379.93994913030048</v>
      </c>
      <c r="E1273" s="77">
        <v>9322548.085474601</v>
      </c>
      <c r="F1273" s="77" t="s">
        <v>1264</v>
      </c>
      <c r="G1273" s="25">
        <f t="shared" si="34"/>
        <v>-1.0962421608809447E-2</v>
      </c>
      <c r="I1273" s="78">
        <v>322.60035638295</v>
      </c>
      <c r="J1273" s="78">
        <v>325.55473229319</v>
      </c>
      <c r="K1273" s="78">
        <v>316.09878571205996</v>
      </c>
      <c r="L1273" s="78">
        <v>325.27290038069998</v>
      </c>
      <c r="M1273" s="78">
        <v>884840.25033484597</v>
      </c>
      <c r="N1273" s="78" t="s">
        <v>1264</v>
      </c>
      <c r="O1273" s="25">
        <f t="shared" si="35"/>
        <v>-8.2163131162233949E-3</v>
      </c>
    </row>
    <row r="1274" spans="1:15">
      <c r="A1274" s="77">
        <v>377.66980277482344</v>
      </c>
      <c r="B1274" s="77">
        <v>379.07691828441665</v>
      </c>
      <c r="C1274" s="77">
        <v>372.21019459760163</v>
      </c>
      <c r="D1274" s="77">
        <v>373.09198698361348</v>
      </c>
      <c r="E1274" s="77">
        <v>8725475.5677799657</v>
      </c>
      <c r="F1274" s="77" t="s">
        <v>1265</v>
      </c>
      <c r="G1274" s="25">
        <f t="shared" si="34"/>
        <v>1.2269938650306678E-2</v>
      </c>
      <c r="I1274" s="78">
        <v>320.88992822438996</v>
      </c>
      <c r="J1274" s="78">
        <v>325.12109988162774</v>
      </c>
      <c r="K1274" s="78">
        <v>314.14539900824997</v>
      </c>
      <c r="L1274" s="78">
        <v>323.75683905833995</v>
      </c>
      <c r="M1274" s="78">
        <v>555062.79831085715</v>
      </c>
      <c r="N1274" s="78" t="s">
        <v>1265</v>
      </c>
      <c r="O1274" s="25">
        <f t="shared" si="35"/>
        <v>-8.8551359788676676E-3</v>
      </c>
    </row>
    <row r="1275" spans="1:15">
      <c r="A1275" s="77">
        <v>370.85936370839215</v>
      </c>
      <c r="B1275" s="77">
        <v>377.0319104104745</v>
      </c>
      <c r="C1275" s="77">
        <v>368.46726734208369</v>
      </c>
      <c r="D1275" s="77">
        <v>375.24018332825909</v>
      </c>
      <c r="E1275" s="77">
        <v>9726719.5952921584</v>
      </c>
      <c r="F1275" s="77" t="s">
        <v>1266</v>
      </c>
      <c r="G1275" s="25">
        <f t="shared" si="34"/>
        <v>-1.1674708132296763E-2</v>
      </c>
      <c r="I1275" s="78">
        <v>320.94823827524999</v>
      </c>
      <c r="J1275" s="78">
        <v>325.20487198802999</v>
      </c>
      <c r="K1275" s="78">
        <v>316.02103897758002</v>
      </c>
      <c r="L1275" s="78">
        <v>316.70132290428</v>
      </c>
      <c r="M1275" s="78">
        <v>994282.78907181183</v>
      </c>
      <c r="N1275" s="78" t="s">
        <v>1266</v>
      </c>
      <c r="O1275" s="25">
        <f t="shared" si="35"/>
        <v>1.340984411439794E-2</v>
      </c>
    </row>
    <row r="1276" spans="1:15">
      <c r="A1276" s="77">
        <v>376.50658728689302</v>
      </c>
      <c r="B1276" s="77">
        <v>377.90432202642228</v>
      </c>
      <c r="C1276" s="77">
        <v>371.47849453261318</v>
      </c>
      <c r="D1276" s="77">
        <v>372.58542540015986</v>
      </c>
      <c r="E1276" s="77">
        <v>12638559.435067959</v>
      </c>
      <c r="F1276" s="77" t="s">
        <v>1267</v>
      </c>
      <c r="G1276" s="25">
        <f t="shared" ref="G1276:G1339" si="36">A1276/D1276-1</f>
        <v>1.0524195578830886E-2</v>
      </c>
      <c r="I1276" s="78">
        <v>317.40104351460002</v>
      </c>
      <c r="J1276" s="78">
        <v>320.37485610845999</v>
      </c>
      <c r="K1276" s="78">
        <v>312.21144898806</v>
      </c>
      <c r="L1276" s="78">
        <v>316.21540581377997</v>
      </c>
      <c r="M1276" s="78">
        <v>1207244.0164563423</v>
      </c>
      <c r="N1276" s="78" t="s">
        <v>1267</v>
      </c>
      <c r="O1276" s="25">
        <f t="shared" ref="O1276:O1339" si="37">I1276/L1276-1</f>
        <v>3.7494621673122008E-3</v>
      </c>
    </row>
    <row r="1277" spans="1:15">
      <c r="A1277" s="77">
        <v>377.45404506335245</v>
      </c>
      <c r="B1277" s="77">
        <v>377.59475661431173</v>
      </c>
      <c r="C1277" s="77">
        <v>369.03527296945617</v>
      </c>
      <c r="D1277" s="77">
        <v>370.49351367589793</v>
      </c>
      <c r="E1277" s="77">
        <v>12435255.230082899</v>
      </c>
      <c r="F1277" s="77" t="s">
        <v>1268</v>
      </c>
      <c r="G1277" s="25">
        <f t="shared" si="36"/>
        <v>1.8787188251677467E-2</v>
      </c>
      <c r="I1277" s="78">
        <v>320.20964429768998</v>
      </c>
      <c r="J1277" s="78">
        <v>322.46429959760997</v>
      </c>
      <c r="K1277" s="78">
        <v>312.27947738072999</v>
      </c>
      <c r="L1277" s="78">
        <v>315.42822012716999</v>
      </c>
      <c r="M1277" s="78">
        <v>905842.80447324587</v>
      </c>
      <c r="N1277" s="78" t="s">
        <v>1268</v>
      </c>
      <c r="O1277" s="25">
        <f t="shared" si="37"/>
        <v>1.5158517423051965E-2</v>
      </c>
    </row>
    <row r="1278" spans="1:15">
      <c r="A1278" s="77">
        <v>369.38658280835125</v>
      </c>
      <c r="B1278" s="77">
        <v>369.76181361090948</v>
      </c>
      <c r="C1278" s="77">
        <v>354.12406991429668</v>
      </c>
      <c r="D1278" s="77">
        <v>354.36796993595948</v>
      </c>
      <c r="E1278" s="77">
        <v>22681741.322875626</v>
      </c>
      <c r="F1278" s="77" t="s">
        <v>1269</v>
      </c>
      <c r="G1278" s="25">
        <f t="shared" si="36"/>
        <v>4.2381406183820358E-2</v>
      </c>
      <c r="I1278" s="78">
        <v>314.78680956771001</v>
      </c>
      <c r="J1278" s="78">
        <v>315.45737515260004</v>
      </c>
      <c r="K1278" s="78">
        <v>298.02266994546</v>
      </c>
      <c r="L1278" s="78">
        <v>302.10437350566002</v>
      </c>
      <c r="M1278" s="78">
        <v>902245.48296681081</v>
      </c>
      <c r="N1278" s="78" t="s">
        <v>1269</v>
      </c>
      <c r="O1278" s="25">
        <f t="shared" si="37"/>
        <v>4.1980312680949483E-2</v>
      </c>
    </row>
    <row r="1279" spans="1:15">
      <c r="A1279" s="77">
        <v>363.79564385023417</v>
      </c>
      <c r="B1279" s="77">
        <v>373.65483318745072</v>
      </c>
      <c r="C1279" s="77">
        <v>363.39227073748407</v>
      </c>
      <c r="D1279" s="77">
        <v>373.11074852374134</v>
      </c>
      <c r="E1279" s="77">
        <v>12957204.917221457</v>
      </c>
      <c r="F1279" s="77" t="s">
        <v>1270</v>
      </c>
      <c r="G1279" s="25">
        <f t="shared" si="36"/>
        <v>-2.4966058228993782E-2</v>
      </c>
      <c r="I1279" s="78">
        <v>306.39988058567997</v>
      </c>
      <c r="J1279" s="78">
        <v>316.81794300600001</v>
      </c>
      <c r="K1279" s="78">
        <v>305.05874941589997</v>
      </c>
      <c r="L1279" s="78">
        <v>313.04722638371999</v>
      </c>
      <c r="M1279" s="78">
        <v>1137750.6797118923</v>
      </c>
      <c r="N1279" s="78" t="s">
        <v>1270</v>
      </c>
      <c r="O1279" s="25">
        <f t="shared" si="37"/>
        <v>-2.1234322612690981E-2</v>
      </c>
    </row>
    <row r="1280" spans="1:15">
      <c r="A1280" s="77">
        <v>370.46537136570606</v>
      </c>
      <c r="B1280" s="77">
        <v>375.5778910505615</v>
      </c>
      <c r="C1280" s="77">
        <v>367.26183838886544</v>
      </c>
      <c r="D1280" s="77">
        <v>372.46347538932844</v>
      </c>
      <c r="E1280" s="77">
        <v>11102218.61211382</v>
      </c>
      <c r="F1280" s="77" t="s">
        <v>1271</v>
      </c>
      <c r="G1280" s="25">
        <f t="shared" si="36"/>
        <v>-5.3645636569701338E-3</v>
      </c>
      <c r="I1280" s="78">
        <v>310.85088113466003</v>
      </c>
      <c r="J1280" s="78">
        <v>314.87427464399997</v>
      </c>
      <c r="K1280" s="78">
        <v>300.33563529624001</v>
      </c>
      <c r="L1280" s="78">
        <v>302.240430291</v>
      </c>
      <c r="M1280" s="78">
        <v>1115528.7817562367</v>
      </c>
      <c r="N1280" s="78" t="s">
        <v>1271</v>
      </c>
      <c r="O1280" s="25">
        <f t="shared" si="37"/>
        <v>2.8488745980707497E-2</v>
      </c>
    </row>
    <row r="1281" spans="1:15">
      <c r="A1281" s="77">
        <v>374.56476788365438</v>
      </c>
      <c r="B1281" s="77">
        <v>378.33583744936419</v>
      </c>
      <c r="C1281" s="77">
        <v>372.41657153900866</v>
      </c>
      <c r="D1281" s="77">
        <v>377.24766812194542</v>
      </c>
      <c r="E1281" s="77">
        <v>11268618.597334426</v>
      </c>
      <c r="F1281" s="77" t="s">
        <v>1272</v>
      </c>
      <c r="G1281" s="25">
        <f t="shared" si="36"/>
        <v>-7.1117742136017625E-3</v>
      </c>
      <c r="I1281" s="78">
        <v>303.18310944657003</v>
      </c>
      <c r="J1281" s="78">
        <v>309.91792032089995</v>
      </c>
      <c r="K1281" s="78">
        <v>301.28803279361995</v>
      </c>
      <c r="L1281" s="78">
        <v>306.70114918178996</v>
      </c>
      <c r="M1281" s="78">
        <v>1264799.1025950548</v>
      </c>
      <c r="N1281" s="78" t="s">
        <v>1272</v>
      </c>
      <c r="O1281" s="25">
        <f t="shared" si="37"/>
        <v>-1.1470578915681484E-2</v>
      </c>
    </row>
    <row r="1282" spans="1:15">
      <c r="A1282" s="77">
        <v>376.97562579009076</v>
      </c>
      <c r="B1282" s="77">
        <v>382.71665706923113</v>
      </c>
      <c r="C1282" s="77">
        <v>376.3846372760616</v>
      </c>
      <c r="D1282" s="77">
        <v>382.25699933609735</v>
      </c>
      <c r="E1282" s="77">
        <v>8038776.0797760794</v>
      </c>
      <c r="F1282" s="77" t="s">
        <v>1273</v>
      </c>
      <c r="G1282" s="25">
        <f t="shared" si="36"/>
        <v>-1.3816289970306039E-2</v>
      </c>
      <c r="I1282" s="78">
        <v>308.88777608903996</v>
      </c>
      <c r="J1282" s="78">
        <v>324.32050288331999</v>
      </c>
      <c r="K1282" s="78">
        <v>307.60981414102497</v>
      </c>
      <c r="L1282" s="78">
        <v>322.98909005535</v>
      </c>
      <c r="M1282" s="78">
        <v>774213.35317284963</v>
      </c>
      <c r="N1282" s="78" t="s">
        <v>1273</v>
      </c>
      <c r="O1282" s="25">
        <f t="shared" si="37"/>
        <v>-4.3658793440650046E-2</v>
      </c>
    </row>
    <row r="1283" spans="1:15">
      <c r="A1283" s="77">
        <v>385.16503805592333</v>
      </c>
      <c r="B1283" s="77">
        <v>386.38453816423748</v>
      </c>
      <c r="C1283" s="77">
        <v>381.15944923861463</v>
      </c>
      <c r="D1283" s="77">
        <v>382.9230340106381</v>
      </c>
      <c r="E1283" s="77">
        <v>8254934.2401590366</v>
      </c>
      <c r="F1283" s="77" t="s">
        <v>1274</v>
      </c>
      <c r="G1283" s="25">
        <f t="shared" si="36"/>
        <v>5.8549730524253274E-3</v>
      </c>
      <c r="I1283" s="78">
        <v>324.45655966866002</v>
      </c>
      <c r="J1283" s="78">
        <v>330.91925697231</v>
      </c>
      <c r="K1283" s="78">
        <v>316.6235761698</v>
      </c>
      <c r="L1283" s="78">
        <v>330.788059357875</v>
      </c>
      <c r="M1283" s="78">
        <v>792016.80188690545</v>
      </c>
      <c r="N1283" s="78" t="s">
        <v>1274</v>
      </c>
      <c r="O1283" s="25">
        <f t="shared" si="37"/>
        <v>-1.9140653690782217E-2</v>
      </c>
    </row>
    <row r="1284" spans="1:15">
      <c r="A1284" s="77">
        <v>384.70538032278961</v>
      </c>
      <c r="B1284" s="77">
        <v>384.88361495400471</v>
      </c>
      <c r="C1284" s="77">
        <v>382.22885702590548</v>
      </c>
      <c r="D1284" s="77">
        <v>382.90427247051025</v>
      </c>
      <c r="E1284" s="77">
        <v>7272637.4844367094</v>
      </c>
      <c r="F1284" s="77" t="s">
        <v>1275</v>
      </c>
      <c r="G1284" s="25">
        <f t="shared" si="36"/>
        <v>4.7038071439071683E-3</v>
      </c>
      <c r="I1284" s="78">
        <v>332.48391000371998</v>
      </c>
      <c r="J1284" s="78">
        <v>334.60736768920498</v>
      </c>
      <c r="K1284" s="78">
        <v>324.17958692707498</v>
      </c>
      <c r="L1284" s="78">
        <v>326.59459486686001</v>
      </c>
      <c r="M1284" s="78">
        <v>989357.05164294899</v>
      </c>
      <c r="N1284" s="78" t="s">
        <v>1275</v>
      </c>
      <c r="O1284" s="25">
        <f t="shared" si="37"/>
        <v>1.8032494197464777E-2</v>
      </c>
    </row>
    <row r="1285" spans="1:15">
      <c r="A1285" s="77">
        <v>378.62664132134682</v>
      </c>
      <c r="B1285" s="77">
        <v>380.84988382650414</v>
      </c>
      <c r="C1285" s="77">
        <v>375.45594103973008</v>
      </c>
      <c r="D1285" s="77">
        <v>379.38648369652714</v>
      </c>
      <c r="E1285" s="77">
        <v>10838751.96884786</v>
      </c>
      <c r="F1285" s="77" t="s">
        <v>1276</v>
      </c>
      <c r="G1285" s="25">
        <f t="shared" si="36"/>
        <v>-2.0028187819893795E-3</v>
      </c>
      <c r="I1285" s="78">
        <v>320.17077093044998</v>
      </c>
      <c r="J1285" s="78">
        <v>323.26120362603001</v>
      </c>
      <c r="K1285" s="78">
        <v>313.24159321991999</v>
      </c>
      <c r="L1285" s="78">
        <v>321.63824054375999</v>
      </c>
      <c r="M1285" s="78">
        <v>1081384.0679267074</v>
      </c>
      <c r="N1285" s="78" t="s">
        <v>1276</v>
      </c>
      <c r="O1285" s="25">
        <f t="shared" si="37"/>
        <v>-4.5624848924341599E-3</v>
      </c>
    </row>
    <row r="1286" spans="1:15">
      <c r="A1286" s="77">
        <v>379.86490296978883</v>
      </c>
      <c r="B1286" s="77">
        <v>389.48957305540654</v>
      </c>
      <c r="C1286" s="77">
        <v>378.57973747102704</v>
      </c>
      <c r="D1286" s="77">
        <v>387.56651519229581</v>
      </c>
      <c r="E1286" s="77">
        <v>11148963.175407713</v>
      </c>
      <c r="F1286" s="77" t="s">
        <v>1277</v>
      </c>
      <c r="G1286" s="25">
        <f t="shared" si="36"/>
        <v>-1.9871717293961089E-2</v>
      </c>
      <c r="I1286" s="78">
        <v>321.57993049289996</v>
      </c>
      <c r="J1286" s="78">
        <v>339.55886284139996</v>
      </c>
      <c r="K1286" s="78">
        <v>321.37584531489</v>
      </c>
      <c r="L1286" s="78">
        <v>333.30996905757002</v>
      </c>
      <c r="M1286" s="78">
        <v>1906983.7594032928</v>
      </c>
      <c r="N1286" s="78" t="s">
        <v>1277</v>
      </c>
      <c r="O1286" s="25">
        <f t="shared" si="37"/>
        <v>-3.5192582441613163E-2</v>
      </c>
    </row>
    <row r="1287" spans="1:15">
      <c r="A1287" s="77">
        <v>387.59465750248768</v>
      </c>
      <c r="B1287" s="77">
        <v>394.74280429122132</v>
      </c>
      <c r="C1287" s="77">
        <v>385.68098040944085</v>
      </c>
      <c r="D1287" s="77">
        <v>389.23629226367979</v>
      </c>
      <c r="E1287" s="77">
        <v>9871750.3327182531</v>
      </c>
      <c r="F1287" s="77" t="s">
        <v>1278</v>
      </c>
      <c r="G1287" s="25">
        <f t="shared" si="36"/>
        <v>-4.2175788687248694E-3</v>
      </c>
      <c r="I1287" s="78">
        <v>347.99438353247996</v>
      </c>
      <c r="J1287" s="78">
        <v>356.77976452871997</v>
      </c>
      <c r="K1287" s="78">
        <v>345.00113425500001</v>
      </c>
      <c r="L1287" s="78">
        <v>348.16931368505999</v>
      </c>
      <c r="M1287" s="78">
        <v>1148040.5009545553</v>
      </c>
      <c r="N1287" s="78" t="s">
        <v>1278</v>
      </c>
      <c r="O1287" s="25">
        <f t="shared" si="37"/>
        <v>-5.0242840395253729E-4</v>
      </c>
    </row>
    <row r="1288" spans="1:15">
      <c r="A1288" s="77">
        <v>394.52704657975033</v>
      </c>
      <c r="B1288" s="77">
        <v>394.80846968166895</v>
      </c>
      <c r="C1288" s="77">
        <v>392.43982524052041</v>
      </c>
      <c r="D1288" s="77">
        <v>392.63213102683147</v>
      </c>
      <c r="E1288" s="77">
        <v>6699299.6919812663</v>
      </c>
      <c r="F1288" s="77" t="s">
        <v>1279</v>
      </c>
      <c r="G1288" s="25">
        <f t="shared" si="36"/>
        <v>4.8261856409030912E-3</v>
      </c>
      <c r="I1288" s="78">
        <v>357.49892182266001</v>
      </c>
      <c r="J1288" s="78">
        <v>359.45230852647001</v>
      </c>
      <c r="K1288" s="78">
        <v>349.86030516</v>
      </c>
      <c r="L1288" s="78">
        <v>349.86030516</v>
      </c>
      <c r="M1288" s="78">
        <v>881055.65408179443</v>
      </c>
      <c r="N1288" s="78" t="s">
        <v>1279</v>
      </c>
      <c r="O1288" s="25">
        <f t="shared" si="37"/>
        <v>2.1833333333333371E-2</v>
      </c>
    </row>
    <row r="1289" spans="1:15">
      <c r="A1289" s="77">
        <v>388.82353838086578</v>
      </c>
      <c r="B1289" s="77">
        <v>389.73347307706939</v>
      </c>
      <c r="C1289" s="77">
        <v>384.00182256799297</v>
      </c>
      <c r="D1289" s="77">
        <v>385.28698806675482</v>
      </c>
      <c r="E1289" s="77">
        <v>5933079.0138283586</v>
      </c>
      <c r="F1289" s="77" t="s">
        <v>1280</v>
      </c>
      <c r="G1289" s="25">
        <f t="shared" si="36"/>
        <v>9.179002726918517E-3</v>
      </c>
      <c r="I1289" s="78">
        <v>344.77761239336996</v>
      </c>
      <c r="J1289" s="78">
        <v>347.11001442777001</v>
      </c>
      <c r="K1289" s="78">
        <v>340.06421661552002</v>
      </c>
      <c r="L1289" s="78">
        <v>342.48408372621003</v>
      </c>
      <c r="M1289" s="78">
        <v>581559.08801071486</v>
      </c>
      <c r="N1289" s="78" t="s">
        <v>1280</v>
      </c>
      <c r="O1289" s="25">
        <f t="shared" si="37"/>
        <v>6.6967452682953343E-3</v>
      </c>
    </row>
    <row r="1290" spans="1:15">
      <c r="A1290" s="77">
        <v>385.69974194956882</v>
      </c>
      <c r="B1290" s="77">
        <v>388.94548839169715</v>
      </c>
      <c r="C1290" s="77">
        <v>384.51776492151043</v>
      </c>
      <c r="D1290" s="77">
        <v>387.64156135280746</v>
      </c>
      <c r="E1290" s="77">
        <v>5991951.5793250939</v>
      </c>
      <c r="F1290" s="77" t="s">
        <v>1281</v>
      </c>
      <c r="G1290" s="25">
        <f t="shared" si="36"/>
        <v>-5.0093168453403392E-3</v>
      </c>
      <c r="I1290" s="78">
        <v>345.89522170152003</v>
      </c>
      <c r="J1290" s="78">
        <v>355.56497180246998</v>
      </c>
      <c r="K1290" s="78">
        <v>344.47634379725997</v>
      </c>
      <c r="L1290" s="78">
        <v>347.89720011437998</v>
      </c>
      <c r="M1290" s="78">
        <v>593877.03302030696</v>
      </c>
      <c r="N1290" s="78" t="s">
        <v>1281</v>
      </c>
      <c r="O1290" s="25">
        <f t="shared" si="37"/>
        <v>-5.7545114252192109E-3</v>
      </c>
    </row>
    <row r="1291" spans="1:15">
      <c r="A1291" s="77">
        <v>386.97552667826665</v>
      </c>
      <c r="B1291" s="77">
        <v>390.46517314205789</v>
      </c>
      <c r="C1291" s="77">
        <v>382.79170322974278</v>
      </c>
      <c r="D1291" s="77">
        <v>384.93051880432444</v>
      </c>
      <c r="E1291" s="77">
        <v>8751972.3263941742</v>
      </c>
      <c r="F1291" s="77" t="s">
        <v>1282</v>
      </c>
      <c r="G1291" s="25">
        <f t="shared" si="36"/>
        <v>5.31266754398807E-3</v>
      </c>
      <c r="I1291" s="78">
        <v>348.28593378677999</v>
      </c>
      <c r="J1291" s="78">
        <v>353.60575409357398</v>
      </c>
      <c r="K1291" s="78">
        <v>341.44422115253997</v>
      </c>
      <c r="L1291" s="78">
        <v>345.97296843599997</v>
      </c>
      <c r="M1291" s="78">
        <v>1016886.4393955701</v>
      </c>
      <c r="N1291" s="78" t="s">
        <v>1282</v>
      </c>
      <c r="O1291" s="25">
        <f t="shared" si="37"/>
        <v>6.685393258426986E-3</v>
      </c>
    </row>
    <row r="1292" spans="1:15">
      <c r="A1292" s="77">
        <v>385.16503805592333</v>
      </c>
      <c r="B1292" s="77">
        <v>390.643407773273</v>
      </c>
      <c r="C1292" s="77">
        <v>384.41457645080698</v>
      </c>
      <c r="D1292" s="77">
        <v>388.91734608150529</v>
      </c>
      <c r="E1292" s="77">
        <v>8163797.7988891425</v>
      </c>
      <c r="F1292" s="77" t="s">
        <v>1283</v>
      </c>
      <c r="G1292" s="25">
        <f t="shared" si="36"/>
        <v>-9.6480860609277075E-3</v>
      </c>
      <c r="I1292" s="78">
        <v>346.61437899546002</v>
      </c>
      <c r="J1292" s="78">
        <v>348.91801473810239</v>
      </c>
      <c r="K1292" s="78">
        <v>331.09418712488997</v>
      </c>
      <c r="L1292" s="78">
        <v>337.59575779578</v>
      </c>
      <c r="M1292" s="78">
        <v>1210996.7142635416</v>
      </c>
      <c r="N1292" s="78" t="s">
        <v>1283</v>
      </c>
      <c r="O1292" s="25">
        <f t="shared" si="37"/>
        <v>2.6714261039783471E-2</v>
      </c>
    </row>
    <row r="1293" spans="1:15">
      <c r="A1293" s="77">
        <v>394.33005040840726</v>
      </c>
      <c r="B1293" s="77">
        <v>395.09927355365159</v>
      </c>
      <c r="C1293" s="77">
        <v>390.74659624397651</v>
      </c>
      <c r="D1293" s="77">
        <v>393.03550413958152</v>
      </c>
      <c r="E1293" s="77">
        <v>7170494.4840788012</v>
      </c>
      <c r="F1293" s="77" t="s">
        <v>1284</v>
      </c>
      <c r="G1293" s="25">
        <f t="shared" si="36"/>
        <v>3.2937133037376221E-3</v>
      </c>
      <c r="I1293" s="78">
        <v>346.19649029763002</v>
      </c>
      <c r="J1293" s="78">
        <v>348.13044031781999</v>
      </c>
      <c r="K1293" s="78">
        <v>342.01944980427385</v>
      </c>
      <c r="L1293" s="78">
        <v>346.76987246441996</v>
      </c>
      <c r="M1293" s="78">
        <v>669083.27851868386</v>
      </c>
      <c r="N1293" s="78" t="s">
        <v>1284</v>
      </c>
      <c r="O1293" s="25">
        <f t="shared" si="37"/>
        <v>-1.6534947592622418E-3</v>
      </c>
    </row>
    <row r="1294" spans="1:15">
      <c r="A1294" s="77">
        <v>390.60588469301717</v>
      </c>
      <c r="B1294" s="77">
        <v>391.21563474717425</v>
      </c>
      <c r="C1294" s="77">
        <v>385.45584192790596</v>
      </c>
      <c r="D1294" s="77">
        <v>388.68282682990639</v>
      </c>
      <c r="E1294" s="77">
        <v>8693199.9658905882</v>
      </c>
      <c r="F1294" s="77" t="s">
        <v>1285</v>
      </c>
      <c r="G1294" s="25">
        <f t="shared" si="36"/>
        <v>4.9476275522517543E-3</v>
      </c>
      <c r="I1294" s="78">
        <v>346.41029381745</v>
      </c>
      <c r="J1294" s="78">
        <v>349.18002123330001</v>
      </c>
      <c r="K1294" s="78">
        <v>339.38393268882004</v>
      </c>
      <c r="L1294" s="78">
        <v>342.95056413308998</v>
      </c>
      <c r="M1294" s="78">
        <v>981368.03443014529</v>
      </c>
      <c r="N1294" s="78" t="s">
        <v>1285</v>
      </c>
      <c r="O1294" s="25">
        <f t="shared" si="37"/>
        <v>1.0088129445436245E-2</v>
      </c>
    </row>
    <row r="1295" spans="1:15">
      <c r="A1295" s="77">
        <v>388.07307677574937</v>
      </c>
      <c r="B1295" s="77">
        <v>388.33573833754014</v>
      </c>
      <c r="C1295" s="77">
        <v>379.31143753601555</v>
      </c>
      <c r="D1295" s="77">
        <v>380.54969918445755</v>
      </c>
      <c r="E1295" s="77">
        <v>9807760.9165074769</v>
      </c>
      <c r="F1295" s="77" t="s">
        <v>1286</v>
      </c>
      <c r="G1295" s="25">
        <f t="shared" si="36"/>
        <v>1.9769763600956392E-2</v>
      </c>
      <c r="I1295" s="78">
        <v>338.99519901641997</v>
      </c>
      <c r="J1295" s="78">
        <v>340.02534324827997</v>
      </c>
      <c r="K1295" s="78">
        <v>321.30781692222001</v>
      </c>
      <c r="L1295" s="78">
        <v>321.47302873299003</v>
      </c>
      <c r="M1295" s="78">
        <v>1031996.0129082968</v>
      </c>
      <c r="N1295" s="78" t="s">
        <v>1286</v>
      </c>
      <c r="O1295" s="25">
        <f t="shared" si="37"/>
        <v>5.4505879863357309E-2</v>
      </c>
    </row>
    <row r="1296" spans="1:15">
      <c r="A1296" s="77">
        <v>381.10316461823089</v>
      </c>
      <c r="B1296" s="77">
        <v>381.16883000867858</v>
      </c>
      <c r="C1296" s="77">
        <v>368.94568661534538</v>
      </c>
      <c r="D1296" s="77">
        <v>373.18579468425298</v>
      </c>
      <c r="E1296" s="77">
        <v>12895324.069909092</v>
      </c>
      <c r="F1296" s="77" t="s">
        <v>1287</v>
      </c>
      <c r="G1296" s="25">
        <f t="shared" si="36"/>
        <v>2.1215625157106288E-2</v>
      </c>
      <c r="I1296" s="78">
        <v>322.61007472475995</v>
      </c>
      <c r="J1296" s="78">
        <v>322.74613151009999</v>
      </c>
      <c r="K1296" s="78">
        <v>309.11499092055777</v>
      </c>
      <c r="L1296" s="78">
        <v>313.03750804190997</v>
      </c>
      <c r="M1296" s="78">
        <v>808942.52884896216</v>
      </c>
      <c r="N1296" s="78" t="s">
        <v>1287</v>
      </c>
      <c r="O1296" s="25">
        <f t="shared" si="37"/>
        <v>3.0579615659246828E-2</v>
      </c>
    </row>
    <row r="1297" spans="1:15">
      <c r="A1297" s="77">
        <v>371.9850561160668</v>
      </c>
      <c r="B1297" s="77">
        <v>380.83112228637623</v>
      </c>
      <c r="C1297" s="77">
        <v>370.3715636650665</v>
      </c>
      <c r="D1297" s="77">
        <v>377.97936818693393</v>
      </c>
      <c r="E1297" s="77">
        <v>13277402.510758214</v>
      </c>
      <c r="F1297" s="77" t="s">
        <v>1288</v>
      </c>
      <c r="G1297" s="25">
        <f t="shared" si="36"/>
        <v>-1.5858834040652137E-2</v>
      </c>
      <c r="I1297" s="78">
        <v>315.22413494915997</v>
      </c>
      <c r="J1297" s="78">
        <v>329.38375896632999</v>
      </c>
      <c r="K1297" s="78">
        <v>314.04821559014999</v>
      </c>
      <c r="L1297" s="78">
        <v>324.88416670829997</v>
      </c>
      <c r="M1297" s="78">
        <v>984317.0971982925</v>
      </c>
      <c r="N1297" s="78" t="s">
        <v>1288</v>
      </c>
      <c r="O1297" s="25">
        <f t="shared" si="37"/>
        <v>-2.9733772061023012E-2</v>
      </c>
    </row>
    <row r="1298" spans="1:15">
      <c r="A1298" s="77">
        <v>373.87997166898566</v>
      </c>
      <c r="B1298" s="77">
        <v>382.9187188564087</v>
      </c>
      <c r="C1298" s="77">
        <v>369.92128670199668</v>
      </c>
      <c r="D1298" s="77">
        <v>380.54031841439365</v>
      </c>
      <c r="E1298" s="77">
        <v>15326402.738773232</v>
      </c>
      <c r="F1298" s="77" t="s">
        <v>1289</v>
      </c>
      <c r="G1298" s="25">
        <f t="shared" si="36"/>
        <v>-1.7502341862643656E-2</v>
      </c>
      <c r="I1298" s="78">
        <v>322.43514457217998</v>
      </c>
      <c r="J1298" s="78">
        <v>339.46167942329998</v>
      </c>
      <c r="K1298" s="78">
        <v>317.90639728871997</v>
      </c>
      <c r="L1298" s="78">
        <v>333.94166127521999</v>
      </c>
      <c r="M1298" s="78">
        <v>1315825.2971552974</v>
      </c>
      <c r="N1298" s="78" t="s">
        <v>1289</v>
      </c>
      <c r="O1298" s="25">
        <f t="shared" si="37"/>
        <v>-3.4456667248704997E-2</v>
      </c>
    </row>
    <row r="1299" spans="1:15">
      <c r="A1299" s="77">
        <v>374.72424097474158</v>
      </c>
      <c r="B1299" s="77">
        <v>379.22701060543989</v>
      </c>
      <c r="C1299" s="77">
        <v>368.41332791421593</v>
      </c>
      <c r="D1299" s="77">
        <v>373.51412163649144</v>
      </c>
      <c r="E1299" s="77">
        <v>17947701.398942403</v>
      </c>
      <c r="F1299" s="77" t="s">
        <v>1290</v>
      </c>
      <c r="G1299" s="25">
        <f t="shared" si="36"/>
        <v>3.2398221865030941E-3</v>
      </c>
      <c r="I1299" s="78">
        <v>335.04955224155998</v>
      </c>
      <c r="J1299" s="78">
        <v>348.69410414279997</v>
      </c>
      <c r="K1299" s="78">
        <v>334.34011328942995</v>
      </c>
      <c r="L1299" s="78">
        <v>348.69410414279997</v>
      </c>
      <c r="M1299" s="78">
        <v>1217296.1428283001</v>
      </c>
      <c r="N1299" s="78" t="s">
        <v>1290</v>
      </c>
      <c r="O1299" s="25">
        <f t="shared" si="37"/>
        <v>-3.9130434782608692E-2</v>
      </c>
    </row>
    <row r="1300" spans="1:15">
      <c r="A1300" s="77">
        <v>379.3301990761434</v>
      </c>
      <c r="B1300" s="77">
        <v>379.80861834940509</v>
      </c>
      <c r="C1300" s="77">
        <v>362.88570915403051</v>
      </c>
      <c r="D1300" s="77">
        <v>372.66047156067151</v>
      </c>
      <c r="E1300" s="77">
        <v>24515936.157915212</v>
      </c>
      <c r="F1300" s="77" t="s">
        <v>1291</v>
      </c>
      <c r="G1300" s="25">
        <f t="shared" si="36"/>
        <v>1.7897598550067784E-2</v>
      </c>
      <c r="I1300" s="78">
        <v>354.68060269775998</v>
      </c>
      <c r="J1300" s="78">
        <v>355.22482983911999</v>
      </c>
      <c r="K1300" s="78">
        <v>334.75800198725995</v>
      </c>
      <c r="L1300" s="78">
        <v>350.74467426471</v>
      </c>
      <c r="M1300" s="78">
        <v>1364969.4834102569</v>
      </c>
      <c r="N1300" s="78" t="s">
        <v>1291</v>
      </c>
      <c r="O1300" s="25">
        <f t="shared" si="37"/>
        <v>1.1221634202432718E-2</v>
      </c>
    </row>
    <row r="1301" spans="1:15">
      <c r="A1301" s="77">
        <v>377.75422970539898</v>
      </c>
      <c r="B1301" s="77">
        <v>386.41877797497091</v>
      </c>
      <c r="C1301" s="77">
        <v>377.72608739520717</v>
      </c>
      <c r="D1301" s="77">
        <v>384.33953029029533</v>
      </c>
      <c r="E1301" s="77">
        <v>17297010.681828015</v>
      </c>
      <c r="F1301" s="77" t="s">
        <v>1292</v>
      </c>
      <c r="G1301" s="25">
        <f t="shared" si="36"/>
        <v>-1.7134070440067428E-2</v>
      </c>
      <c r="I1301" s="78">
        <v>355.63300019513997</v>
      </c>
      <c r="J1301" s="78">
        <v>373.16070993340168</v>
      </c>
      <c r="K1301" s="78">
        <v>355.47750672617997</v>
      </c>
      <c r="L1301" s="78">
        <v>368.79163500587998</v>
      </c>
      <c r="M1301" s="78">
        <v>1097068.8424468988</v>
      </c>
      <c r="N1301" s="78" t="s">
        <v>1292</v>
      </c>
      <c r="O1301" s="25">
        <f t="shared" si="37"/>
        <v>-3.5680404764414475E-2</v>
      </c>
    </row>
    <row r="1302" spans="1:15">
      <c r="A1302" s="77">
        <v>385.32451114701058</v>
      </c>
      <c r="B1302" s="77">
        <v>395.63397744729701</v>
      </c>
      <c r="C1302" s="77">
        <v>384.88361495400471</v>
      </c>
      <c r="D1302" s="77">
        <v>391.33758475800568</v>
      </c>
      <c r="E1302" s="77">
        <v>9495598.9106128942</v>
      </c>
      <c r="F1302" s="77" t="s">
        <v>1293</v>
      </c>
      <c r="G1302" s="25">
        <f t="shared" si="36"/>
        <v>-1.5365438550231314E-2</v>
      </c>
      <c r="I1302" s="78">
        <v>369.72459581964</v>
      </c>
      <c r="J1302" s="78">
        <v>383.68985300061001</v>
      </c>
      <c r="K1302" s="78">
        <v>368.4223380171</v>
      </c>
      <c r="L1302" s="78">
        <v>378.43223008139995</v>
      </c>
      <c r="M1302" s="78">
        <v>814439.35135679285</v>
      </c>
      <c r="N1302" s="78" t="s">
        <v>1293</v>
      </c>
      <c r="O1302" s="25">
        <f t="shared" si="37"/>
        <v>-2.3009758602978825E-2</v>
      </c>
    </row>
    <row r="1303" spans="1:15">
      <c r="A1303" s="77">
        <v>389.61152306623796</v>
      </c>
      <c r="B1303" s="77">
        <v>396.37036789731746</v>
      </c>
      <c r="C1303" s="77">
        <v>389.36762304457511</v>
      </c>
      <c r="D1303" s="77">
        <v>395.08989278358763</v>
      </c>
      <c r="E1303" s="77">
        <v>8724343.4645594843</v>
      </c>
      <c r="F1303" s="77" t="s">
        <v>1294</v>
      </c>
      <c r="G1303" s="25">
        <f t="shared" si="36"/>
        <v>-1.3866134814920383E-2</v>
      </c>
      <c r="I1303" s="78">
        <v>373.53418580916002</v>
      </c>
      <c r="J1303" s="78">
        <v>383.34485186635499</v>
      </c>
      <c r="K1303" s="78">
        <v>372.95108530055995</v>
      </c>
      <c r="L1303" s="78">
        <v>373.53418580916002</v>
      </c>
      <c r="M1303" s="78">
        <v>807674.82287186605</v>
      </c>
      <c r="N1303" s="78" t="s">
        <v>1294</v>
      </c>
      <c r="O1303" s="25">
        <f t="shared" si="37"/>
        <v>0</v>
      </c>
    </row>
    <row r="1304" spans="1:15">
      <c r="A1304" s="77">
        <v>393.74844266444211</v>
      </c>
      <c r="B1304" s="77">
        <v>398.66396617795442</v>
      </c>
      <c r="C1304" s="77">
        <v>391.48767707902891</v>
      </c>
      <c r="D1304" s="77">
        <v>396.45010444286106</v>
      </c>
      <c r="E1304" s="77">
        <v>11404160.77471767</v>
      </c>
      <c r="F1304" s="77" t="s">
        <v>1295</v>
      </c>
      <c r="G1304" s="25">
        <f t="shared" si="36"/>
        <v>-6.8146325304054844E-3</v>
      </c>
      <c r="I1304" s="78">
        <v>372.33882976652995</v>
      </c>
      <c r="J1304" s="78">
        <v>390.78424252191002</v>
      </c>
      <c r="K1304" s="78">
        <v>371.73629257430997</v>
      </c>
      <c r="L1304" s="78">
        <v>390.78424252191002</v>
      </c>
      <c r="M1304" s="78">
        <v>1081502.4008709979</v>
      </c>
      <c r="N1304" s="78" t="s">
        <v>1295</v>
      </c>
      <c r="O1304" s="25">
        <f t="shared" si="37"/>
        <v>-4.7201014647733408E-2</v>
      </c>
    </row>
    <row r="1305" spans="1:15">
      <c r="A1305" s="77">
        <v>400.77463944234427</v>
      </c>
      <c r="B1305" s="77">
        <v>401.10287258688209</v>
      </c>
      <c r="C1305" s="77">
        <v>396.62833907407622</v>
      </c>
      <c r="D1305" s="77">
        <v>397.69305647633507</v>
      </c>
      <c r="E1305" s="77">
        <v>10618332.964234898</v>
      </c>
      <c r="F1305" s="77" t="s">
        <v>1296</v>
      </c>
      <c r="G1305" s="25">
        <f t="shared" si="36"/>
        <v>7.7486466404841359E-3</v>
      </c>
      <c r="I1305" s="78">
        <v>393.72890009033995</v>
      </c>
      <c r="J1305" s="78">
        <v>394.19538049722001</v>
      </c>
      <c r="K1305" s="78">
        <v>382.89294897218997</v>
      </c>
      <c r="L1305" s="78">
        <v>383.874501495</v>
      </c>
      <c r="M1305" s="78">
        <v>1064827.7455472623</v>
      </c>
      <c r="N1305" s="78" t="s">
        <v>1296</v>
      </c>
      <c r="O1305" s="25">
        <f t="shared" si="37"/>
        <v>2.567088607594914E-2</v>
      </c>
    </row>
    <row r="1306" spans="1:15">
      <c r="A1306" s="77">
        <v>400.6526894315129</v>
      </c>
      <c r="B1306" s="77">
        <v>407.80083622024648</v>
      </c>
      <c r="C1306" s="77">
        <v>399.70523165505341</v>
      </c>
      <c r="D1306" s="77">
        <v>407.20984770621732</v>
      </c>
      <c r="E1306" s="77">
        <v>8017758.6154681565</v>
      </c>
      <c r="F1306" s="77" t="s">
        <v>1297</v>
      </c>
      <c r="G1306" s="25">
        <f t="shared" si="36"/>
        <v>-1.6102651523877465E-2</v>
      </c>
      <c r="I1306" s="78">
        <v>388.25747365130997</v>
      </c>
      <c r="J1306" s="78">
        <v>402.88192595725224</v>
      </c>
      <c r="K1306" s="78">
        <v>387.21761107763996</v>
      </c>
      <c r="L1306" s="78">
        <v>402.88192595725224</v>
      </c>
      <c r="M1306" s="78">
        <v>1174103.589180097</v>
      </c>
      <c r="N1306" s="78" t="s">
        <v>1297</v>
      </c>
      <c r="O1306" s="25">
        <f t="shared" si="37"/>
        <v>-3.6299598874271699E-2</v>
      </c>
    </row>
    <row r="1307" spans="1:15">
      <c r="A1307" s="77">
        <v>406.25300915969393</v>
      </c>
      <c r="B1307" s="77">
        <v>408.10102086229307</v>
      </c>
      <c r="C1307" s="77">
        <v>404.44252053735062</v>
      </c>
      <c r="D1307" s="77">
        <v>406.71266689282771</v>
      </c>
      <c r="E1307" s="77">
        <v>8816261.2915738337</v>
      </c>
      <c r="F1307" s="77" t="s">
        <v>1298</v>
      </c>
      <c r="G1307" s="25">
        <f t="shared" si="36"/>
        <v>-1.1301780607066991E-3</v>
      </c>
      <c r="I1307" s="78">
        <v>401.72709539996998</v>
      </c>
      <c r="J1307" s="78">
        <v>415.94493228458191</v>
      </c>
      <c r="K1307" s="78">
        <v>400.40540091380996</v>
      </c>
      <c r="L1307" s="78">
        <v>409.14219020100001</v>
      </c>
      <c r="M1307" s="78">
        <v>1835332.6471442562</v>
      </c>
      <c r="N1307" s="78" t="s">
        <v>1298</v>
      </c>
      <c r="O1307" s="25">
        <f t="shared" si="37"/>
        <v>-1.8123515439430027E-2</v>
      </c>
    </row>
    <row r="1308" spans="1:15">
      <c r="A1308" s="77">
        <v>405.04288982144374</v>
      </c>
      <c r="B1308" s="77">
        <v>405.20236291253099</v>
      </c>
      <c r="C1308" s="77">
        <v>398.4763507766753</v>
      </c>
      <c r="D1308" s="77">
        <v>401.19677409522222</v>
      </c>
      <c r="E1308" s="77">
        <v>7763160.1140959682</v>
      </c>
      <c r="F1308" s="77" t="s">
        <v>1299</v>
      </c>
      <c r="G1308" s="25">
        <f t="shared" si="36"/>
        <v>9.5866068088290568E-3</v>
      </c>
      <c r="I1308" s="78">
        <v>411.8633259078</v>
      </c>
      <c r="J1308" s="78">
        <v>412.66022993621999</v>
      </c>
      <c r="K1308" s="78">
        <v>370.26882296100001</v>
      </c>
      <c r="L1308" s="78">
        <v>373.88404611432003</v>
      </c>
      <c r="M1308" s="78">
        <v>4231408.0739253191</v>
      </c>
      <c r="N1308" s="78" t="s">
        <v>1299</v>
      </c>
      <c r="O1308" s="25">
        <f t="shared" si="37"/>
        <v>0.10158037013932208</v>
      </c>
    </row>
    <row r="1309" spans="1:15">
      <c r="A1309" s="77">
        <v>401.52510104746062</v>
      </c>
      <c r="B1309" s="77">
        <v>401.67519336848392</v>
      </c>
      <c r="C1309" s="77">
        <v>393.77658497463392</v>
      </c>
      <c r="D1309" s="77">
        <v>399.0391969805126</v>
      </c>
      <c r="E1309" s="77">
        <v>11173425.98586309</v>
      </c>
      <c r="F1309" s="77" t="s">
        <v>1300</v>
      </c>
      <c r="G1309" s="25">
        <f t="shared" si="36"/>
        <v>6.2297240114721486E-3</v>
      </c>
      <c r="I1309" s="78">
        <v>352.07608709267998</v>
      </c>
      <c r="J1309" s="78">
        <v>355.88567708219995</v>
      </c>
      <c r="K1309" s="78">
        <v>336.40040175314999</v>
      </c>
      <c r="L1309" s="78">
        <v>352.94101951377002</v>
      </c>
      <c r="M1309" s="78">
        <v>1796063.6023358805</v>
      </c>
      <c r="N1309" s="78" t="s">
        <v>1300</v>
      </c>
      <c r="O1309" s="25">
        <f t="shared" si="37"/>
        <v>-2.4506429495829707E-3</v>
      </c>
    </row>
    <row r="1310" spans="1:15">
      <c r="A1310" s="77">
        <v>402.0504241710421</v>
      </c>
      <c r="B1310" s="77">
        <v>404.64889747875765</v>
      </c>
      <c r="C1310" s="77">
        <v>400.7464971321524</v>
      </c>
      <c r="D1310" s="77">
        <v>403.57010892140283</v>
      </c>
      <c r="E1310" s="77">
        <v>6563998.4329858078</v>
      </c>
      <c r="F1310" s="77" t="s">
        <v>1301</v>
      </c>
      <c r="G1310" s="25">
        <f t="shared" si="36"/>
        <v>-3.7656028451222845E-3</v>
      </c>
      <c r="I1310" s="78">
        <v>359.92850727515997</v>
      </c>
      <c r="J1310" s="78">
        <v>378.74321701932001</v>
      </c>
      <c r="K1310" s="78">
        <v>359.57864696999997</v>
      </c>
      <c r="L1310" s="78">
        <v>369.10262194379999</v>
      </c>
      <c r="M1310" s="78">
        <v>1073350.8044825601</v>
      </c>
      <c r="N1310" s="78" t="s">
        <v>1301</v>
      </c>
      <c r="O1310" s="25">
        <f t="shared" si="37"/>
        <v>-2.4855186940495044E-2</v>
      </c>
    </row>
    <row r="1311" spans="1:15">
      <c r="A1311" s="77">
        <v>403.44815891057141</v>
      </c>
      <c r="B1311" s="77">
        <v>406.02787067815899</v>
      </c>
      <c r="C1311" s="77">
        <v>401.40315103662925</v>
      </c>
      <c r="D1311" s="77">
        <v>403.56072815133888</v>
      </c>
      <c r="E1311" s="77">
        <v>8497753.3247832768</v>
      </c>
      <c r="F1311" s="77" t="s">
        <v>1302</v>
      </c>
      <c r="G1311" s="25">
        <f t="shared" si="36"/>
        <v>-2.7894002789408123E-4</v>
      </c>
      <c r="I1311" s="78">
        <v>368.25712620632999</v>
      </c>
      <c r="J1311" s="78">
        <v>372.63038002082999</v>
      </c>
      <c r="K1311" s="78">
        <v>354.10722053096998</v>
      </c>
      <c r="L1311" s="78">
        <v>357.01300473216003</v>
      </c>
      <c r="M1311" s="78">
        <v>1195934.4739285312</v>
      </c>
      <c r="N1311" s="78" t="s">
        <v>1302</v>
      </c>
      <c r="O1311" s="25">
        <f t="shared" si="37"/>
        <v>3.1494991289198415E-2</v>
      </c>
    </row>
    <row r="1312" spans="1:15">
      <c r="A1312" s="77">
        <v>403.99224357428085</v>
      </c>
      <c r="B1312" s="77">
        <v>412.20041738024133</v>
      </c>
      <c r="C1312" s="77">
        <v>403.86560317841742</v>
      </c>
      <c r="D1312" s="77">
        <v>411.60942886621211</v>
      </c>
      <c r="E1312" s="77">
        <v>8037300.7211535312</v>
      </c>
      <c r="F1312" s="77" t="s">
        <v>1303</v>
      </c>
      <c r="G1312" s="25">
        <f t="shared" si="36"/>
        <v>-1.8505857149368476E-2</v>
      </c>
      <c r="I1312" s="78">
        <v>357.51835850627998</v>
      </c>
      <c r="J1312" s="78">
        <v>370.35142886638499</v>
      </c>
      <c r="K1312" s="78">
        <v>357.1490615175</v>
      </c>
      <c r="L1312" s="78">
        <v>360.05484571868999</v>
      </c>
      <c r="M1312" s="78">
        <v>891064.56320453295</v>
      </c>
      <c r="N1312" s="78" t="s">
        <v>1303</v>
      </c>
      <c r="O1312" s="25">
        <f t="shared" si="37"/>
        <v>-7.044724553969095E-3</v>
      </c>
    </row>
    <row r="1313" spans="1:15">
      <c r="A1313" s="77">
        <v>411.88147119806683</v>
      </c>
      <c r="B1313" s="77">
        <v>413.93585984207294</v>
      </c>
      <c r="C1313" s="77">
        <v>410.14602873623522</v>
      </c>
      <c r="D1313" s="77">
        <v>413.297967477724</v>
      </c>
      <c r="E1313" s="77">
        <v>6675610.8051963877</v>
      </c>
      <c r="F1313" s="77" t="s">
        <v>1304</v>
      </c>
      <c r="G1313" s="25">
        <f t="shared" si="36"/>
        <v>-3.4273003767759658E-3</v>
      </c>
      <c r="I1313" s="78">
        <v>361.87217563716001</v>
      </c>
      <c r="J1313" s="78">
        <v>369.68572245239994</v>
      </c>
      <c r="K1313" s="78">
        <v>354.71947606499998</v>
      </c>
      <c r="L1313" s="78">
        <v>369.18036867827999</v>
      </c>
      <c r="M1313" s="78">
        <v>892051.35706170439</v>
      </c>
      <c r="N1313" s="78" t="s">
        <v>1304</v>
      </c>
      <c r="O1313" s="25">
        <f t="shared" si="37"/>
        <v>-1.9795724965778638E-2</v>
      </c>
    </row>
    <row r="1314" spans="1:15">
      <c r="A1314" s="77">
        <v>412.05032505921804</v>
      </c>
      <c r="B1314" s="77">
        <v>412.06908659934595</v>
      </c>
      <c r="C1314" s="77">
        <v>408.66386706613031</v>
      </c>
      <c r="D1314" s="77">
        <v>410.81206341077598</v>
      </c>
      <c r="E1314" s="77">
        <v>6414508.5733645409</v>
      </c>
      <c r="F1314" s="77" t="s">
        <v>1305</v>
      </c>
      <c r="G1314" s="25">
        <f t="shared" si="36"/>
        <v>3.0141803484575735E-3</v>
      </c>
      <c r="I1314" s="78">
        <v>370.14248451747</v>
      </c>
      <c r="J1314" s="78">
        <v>371.49333402905995</v>
      </c>
      <c r="K1314" s="78">
        <v>363.32506773775498</v>
      </c>
      <c r="L1314" s="78">
        <v>370.37572472091</v>
      </c>
      <c r="M1314" s="78">
        <v>591394.09915445233</v>
      </c>
      <c r="N1314" s="78" t="s">
        <v>1305</v>
      </c>
      <c r="O1314" s="25">
        <f t="shared" si="37"/>
        <v>-6.2973944530453352E-4</v>
      </c>
    </row>
    <row r="1315" spans="1:15">
      <c r="A1315" s="77">
        <v>409.53627868207815</v>
      </c>
      <c r="B1315" s="77">
        <v>411.23419806365393</v>
      </c>
      <c r="C1315" s="77">
        <v>409.36742482092694</v>
      </c>
      <c r="D1315" s="77">
        <v>410.15540950629918</v>
      </c>
      <c r="E1315" s="77">
        <v>5527912.9161532586</v>
      </c>
      <c r="F1315" s="77" t="s">
        <v>1306</v>
      </c>
      <c r="G1315" s="25">
        <f t="shared" si="36"/>
        <v>-1.5095030075703564E-3</v>
      </c>
      <c r="I1315" s="78">
        <v>369.72459581964</v>
      </c>
      <c r="J1315" s="78">
        <v>375.26405065133997</v>
      </c>
      <c r="K1315" s="78">
        <v>369.44276390714998</v>
      </c>
      <c r="L1315" s="78">
        <v>371.83347599241</v>
      </c>
      <c r="M1315" s="78">
        <v>482098.70486125658</v>
      </c>
      <c r="N1315" s="78" t="s">
        <v>1306</v>
      </c>
      <c r="O1315" s="25">
        <f t="shared" si="37"/>
        <v>-5.6715715741878503E-3</v>
      </c>
    </row>
    <row r="1316" spans="1:15">
      <c r="A1316" s="77">
        <v>410.66197108975268</v>
      </c>
      <c r="B1316" s="77">
        <v>413.09159053631703</v>
      </c>
      <c r="C1316" s="77">
        <v>410.23983643687473</v>
      </c>
      <c r="D1316" s="77">
        <v>412.18165584011342</v>
      </c>
      <c r="E1316" s="77">
        <v>3999491.4856896615</v>
      </c>
      <c r="F1316" s="77" t="s">
        <v>1307</v>
      </c>
      <c r="G1316" s="25">
        <f t="shared" si="36"/>
        <v>-3.6869296069552693E-3</v>
      </c>
      <c r="I1316" s="78">
        <v>373.41756570744002</v>
      </c>
      <c r="J1316" s="78">
        <v>374.92886504231308</v>
      </c>
      <c r="K1316" s="78">
        <v>364.99176335816998</v>
      </c>
      <c r="L1316" s="78">
        <v>365.54570884133994</v>
      </c>
      <c r="M1316" s="78">
        <v>461233.00534538412</v>
      </c>
      <c r="N1316" s="78" t="s">
        <v>1307</v>
      </c>
      <c r="O1316" s="25">
        <f t="shared" si="37"/>
        <v>2.1534535013558953E-2</v>
      </c>
    </row>
    <row r="1317" spans="1:15">
      <c r="A1317" s="77">
        <v>411.8251865776831</v>
      </c>
      <c r="B1317" s="77">
        <v>412.70697896369489</v>
      </c>
      <c r="C1317" s="77">
        <v>410.44621337828175</v>
      </c>
      <c r="D1317" s="77">
        <v>411.34676730442141</v>
      </c>
      <c r="E1317" s="77">
        <v>4900115.8419419397</v>
      </c>
      <c r="F1317" s="77" t="s">
        <v>1308</v>
      </c>
      <c r="G1317" s="25">
        <f t="shared" si="36"/>
        <v>1.1630558722919293E-3</v>
      </c>
      <c r="I1317" s="78">
        <v>367.20754529085002</v>
      </c>
      <c r="J1317" s="78">
        <v>370.81305010235997</v>
      </c>
      <c r="K1317" s="78">
        <v>364.92373496549999</v>
      </c>
      <c r="L1317" s="78">
        <v>370.26882296100001</v>
      </c>
      <c r="M1317" s="78">
        <v>527104.32501241693</v>
      </c>
      <c r="N1317" s="78" t="s">
        <v>1308</v>
      </c>
      <c r="O1317" s="25">
        <f t="shared" si="37"/>
        <v>-8.2677165354330118E-3</v>
      </c>
    </row>
    <row r="1318" spans="1:15">
      <c r="A1318" s="77">
        <v>411.32800576429355</v>
      </c>
      <c r="B1318" s="77">
        <v>412.93211744522978</v>
      </c>
      <c r="C1318" s="77">
        <v>410.55409223401722</v>
      </c>
      <c r="D1318" s="77">
        <v>412.07846736940991</v>
      </c>
      <c r="E1318" s="77">
        <v>5187041.1137106456</v>
      </c>
      <c r="F1318" s="77" t="s">
        <v>1309</v>
      </c>
      <c r="G1318" s="25">
        <f t="shared" si="36"/>
        <v>-1.8211619012928892E-3</v>
      </c>
      <c r="I1318" s="78">
        <v>369.36501717266998</v>
      </c>
      <c r="J1318" s="78">
        <v>378.90842883008997</v>
      </c>
      <c r="K1318" s="78">
        <v>368.67501490415998</v>
      </c>
      <c r="L1318" s="78">
        <v>376.15813809785999</v>
      </c>
      <c r="M1318" s="78">
        <v>449281.37797203084</v>
      </c>
      <c r="N1318" s="78" t="s">
        <v>1309</v>
      </c>
      <c r="O1318" s="25">
        <f t="shared" si="37"/>
        <v>-1.8059215625484404E-2</v>
      </c>
    </row>
    <row r="1319" spans="1:15">
      <c r="A1319" s="77">
        <v>411.63757117640404</v>
      </c>
      <c r="B1319" s="77">
        <v>411.64695194646799</v>
      </c>
      <c r="C1319" s="77">
        <v>407.07851692532194</v>
      </c>
      <c r="D1319" s="77">
        <v>407.10665923551386</v>
      </c>
      <c r="E1319" s="77">
        <v>5315466.6045591114</v>
      </c>
      <c r="F1319" s="77" t="s">
        <v>1310</v>
      </c>
      <c r="G1319" s="25">
        <f t="shared" si="36"/>
        <v>1.1129545140329045E-2</v>
      </c>
      <c r="I1319" s="78">
        <v>373.82573606346</v>
      </c>
      <c r="J1319" s="78">
        <v>374.85102112441496</v>
      </c>
      <c r="K1319" s="78">
        <v>367.91212507207496</v>
      </c>
      <c r="L1319" s="78">
        <v>371.28924885104999</v>
      </c>
      <c r="M1319" s="78">
        <v>661334.01414083422</v>
      </c>
      <c r="N1319" s="78" t="s">
        <v>1310</v>
      </c>
      <c r="O1319" s="25">
        <f t="shared" si="37"/>
        <v>6.8315665488809518E-3</v>
      </c>
    </row>
    <row r="1320" spans="1:15">
      <c r="A1320" s="77">
        <v>405.84963604694383</v>
      </c>
      <c r="B1320" s="77">
        <v>407.2157575913576</v>
      </c>
      <c r="C1320" s="77">
        <v>404.18923974562387</v>
      </c>
      <c r="D1320" s="77">
        <v>404.22676282587969</v>
      </c>
      <c r="E1320" s="77">
        <v>5364894.3164461805</v>
      </c>
      <c r="F1320" s="77" t="s">
        <v>1311</v>
      </c>
      <c r="G1320" s="25">
        <f t="shared" si="36"/>
        <v>4.0147594625326022E-3</v>
      </c>
      <c r="I1320" s="78">
        <v>371.52248905448999</v>
      </c>
      <c r="J1320" s="78">
        <v>374.63235843369</v>
      </c>
      <c r="K1320" s="78">
        <v>368.41261967528999</v>
      </c>
      <c r="L1320" s="78">
        <v>369.78290587049997</v>
      </c>
      <c r="M1320" s="78">
        <v>380829.37113733811</v>
      </c>
      <c r="N1320" s="78" t="s">
        <v>1311</v>
      </c>
      <c r="O1320" s="25">
        <f t="shared" si="37"/>
        <v>4.7043363994745402E-3</v>
      </c>
    </row>
    <row r="1321" spans="1:15">
      <c r="A1321" s="77">
        <v>403.3637319799958</v>
      </c>
      <c r="B1321" s="77">
        <v>403.45753968063536</v>
      </c>
      <c r="C1321" s="77">
        <v>398.98291236012886</v>
      </c>
      <c r="D1321" s="77">
        <v>399.10486237096029</v>
      </c>
      <c r="E1321" s="77">
        <v>5321751.8028528588</v>
      </c>
      <c r="F1321" s="77" t="s">
        <v>1312</v>
      </c>
      <c r="G1321" s="25">
        <f t="shared" si="36"/>
        <v>1.0671054177929351E-2</v>
      </c>
      <c r="I1321" s="78">
        <v>368.13078776280003</v>
      </c>
      <c r="J1321" s="78">
        <v>372.87333856608001</v>
      </c>
      <c r="K1321" s="78">
        <v>364.0490842026</v>
      </c>
      <c r="L1321" s="78">
        <v>369.57882069249001</v>
      </c>
      <c r="M1321" s="78">
        <v>538937.61944147956</v>
      </c>
      <c r="N1321" s="78" t="s">
        <v>1312</v>
      </c>
      <c r="O1321" s="25">
        <f t="shared" si="37"/>
        <v>-3.9180625312261741E-3</v>
      </c>
    </row>
    <row r="1322" spans="1:15">
      <c r="A1322" s="77">
        <v>399.33000085249523</v>
      </c>
      <c r="B1322" s="77">
        <v>399.48009317351853</v>
      </c>
      <c r="C1322" s="77">
        <v>393.54206572303502</v>
      </c>
      <c r="D1322" s="77">
        <v>395.54016974665745</v>
      </c>
      <c r="E1322" s="77">
        <v>7373235.8354853168</v>
      </c>
      <c r="F1322" s="77" t="s">
        <v>1313</v>
      </c>
      <c r="G1322" s="25">
        <f t="shared" si="36"/>
        <v>9.5814063796988425E-3</v>
      </c>
      <c r="I1322" s="78">
        <v>368.77219832225995</v>
      </c>
      <c r="J1322" s="78">
        <v>371.44474232000999</v>
      </c>
      <c r="K1322" s="78">
        <v>362.79541810911002</v>
      </c>
      <c r="L1322" s="78">
        <v>364.11711259526999</v>
      </c>
      <c r="M1322" s="78">
        <v>812928.80559836992</v>
      </c>
      <c r="N1322" s="78" t="s">
        <v>1313</v>
      </c>
      <c r="O1322" s="25">
        <f t="shared" si="37"/>
        <v>1.2784583767048163E-2</v>
      </c>
    </row>
    <row r="1323" spans="1:15">
      <c r="A1323" s="77">
        <v>392.36674904748196</v>
      </c>
      <c r="B1323" s="77">
        <v>392.75930272685298</v>
      </c>
      <c r="C1323" s="77">
        <v>389.09546838605701</v>
      </c>
      <c r="D1323" s="77">
        <v>391.98354188428647</v>
      </c>
      <c r="E1323" s="77">
        <v>10595833.585523551</v>
      </c>
      <c r="F1323" s="77" t="s">
        <v>1314</v>
      </c>
      <c r="G1323" s="25">
        <f t="shared" si="36"/>
        <v>9.7761033882548531E-4</v>
      </c>
      <c r="I1323" s="78">
        <v>363.66035053019999</v>
      </c>
      <c r="J1323" s="78">
        <v>372.62066167901997</v>
      </c>
      <c r="K1323" s="78">
        <v>362.35809272765999</v>
      </c>
      <c r="L1323" s="78">
        <v>371.94037775231999</v>
      </c>
      <c r="M1323" s="78">
        <v>850383.75492166402</v>
      </c>
      <c r="N1323" s="78" t="s">
        <v>1314</v>
      </c>
      <c r="O1323" s="25">
        <f t="shared" si="37"/>
        <v>-2.2261705685618693E-2</v>
      </c>
    </row>
    <row r="1324" spans="1:15">
      <c r="A1324" s="77">
        <v>396.65679997203637</v>
      </c>
      <c r="B1324" s="77">
        <v>400.76926708925629</v>
      </c>
      <c r="C1324" s="77">
        <v>395.04919918985041</v>
      </c>
      <c r="D1324" s="77">
        <v>398.02139133365938</v>
      </c>
      <c r="E1324" s="77">
        <v>9504558.5255459677</v>
      </c>
      <c r="F1324" s="77" t="s">
        <v>1315</v>
      </c>
      <c r="G1324" s="25">
        <f t="shared" si="36"/>
        <v>-3.4284372431608867E-3</v>
      </c>
      <c r="I1324" s="78">
        <v>374.07841295051998</v>
      </c>
      <c r="J1324" s="78">
        <v>377.97546801633001</v>
      </c>
      <c r="K1324" s="78">
        <v>361.87217563716001</v>
      </c>
      <c r="L1324" s="78">
        <v>367.81980082488002</v>
      </c>
      <c r="M1324" s="78">
        <v>3473835.4196661045</v>
      </c>
      <c r="N1324" s="78" t="s">
        <v>1315</v>
      </c>
      <c r="O1324" s="25">
        <f t="shared" si="37"/>
        <v>1.7015430141618992E-2</v>
      </c>
    </row>
    <row r="1325" spans="1:15">
      <c r="A1325" s="77">
        <v>400.81599967013375</v>
      </c>
      <c r="B1325" s="77">
        <v>406.38652331073166</v>
      </c>
      <c r="C1325" s="77">
        <v>399.42336875998433</v>
      </c>
      <c r="D1325" s="77">
        <v>406.16220692251966</v>
      </c>
      <c r="E1325" s="77">
        <v>7660093.7349976199</v>
      </c>
      <c r="F1325" s="77" t="s">
        <v>1316</v>
      </c>
      <c r="G1325" s="25">
        <f t="shared" si="36"/>
        <v>-1.3162739322533201E-2</v>
      </c>
      <c r="I1325" s="78">
        <v>368.19881615547001</v>
      </c>
      <c r="J1325" s="78">
        <v>386.24577689664</v>
      </c>
      <c r="K1325" s="78">
        <v>366.42035960423999</v>
      </c>
      <c r="L1325" s="78">
        <v>382.19322836186996</v>
      </c>
      <c r="M1325" s="78">
        <v>1196833.8043051399</v>
      </c>
      <c r="N1325" s="78" t="s">
        <v>1316</v>
      </c>
      <c r="O1325" s="25">
        <f t="shared" si="37"/>
        <v>-3.6616065298649692E-2</v>
      </c>
    </row>
    <row r="1326" spans="1:15">
      <c r="A1326" s="77">
        <v>404.4704874947542</v>
      </c>
      <c r="B1326" s="77">
        <v>404.68545736679073</v>
      </c>
      <c r="C1326" s="77">
        <v>395.98385080740042</v>
      </c>
      <c r="D1326" s="77">
        <v>398.26440075422232</v>
      </c>
      <c r="E1326" s="77">
        <v>7351672.9345761361</v>
      </c>
      <c r="F1326" s="77" t="s">
        <v>1317</v>
      </c>
      <c r="G1326" s="25">
        <f t="shared" si="36"/>
        <v>1.5582830724460761E-2</v>
      </c>
      <c r="I1326" s="78">
        <v>380.70632206493997</v>
      </c>
      <c r="J1326" s="78">
        <v>381.37688764983</v>
      </c>
      <c r="K1326" s="78">
        <v>367.29501036713998</v>
      </c>
      <c r="L1326" s="78">
        <v>375.60419261469002</v>
      </c>
      <c r="M1326" s="78">
        <v>1336306.1573566941</v>
      </c>
      <c r="N1326" s="78" t="s">
        <v>1317</v>
      </c>
      <c r="O1326" s="25">
        <f t="shared" si="37"/>
        <v>1.3583792594892286E-2</v>
      </c>
    </row>
    <row r="1327" spans="1:15">
      <c r="A1327" s="77">
        <v>398.24570772187133</v>
      </c>
      <c r="B1327" s="77">
        <v>400.25520869960383</v>
      </c>
      <c r="C1327" s="77">
        <v>395.54456454715188</v>
      </c>
      <c r="D1327" s="77">
        <v>397.97465875278186</v>
      </c>
      <c r="E1327" s="77">
        <v>6978991.8270281963</v>
      </c>
      <c r="F1327" s="77" t="s">
        <v>1318</v>
      </c>
      <c r="G1327" s="25">
        <f t="shared" si="36"/>
        <v>6.8107092531688451E-4</v>
      </c>
      <c r="I1327" s="78">
        <v>375.49729085477998</v>
      </c>
      <c r="J1327" s="78">
        <v>376.54687177025994</v>
      </c>
      <c r="K1327" s="78">
        <v>365.49711713228999</v>
      </c>
      <c r="L1327" s="78">
        <v>367.05205182188996</v>
      </c>
      <c r="M1327" s="78">
        <v>1470927.8886744569</v>
      </c>
      <c r="N1327" s="78" t="s">
        <v>1318</v>
      </c>
      <c r="O1327" s="25">
        <f t="shared" si="37"/>
        <v>2.3008287219677515E-2</v>
      </c>
    </row>
    <row r="1328" spans="1:15">
      <c r="A1328" s="77">
        <v>400.97489044511724</v>
      </c>
      <c r="B1328" s="77">
        <v>404.38636884917474</v>
      </c>
      <c r="C1328" s="77">
        <v>400.7318810245543</v>
      </c>
      <c r="D1328" s="77">
        <v>404.1059733639097</v>
      </c>
      <c r="E1328" s="77">
        <v>6338059.9666947229</v>
      </c>
      <c r="F1328" s="77" t="s">
        <v>1319</v>
      </c>
      <c r="G1328" s="25">
        <f t="shared" si="36"/>
        <v>-7.748172818947241E-3</v>
      </c>
      <c r="I1328" s="78">
        <v>368.84994505674001</v>
      </c>
      <c r="J1328" s="78">
        <v>371.16281322410185</v>
      </c>
      <c r="K1328" s="78">
        <v>361.49316030657002</v>
      </c>
      <c r="L1328" s="78">
        <v>363.97133746811994</v>
      </c>
      <c r="M1328" s="78">
        <v>1281615.7574519392</v>
      </c>
      <c r="N1328" s="78" t="s">
        <v>1319</v>
      </c>
      <c r="O1328" s="25">
        <f t="shared" si="37"/>
        <v>1.3403823560824701E-2</v>
      </c>
    </row>
    <row r="1329" spans="1:15">
      <c r="A1329" s="77">
        <v>404.56395265650923</v>
      </c>
      <c r="B1329" s="77">
        <v>404.66676433443968</v>
      </c>
      <c r="C1329" s="77">
        <v>400.91881134806425</v>
      </c>
      <c r="D1329" s="77">
        <v>403.24609387576373</v>
      </c>
      <c r="E1329" s="77">
        <v>6674466.5957488753</v>
      </c>
      <c r="F1329" s="77" t="s">
        <v>1320</v>
      </c>
      <c r="G1329" s="25">
        <f t="shared" si="36"/>
        <v>3.2681253476729566E-3</v>
      </c>
      <c r="I1329" s="78">
        <v>363.97133746811994</v>
      </c>
      <c r="J1329" s="78">
        <v>367.05205182188996</v>
      </c>
      <c r="K1329" s="78">
        <v>359.96738064239997</v>
      </c>
      <c r="L1329" s="78">
        <v>360.14231079497995</v>
      </c>
      <c r="M1329" s="78">
        <v>1216594.3770195504</v>
      </c>
      <c r="N1329" s="78" t="s">
        <v>1320</v>
      </c>
      <c r="O1329" s="25">
        <f t="shared" si="37"/>
        <v>1.0631982298019205E-2</v>
      </c>
    </row>
    <row r="1330" spans="1:15">
      <c r="A1330" s="77">
        <v>400.74122754072977</v>
      </c>
      <c r="B1330" s="77">
        <v>403.1339356816577</v>
      </c>
      <c r="C1330" s="77">
        <v>400.60102979809727</v>
      </c>
      <c r="D1330" s="77">
        <v>402.33013529056473</v>
      </c>
      <c r="E1330" s="77">
        <v>5387490.8098907014</v>
      </c>
      <c r="F1330" s="77" t="s">
        <v>1321</v>
      </c>
      <c r="G1330" s="25">
        <f t="shared" si="36"/>
        <v>-3.9492635784974528E-3</v>
      </c>
      <c r="I1330" s="78">
        <v>360.88090477253996</v>
      </c>
      <c r="J1330" s="78">
        <v>366.70705068763499</v>
      </c>
      <c r="K1330" s="78">
        <v>360.03540903507002</v>
      </c>
      <c r="L1330" s="78">
        <v>365.11810180169999</v>
      </c>
      <c r="M1330" s="78">
        <v>1079738.7255100056</v>
      </c>
      <c r="N1330" s="78" t="s">
        <v>1321</v>
      </c>
      <c r="O1330" s="25">
        <f t="shared" si="37"/>
        <v>-1.160500399254738E-2</v>
      </c>
    </row>
    <row r="1331" spans="1:15">
      <c r="A1331" s="77">
        <v>403.48910329632673</v>
      </c>
      <c r="B1331" s="77">
        <v>403.90035000804869</v>
      </c>
      <c r="C1331" s="77">
        <v>401.18986031715377</v>
      </c>
      <c r="D1331" s="77">
        <v>402.7881145831642</v>
      </c>
      <c r="E1331" s="77">
        <v>4789530.0408663927</v>
      </c>
      <c r="F1331" s="77" t="s">
        <v>1322</v>
      </c>
      <c r="G1331" s="25">
        <f t="shared" si="36"/>
        <v>1.7403411068570573E-3</v>
      </c>
      <c r="I1331" s="78">
        <v>365.39021537238</v>
      </c>
      <c r="J1331" s="78">
        <v>365.65746977215497</v>
      </c>
      <c r="K1331" s="78">
        <v>356.08004391839995</v>
      </c>
      <c r="L1331" s="78">
        <v>357.77851851653367</v>
      </c>
      <c r="M1331" s="78">
        <v>1126061.4427802267</v>
      </c>
      <c r="N1331" s="78" t="s">
        <v>1322</v>
      </c>
      <c r="O1331" s="25">
        <f t="shared" si="37"/>
        <v>2.1274885052928516E-2</v>
      </c>
    </row>
    <row r="1332" spans="1:15">
      <c r="A1332" s="77">
        <v>402.35817483909125</v>
      </c>
      <c r="B1332" s="77">
        <v>402.92831232579675</v>
      </c>
      <c r="C1332" s="77">
        <v>399.04016159678883</v>
      </c>
      <c r="D1332" s="77">
        <v>399.07754766149083</v>
      </c>
      <c r="E1332" s="77">
        <v>5062763.39884145</v>
      </c>
      <c r="F1332" s="77" t="s">
        <v>1323</v>
      </c>
      <c r="G1332" s="25">
        <f t="shared" si="36"/>
        <v>8.2205255515479525E-3</v>
      </c>
      <c r="I1332" s="78">
        <v>359.02470148683</v>
      </c>
      <c r="J1332" s="78">
        <v>359.55921028637999</v>
      </c>
      <c r="K1332" s="78">
        <v>345.15662772396001</v>
      </c>
      <c r="L1332" s="78">
        <v>348.19846871049003</v>
      </c>
      <c r="M1332" s="78">
        <v>1300418.3478086577</v>
      </c>
      <c r="N1332" s="78" t="s">
        <v>1323</v>
      </c>
      <c r="O1332" s="25">
        <f t="shared" si="37"/>
        <v>3.1092132071785406E-2</v>
      </c>
    </row>
    <row r="1333" spans="1:15">
      <c r="A1333" s="77">
        <v>394.2547453149329</v>
      </c>
      <c r="B1333" s="77">
        <v>395.97450429122489</v>
      </c>
      <c r="C1333" s="77">
        <v>389.74972451834202</v>
      </c>
      <c r="D1333" s="77">
        <v>392.00223491663746</v>
      </c>
      <c r="E1333" s="77">
        <v>7799155.1751743387</v>
      </c>
      <c r="F1333" s="77" t="s">
        <v>1324</v>
      </c>
      <c r="G1333" s="25">
        <f t="shared" si="36"/>
        <v>5.7461672349252702E-3</v>
      </c>
      <c r="I1333" s="78">
        <v>341.74548974864996</v>
      </c>
      <c r="J1333" s="78">
        <v>343.64056640159998</v>
      </c>
      <c r="K1333" s="78">
        <v>332.43531829466997</v>
      </c>
      <c r="L1333" s="78">
        <v>336.45871180400997</v>
      </c>
      <c r="M1333" s="78">
        <v>1246978.1611848865</v>
      </c>
      <c r="N1333" s="78" t="s">
        <v>1324</v>
      </c>
      <c r="O1333" s="25">
        <f t="shared" si="37"/>
        <v>1.5713006556714149E-2</v>
      </c>
    </row>
    <row r="1334" spans="1:15">
      <c r="A1334" s="77">
        <v>389.600180259534</v>
      </c>
      <c r="B1334" s="77">
        <v>395.53521803097641</v>
      </c>
      <c r="C1334" s="77">
        <v>385.79614817610559</v>
      </c>
      <c r="D1334" s="77">
        <v>394.53514080019789</v>
      </c>
      <c r="E1334" s="77">
        <v>10944110.947791737</v>
      </c>
      <c r="F1334" s="77" t="s">
        <v>1325</v>
      </c>
      <c r="G1334" s="25">
        <f t="shared" si="36"/>
        <v>-1.2508291481095446E-2</v>
      </c>
      <c r="I1334" s="78">
        <v>337.49857437767997</v>
      </c>
      <c r="J1334" s="78">
        <v>352.28017227069</v>
      </c>
      <c r="K1334" s="78">
        <v>331.42461074642995</v>
      </c>
      <c r="L1334" s="78">
        <v>350.40453230136001</v>
      </c>
      <c r="M1334" s="78">
        <v>1181764.3610952597</v>
      </c>
      <c r="N1334" s="78" t="s">
        <v>1325</v>
      </c>
      <c r="O1334" s="25">
        <f t="shared" si="37"/>
        <v>-3.6831595296206054E-2</v>
      </c>
    </row>
    <row r="1335" spans="1:15">
      <c r="A1335" s="77">
        <v>393.07708427681996</v>
      </c>
      <c r="B1335" s="77">
        <v>394.47906170314491</v>
      </c>
      <c r="C1335" s="77">
        <v>386.97380921421853</v>
      </c>
      <c r="D1335" s="77">
        <v>387.33832334506309</v>
      </c>
      <c r="E1335" s="77">
        <v>11146048.222018844</v>
      </c>
      <c r="F1335" s="77" t="s">
        <v>1326</v>
      </c>
      <c r="G1335" s="25">
        <f t="shared" si="36"/>
        <v>1.4815887264128191E-2</v>
      </c>
      <c r="I1335" s="78">
        <v>347.41128302388</v>
      </c>
      <c r="J1335" s="78">
        <v>350.61833582117998</v>
      </c>
      <c r="K1335" s="78">
        <v>341.44470706963051</v>
      </c>
      <c r="L1335" s="78">
        <v>346.14789858858001</v>
      </c>
      <c r="M1335" s="78">
        <v>1122259.3538310628</v>
      </c>
      <c r="N1335" s="78" t="s">
        <v>1326</v>
      </c>
      <c r="O1335" s="25">
        <f t="shared" si="37"/>
        <v>3.6498399685551686E-3</v>
      </c>
    </row>
    <row r="1336" spans="1:15">
      <c r="A1336" s="77">
        <v>387.17008605390407</v>
      </c>
      <c r="B1336" s="77">
        <v>399.30298563164388</v>
      </c>
      <c r="C1336" s="77">
        <v>386.9177301171656</v>
      </c>
      <c r="D1336" s="77">
        <v>396.73157210144041</v>
      </c>
      <c r="E1336" s="77">
        <v>8955733.7117135897</v>
      </c>
      <c r="F1336" s="77" t="s">
        <v>1327</v>
      </c>
      <c r="G1336" s="25">
        <f t="shared" si="36"/>
        <v>-2.4100643154993384E-2</v>
      </c>
      <c r="I1336" s="78">
        <v>347.58621317646003</v>
      </c>
      <c r="J1336" s="78">
        <v>357.13934317568999</v>
      </c>
      <c r="K1336" s="78">
        <v>347.37240965664</v>
      </c>
      <c r="L1336" s="78">
        <v>355.39975999169997</v>
      </c>
      <c r="M1336" s="78">
        <v>1175480.3672623653</v>
      </c>
      <c r="N1336" s="78" t="s">
        <v>1327</v>
      </c>
      <c r="O1336" s="25">
        <f t="shared" si="37"/>
        <v>-2.1985233798195059E-2</v>
      </c>
    </row>
    <row r="1337" spans="1:15">
      <c r="A1337" s="77">
        <v>391.67510685049496</v>
      </c>
      <c r="B1337" s="77">
        <v>398.75041959534832</v>
      </c>
      <c r="C1337" s="77">
        <v>391.27320665494847</v>
      </c>
      <c r="D1337" s="77">
        <v>397.04000713523186</v>
      </c>
      <c r="E1337" s="77">
        <v>9262962.6241855081</v>
      </c>
      <c r="F1337" s="77" t="s">
        <v>1328</v>
      </c>
      <c r="G1337" s="25">
        <f t="shared" si="36"/>
        <v>-1.3512241054614016E-2</v>
      </c>
      <c r="I1337" s="78">
        <v>355.04018134472994</v>
      </c>
      <c r="J1337" s="78">
        <v>363.87415405002002</v>
      </c>
      <c r="K1337" s="78">
        <v>354.09750218916002</v>
      </c>
      <c r="L1337" s="78">
        <v>360.16660664950501</v>
      </c>
      <c r="M1337" s="78">
        <v>1497201.9182354731</v>
      </c>
      <c r="N1337" s="78" t="s">
        <v>1328</v>
      </c>
      <c r="O1337" s="25">
        <f t="shared" si="37"/>
        <v>-1.4233483088463617E-2</v>
      </c>
    </row>
    <row r="1338" spans="1:15">
      <c r="A1338" s="77">
        <v>399.32055708205382</v>
      </c>
      <c r="B1338" s="77">
        <v>400.94685089659077</v>
      </c>
      <c r="C1338" s="77">
        <v>396.80634423084439</v>
      </c>
      <c r="D1338" s="77">
        <v>398.8251917247523</v>
      </c>
      <c r="E1338" s="77">
        <v>6741293.6346446378</v>
      </c>
      <c r="F1338" s="77" t="s">
        <v>1329</v>
      </c>
      <c r="G1338" s="25">
        <f t="shared" si="36"/>
        <v>1.242061353143864E-3</v>
      </c>
      <c r="I1338" s="78">
        <v>360.36583265661</v>
      </c>
      <c r="J1338" s="78">
        <v>363.86443570821001</v>
      </c>
      <c r="K1338" s="78">
        <v>354.35017907622</v>
      </c>
      <c r="L1338" s="78">
        <v>362.98006660350001</v>
      </c>
      <c r="M1338" s="78">
        <v>916814.8408642977</v>
      </c>
      <c r="N1338" s="78" t="s">
        <v>1329</v>
      </c>
      <c r="O1338" s="25">
        <f t="shared" si="37"/>
        <v>-7.2021419009371535E-3</v>
      </c>
    </row>
    <row r="1339" spans="1:15">
      <c r="A1339" s="77">
        <v>394.55383383254889</v>
      </c>
      <c r="B1339" s="77">
        <v>398.64760791741782</v>
      </c>
      <c r="C1339" s="77">
        <v>393.39486582678688</v>
      </c>
      <c r="D1339" s="77">
        <v>397.40452126607636</v>
      </c>
      <c r="E1339" s="77">
        <v>8241014.9999960894</v>
      </c>
      <c r="F1339" s="77" t="s">
        <v>1330</v>
      </c>
      <c r="G1339" s="25">
        <f t="shared" si="36"/>
        <v>-7.173263717397016E-3</v>
      </c>
      <c r="I1339" s="78">
        <v>359.37456179199</v>
      </c>
      <c r="J1339" s="78">
        <v>365.74493484844504</v>
      </c>
      <c r="K1339" s="78">
        <v>357.09075146663997</v>
      </c>
      <c r="L1339" s="78">
        <v>357.45033011360999</v>
      </c>
      <c r="M1339" s="78">
        <v>688299.51968935737</v>
      </c>
      <c r="N1339" s="78" t="s">
        <v>1330</v>
      </c>
      <c r="O1339" s="25">
        <f t="shared" si="37"/>
        <v>5.3832141594845062E-3</v>
      </c>
    </row>
    <row r="1340" spans="1:15">
      <c r="A1340" s="77">
        <v>403.33021252134319</v>
      </c>
      <c r="B1340" s="77">
        <v>403.53583587720425</v>
      </c>
      <c r="C1340" s="77">
        <v>399.7598433423023</v>
      </c>
      <c r="D1340" s="77">
        <v>400.55429721721981</v>
      </c>
      <c r="E1340" s="77">
        <v>4889081.5724241119</v>
      </c>
      <c r="F1340" s="77" t="s">
        <v>1331</v>
      </c>
      <c r="G1340" s="25">
        <f t="shared" ref="G1340:G1403" si="38">A1340/D1340-1</f>
        <v>6.930184804927908E-3</v>
      </c>
      <c r="I1340" s="78">
        <v>355.26370320635999</v>
      </c>
      <c r="J1340" s="78">
        <v>356.64370774337999</v>
      </c>
      <c r="K1340" s="78">
        <v>350.92932275909999</v>
      </c>
      <c r="L1340" s="78">
        <v>356.64370774337999</v>
      </c>
      <c r="M1340" s="78">
        <v>1145037.9311159463</v>
      </c>
      <c r="N1340" s="78" t="s">
        <v>1331</v>
      </c>
      <c r="O1340" s="25">
        <f t="shared" ref="O1340:O1403" si="39">I1340/L1340-1</f>
        <v>-3.869420676876123E-3</v>
      </c>
    </row>
    <row r="1341" spans="1:15">
      <c r="A1341" s="77">
        <v>402.33948180674025</v>
      </c>
      <c r="B1341" s="77">
        <v>403.10589613313124</v>
      </c>
      <c r="C1341" s="77">
        <v>399.13362675854381</v>
      </c>
      <c r="D1341" s="77">
        <v>401.49829535094528</v>
      </c>
      <c r="E1341" s="77">
        <v>7276840.7739221584</v>
      </c>
      <c r="F1341" s="77" t="s">
        <v>1332</v>
      </c>
      <c r="G1341" s="25">
        <f t="shared" si="38"/>
        <v>2.0951183741881874E-3</v>
      </c>
      <c r="I1341" s="78">
        <v>355.43863335894002</v>
      </c>
      <c r="J1341" s="78">
        <v>364.43781787500001</v>
      </c>
      <c r="K1341" s="78">
        <v>352.59115920861001</v>
      </c>
      <c r="L1341" s="78">
        <v>364.43781787500001</v>
      </c>
      <c r="M1341" s="78">
        <v>1107942.0965540211</v>
      </c>
      <c r="N1341" s="78" t="s">
        <v>1332</v>
      </c>
      <c r="O1341" s="25">
        <f t="shared" si="39"/>
        <v>-2.4693333333333234E-2</v>
      </c>
    </row>
    <row r="1342" spans="1:15">
      <c r="A1342" s="77">
        <v>401.81607690091226</v>
      </c>
      <c r="B1342" s="77">
        <v>406.95666079743717</v>
      </c>
      <c r="C1342" s="77">
        <v>401.63849309357778</v>
      </c>
      <c r="D1342" s="77">
        <v>404.63872478591321</v>
      </c>
      <c r="E1342" s="77">
        <v>5216840.0593810109</v>
      </c>
      <c r="F1342" s="77" t="s">
        <v>1333</v>
      </c>
      <c r="G1342" s="25">
        <f t="shared" si="38"/>
        <v>-6.9757235580809596E-3</v>
      </c>
      <c r="I1342" s="78">
        <v>366.52726136414998</v>
      </c>
      <c r="J1342" s="78">
        <v>369.25811541275999</v>
      </c>
      <c r="K1342" s="78">
        <v>364.54471963491</v>
      </c>
      <c r="L1342" s="78">
        <v>367.21726363265998</v>
      </c>
      <c r="M1342" s="78">
        <v>764657.19618478825</v>
      </c>
      <c r="N1342" s="78" t="s">
        <v>1333</v>
      </c>
      <c r="O1342" s="25">
        <f t="shared" si="39"/>
        <v>-1.8790028052717567E-3</v>
      </c>
    </row>
    <row r="1343" spans="1:15">
      <c r="A1343" s="77">
        <v>402.88157974491924</v>
      </c>
      <c r="B1343" s="77">
        <v>404.6948038829662</v>
      </c>
      <c r="C1343" s="77">
        <v>402.25517623083721</v>
      </c>
      <c r="D1343" s="77">
        <v>403.64799407131022</v>
      </c>
      <c r="E1343" s="77">
        <v>5228177.9737450583</v>
      </c>
      <c r="F1343" s="77" t="s">
        <v>1334</v>
      </c>
      <c r="G1343" s="25">
        <f t="shared" si="38"/>
        <v>-1.8987195220784292E-3</v>
      </c>
      <c r="I1343" s="78">
        <v>368.65557822053995</v>
      </c>
      <c r="J1343" s="78">
        <v>369.92868099764996</v>
      </c>
      <c r="K1343" s="78">
        <v>363.08696836340999</v>
      </c>
      <c r="L1343" s="78">
        <v>369.45248224896</v>
      </c>
      <c r="M1343" s="78">
        <v>1082176.3841623925</v>
      </c>
      <c r="N1343" s="78" t="s">
        <v>1334</v>
      </c>
      <c r="O1343" s="25">
        <f t="shared" si="39"/>
        <v>-2.1569865319867043E-3</v>
      </c>
    </row>
    <row r="1344" spans="1:15">
      <c r="A1344" s="77">
        <v>403.63864755513475</v>
      </c>
      <c r="B1344" s="77">
        <v>403.92838955657521</v>
      </c>
      <c r="C1344" s="77">
        <v>400.77861360543181</v>
      </c>
      <c r="D1344" s="77">
        <v>403.24609387576373</v>
      </c>
      <c r="E1344" s="77">
        <v>5068009.203703857</v>
      </c>
      <c r="F1344" s="77" t="s">
        <v>1335</v>
      </c>
      <c r="G1344" s="25">
        <f t="shared" si="38"/>
        <v>9.7348414611531098E-4</v>
      </c>
      <c r="I1344" s="78">
        <v>365.33190532152003</v>
      </c>
      <c r="J1344" s="78">
        <v>368.32515459899997</v>
      </c>
      <c r="K1344" s="78">
        <v>356.18694567831</v>
      </c>
      <c r="L1344" s="78">
        <v>366.99374177102999</v>
      </c>
      <c r="M1344" s="78">
        <v>895335.86800236243</v>
      </c>
      <c r="N1344" s="78" t="s">
        <v>1335</v>
      </c>
      <c r="O1344" s="25">
        <f t="shared" si="39"/>
        <v>-4.528241929931287E-3</v>
      </c>
    </row>
    <row r="1345" spans="1:15">
      <c r="A1345" s="77">
        <v>402.24601664498527</v>
      </c>
      <c r="B1345" s="77">
        <v>403.19936129488622</v>
      </c>
      <c r="C1345" s="77">
        <v>401.75065128768375</v>
      </c>
      <c r="D1345" s="77">
        <v>403.05916355225372</v>
      </c>
      <c r="E1345" s="77">
        <v>4028084.8278729618</v>
      </c>
      <c r="F1345" s="77" t="s">
        <v>1336</v>
      </c>
      <c r="G1345" s="25">
        <f t="shared" si="38"/>
        <v>-2.0174380855206842E-3</v>
      </c>
      <c r="I1345" s="78">
        <v>366.99374177102999</v>
      </c>
      <c r="J1345" s="78">
        <v>371.78294061499798</v>
      </c>
      <c r="K1345" s="78">
        <v>364.18514098793997</v>
      </c>
      <c r="L1345" s="78">
        <v>367.26585534170999</v>
      </c>
      <c r="M1345" s="78">
        <v>547089.21582991746</v>
      </c>
      <c r="N1345" s="78" t="s">
        <v>1336</v>
      </c>
      <c r="O1345" s="25">
        <f t="shared" si="39"/>
        <v>-7.4091714958590682E-4</v>
      </c>
    </row>
    <row r="1346" spans="1:15">
      <c r="A1346" s="77">
        <v>403.21805432723727</v>
      </c>
      <c r="B1346" s="77">
        <v>404.32094323594617</v>
      </c>
      <c r="C1346" s="77">
        <v>401.40679295758713</v>
      </c>
      <c r="D1346" s="77">
        <v>401.45156277006777</v>
      </c>
      <c r="E1346" s="77">
        <v>3495417.9061539965</v>
      </c>
      <c r="F1346" s="77" t="s">
        <v>1337</v>
      </c>
      <c r="G1346" s="25">
        <f t="shared" si="38"/>
        <v>4.4002607561930418E-3</v>
      </c>
      <c r="I1346" s="78">
        <v>367.84895585031001</v>
      </c>
      <c r="J1346" s="78">
        <v>370.33685135367</v>
      </c>
      <c r="K1346" s="78">
        <v>363.79154814463499</v>
      </c>
      <c r="L1346" s="78">
        <v>369.72459581964</v>
      </c>
      <c r="M1346" s="78">
        <v>786083.69095838582</v>
      </c>
      <c r="N1346" s="78" t="s">
        <v>1337</v>
      </c>
      <c r="O1346" s="25">
        <f t="shared" si="39"/>
        <v>-5.0730732835664316E-3</v>
      </c>
    </row>
    <row r="1347" spans="1:15">
      <c r="A1347" s="77">
        <v>401.68522567445524</v>
      </c>
      <c r="B1347" s="77">
        <v>402.83952042212951</v>
      </c>
      <c r="C1347" s="77">
        <v>400.63841586279926</v>
      </c>
      <c r="D1347" s="77">
        <v>402.7881145831642</v>
      </c>
      <c r="E1347" s="77">
        <v>3340588.0237863436</v>
      </c>
      <c r="F1347" s="77" t="s">
        <v>1338</v>
      </c>
      <c r="G1347" s="25">
        <f t="shared" si="38"/>
        <v>-2.7381366747881719E-3</v>
      </c>
      <c r="I1347" s="78">
        <v>368.26684454814</v>
      </c>
      <c r="J1347" s="78">
        <v>377.88800294003994</v>
      </c>
      <c r="K1347" s="78">
        <v>367.93642092660002</v>
      </c>
      <c r="L1347" s="78">
        <v>373.65080591088002</v>
      </c>
      <c r="M1347" s="78">
        <v>868717.12942971697</v>
      </c>
      <c r="N1347" s="78" t="s">
        <v>1338</v>
      </c>
      <c r="O1347" s="25">
        <f t="shared" si="39"/>
        <v>-1.4409071993341738E-2</v>
      </c>
    </row>
    <row r="1348" spans="1:15">
      <c r="A1348" s="77">
        <v>401.49829535094528</v>
      </c>
      <c r="B1348" s="77">
        <v>402.05908632147526</v>
      </c>
      <c r="C1348" s="77">
        <v>398.84388475710335</v>
      </c>
      <c r="D1348" s="77">
        <v>399.71311076142484</v>
      </c>
      <c r="E1348" s="77">
        <v>3911077.5944326883</v>
      </c>
      <c r="F1348" s="77" t="s">
        <v>1339</v>
      </c>
      <c r="G1348" s="25">
        <f t="shared" si="38"/>
        <v>4.4661647102837154E-3</v>
      </c>
      <c r="I1348" s="78">
        <v>372.64981670444996</v>
      </c>
      <c r="J1348" s="78">
        <v>379.01533058999996</v>
      </c>
      <c r="K1348" s="78">
        <v>370.78389507692998</v>
      </c>
      <c r="L1348" s="78">
        <v>375.46813582934999</v>
      </c>
      <c r="M1348" s="78">
        <v>925849.30391535594</v>
      </c>
      <c r="N1348" s="78" t="s">
        <v>1339</v>
      </c>
      <c r="O1348" s="25">
        <f t="shared" si="39"/>
        <v>-7.5061472757862457E-3</v>
      </c>
    </row>
    <row r="1349" spans="1:15">
      <c r="A1349" s="77">
        <v>398.53544972331179</v>
      </c>
      <c r="B1349" s="77">
        <v>399.86265502023281</v>
      </c>
      <c r="C1349" s="77">
        <v>398.52610320713632</v>
      </c>
      <c r="D1349" s="77">
        <v>399.75049682612678</v>
      </c>
      <c r="E1349" s="77">
        <v>3888754.8384365118</v>
      </c>
      <c r="F1349" s="77" t="s">
        <v>1340</v>
      </c>
      <c r="G1349" s="25">
        <f t="shared" si="38"/>
        <v>-3.0395136778116338E-3</v>
      </c>
      <c r="I1349" s="78">
        <v>374.31165315396004</v>
      </c>
      <c r="J1349" s="78">
        <v>381.95998815842995</v>
      </c>
      <c r="K1349" s="78">
        <v>371.90636355598497</v>
      </c>
      <c r="L1349" s="78">
        <v>378.24758158700996</v>
      </c>
      <c r="M1349" s="78">
        <v>806293.92886110069</v>
      </c>
      <c r="N1349" s="78" t="s">
        <v>1340</v>
      </c>
      <c r="O1349" s="25">
        <f t="shared" si="39"/>
        <v>-1.0405693584440101E-2</v>
      </c>
    </row>
    <row r="1350" spans="1:15">
      <c r="A1350" s="77">
        <v>398.40459849685482</v>
      </c>
      <c r="B1350" s="77">
        <v>401.64783960975331</v>
      </c>
      <c r="C1350" s="77">
        <v>397.04935365140733</v>
      </c>
      <c r="D1350" s="77">
        <v>400.11501095697128</v>
      </c>
      <c r="E1350" s="77">
        <v>6794679.3016280169</v>
      </c>
      <c r="F1350" s="77" t="s">
        <v>1341</v>
      </c>
      <c r="G1350" s="25">
        <f t="shared" si="38"/>
        <v>-4.274802027610991E-3</v>
      </c>
      <c r="I1350" s="78">
        <v>374.78785190264995</v>
      </c>
      <c r="J1350" s="78">
        <v>382.82492057951998</v>
      </c>
      <c r="K1350" s="78">
        <v>374.73926019359999</v>
      </c>
      <c r="L1350" s="78">
        <v>381.20195749724996</v>
      </c>
      <c r="M1350" s="78">
        <v>827485.81571036554</v>
      </c>
      <c r="N1350" s="78" t="s">
        <v>1341</v>
      </c>
      <c r="O1350" s="25">
        <f t="shared" si="39"/>
        <v>-1.6826003824091829E-2</v>
      </c>
    </row>
    <row r="1351" spans="1:15">
      <c r="A1351" s="77">
        <v>401.63849309357778</v>
      </c>
      <c r="B1351" s="77">
        <v>403.53583587720425</v>
      </c>
      <c r="C1351" s="77">
        <v>400.34867386135875</v>
      </c>
      <c r="D1351" s="77">
        <v>403.35825206986971</v>
      </c>
      <c r="E1351" s="77">
        <v>5024357.6449477216</v>
      </c>
      <c r="F1351" s="77" t="s">
        <v>1342</v>
      </c>
      <c r="G1351" s="25">
        <f t="shared" si="38"/>
        <v>-4.2636018166650747E-3</v>
      </c>
      <c r="I1351" s="78">
        <v>384.22436180016001</v>
      </c>
      <c r="J1351" s="78">
        <v>390.63846739475997</v>
      </c>
      <c r="K1351" s="78">
        <v>383.92309320405002</v>
      </c>
      <c r="L1351" s="78">
        <v>389.25846285774003</v>
      </c>
      <c r="M1351" s="78">
        <v>648889.5043299573</v>
      </c>
      <c r="N1351" s="78" t="s">
        <v>1342</v>
      </c>
      <c r="O1351" s="25">
        <f t="shared" si="39"/>
        <v>-1.2932541069556103E-2</v>
      </c>
    </row>
    <row r="1352" spans="1:15">
      <c r="A1352" s="77">
        <v>403.04981703607825</v>
      </c>
      <c r="B1352" s="77">
        <v>404.0872803315587</v>
      </c>
      <c r="C1352" s="77">
        <v>402.36752135526677</v>
      </c>
      <c r="D1352" s="77">
        <v>403.65734058748569</v>
      </c>
      <c r="E1352" s="77">
        <v>3757132.5337295695</v>
      </c>
      <c r="F1352" s="77" t="s">
        <v>1343</v>
      </c>
      <c r="G1352" s="25">
        <f t="shared" si="38"/>
        <v>-1.505047698434625E-3</v>
      </c>
      <c r="I1352" s="78">
        <v>390.85227091458</v>
      </c>
      <c r="J1352" s="78">
        <v>399.1322981367</v>
      </c>
      <c r="K1352" s="78">
        <v>384.65196883980002</v>
      </c>
      <c r="L1352" s="78">
        <v>395.37129985623</v>
      </c>
      <c r="M1352" s="78">
        <v>871141.41131448851</v>
      </c>
      <c r="N1352" s="78" t="s">
        <v>1343</v>
      </c>
      <c r="O1352" s="25">
        <f t="shared" si="39"/>
        <v>-1.142983555784971E-2</v>
      </c>
    </row>
    <row r="1353" spans="1:15">
      <c r="A1353" s="77">
        <v>402.5637981949522</v>
      </c>
      <c r="B1353" s="77">
        <v>404.47983401092972</v>
      </c>
      <c r="C1353" s="77">
        <v>401.24593941420676</v>
      </c>
      <c r="D1353" s="77">
        <v>403.34890555369424</v>
      </c>
      <c r="E1353" s="77">
        <v>5288529.8727209177</v>
      </c>
      <c r="F1353" s="77" t="s">
        <v>1344</v>
      </c>
      <c r="G1353" s="25">
        <f t="shared" si="38"/>
        <v>-1.946472019464851E-3</v>
      </c>
      <c r="I1353" s="78">
        <v>396.64440263333995</v>
      </c>
      <c r="J1353" s="78">
        <v>413.02952692499997</v>
      </c>
      <c r="K1353" s="78">
        <v>386.64422891085002</v>
      </c>
      <c r="L1353" s="78">
        <v>411.33853545005996</v>
      </c>
      <c r="M1353" s="78">
        <v>1625637.4090221468</v>
      </c>
      <c r="N1353" s="78" t="s">
        <v>1344</v>
      </c>
      <c r="O1353" s="25">
        <f t="shared" si="39"/>
        <v>-3.572272362141482E-2</v>
      </c>
    </row>
    <row r="1354" spans="1:15">
      <c r="A1354" s="77">
        <v>401.1992068333293</v>
      </c>
      <c r="B1354" s="77">
        <v>401.31136502743527</v>
      </c>
      <c r="C1354" s="77">
        <v>399.60095256731881</v>
      </c>
      <c r="D1354" s="77">
        <v>399.89069456875933</v>
      </c>
      <c r="E1354" s="77">
        <v>4587039.6193592809</v>
      </c>
      <c r="F1354" s="77" t="s">
        <v>1345</v>
      </c>
      <c r="G1354" s="25">
        <f t="shared" si="38"/>
        <v>3.2721748276265394E-3</v>
      </c>
      <c r="I1354" s="78">
        <v>409.94881257122995</v>
      </c>
      <c r="J1354" s="78">
        <v>410.55134976344999</v>
      </c>
      <c r="K1354" s="78">
        <v>404.67661213930495</v>
      </c>
      <c r="L1354" s="78">
        <v>406.66401303944997</v>
      </c>
      <c r="M1354" s="78">
        <v>808378.64664486423</v>
      </c>
      <c r="N1354" s="78" t="s">
        <v>1345</v>
      </c>
      <c r="O1354" s="25">
        <f t="shared" si="39"/>
        <v>8.0774286055680378E-3</v>
      </c>
    </row>
    <row r="1355" spans="1:15">
      <c r="A1355" s="77">
        <v>399.32990359822929</v>
      </c>
      <c r="B1355" s="77">
        <v>399.71311076142484</v>
      </c>
      <c r="C1355" s="77">
        <v>396.00254383975135</v>
      </c>
      <c r="D1355" s="77">
        <v>396.42313706764884</v>
      </c>
      <c r="E1355" s="77">
        <v>3812019.2947822851</v>
      </c>
      <c r="F1355" s="77" t="s">
        <v>1346</v>
      </c>
      <c r="G1355" s="25">
        <f t="shared" si="38"/>
        <v>7.3324845569859853E-3</v>
      </c>
      <c r="I1355" s="78">
        <v>407.75246732216999</v>
      </c>
      <c r="J1355" s="78">
        <v>408.52021632515999</v>
      </c>
      <c r="K1355" s="78">
        <v>397.25179899646497</v>
      </c>
      <c r="L1355" s="78">
        <v>406.83894319203</v>
      </c>
      <c r="M1355" s="78">
        <v>743682.42456374364</v>
      </c>
      <c r="N1355" s="78" t="s">
        <v>1346</v>
      </c>
      <c r="O1355" s="25">
        <f t="shared" si="39"/>
        <v>2.2454195829251233E-3</v>
      </c>
    </row>
    <row r="1356" spans="1:15">
      <c r="A1356" s="77">
        <v>396.93719545730136</v>
      </c>
      <c r="B1356" s="77">
        <v>397.18955139403982</v>
      </c>
      <c r="C1356" s="77">
        <v>395.36698073981739</v>
      </c>
      <c r="D1356" s="77">
        <v>395.49783196627436</v>
      </c>
      <c r="E1356" s="77">
        <v>3198211.9795990731</v>
      </c>
      <c r="F1356" s="77" t="s">
        <v>1347</v>
      </c>
      <c r="G1356" s="25">
        <f t="shared" si="38"/>
        <v>3.6393713813069883E-3</v>
      </c>
      <c r="I1356" s="78">
        <v>405.45893865500994</v>
      </c>
      <c r="J1356" s="78">
        <v>407.05274671185003</v>
      </c>
      <c r="K1356" s="78">
        <v>397.480180029</v>
      </c>
      <c r="L1356" s="78">
        <v>405.85739066921997</v>
      </c>
      <c r="M1356" s="78">
        <v>621996.02753013279</v>
      </c>
      <c r="N1356" s="78" t="s">
        <v>1347</v>
      </c>
      <c r="O1356" s="25">
        <f t="shared" si="39"/>
        <v>-9.8175374742592858E-4</v>
      </c>
    </row>
    <row r="1357" spans="1:15">
      <c r="A1357" s="77">
        <v>395.40436680451938</v>
      </c>
      <c r="B1357" s="77">
        <v>395.89038564564538</v>
      </c>
      <c r="C1357" s="77">
        <v>393.75003344145591</v>
      </c>
      <c r="D1357" s="77">
        <v>395.53521803097641</v>
      </c>
      <c r="E1357" s="77">
        <v>4212601.7074907068</v>
      </c>
      <c r="F1357" s="77" t="s">
        <v>1348</v>
      </c>
      <c r="G1357" s="25">
        <f t="shared" si="38"/>
        <v>-3.3082067156597894E-4</v>
      </c>
      <c r="I1357" s="78">
        <v>405.06048664079998</v>
      </c>
      <c r="J1357" s="78">
        <v>407.94683415837</v>
      </c>
      <c r="K1357" s="78">
        <v>403.26259340594999</v>
      </c>
      <c r="L1357" s="78">
        <v>403.77766552188001</v>
      </c>
      <c r="M1357" s="78">
        <v>502673.20243596169</v>
      </c>
      <c r="N1357" s="78" t="s">
        <v>1348</v>
      </c>
      <c r="O1357" s="25">
        <f t="shared" si="39"/>
        <v>3.1770482333686179E-3</v>
      </c>
    </row>
    <row r="1358" spans="1:15">
      <c r="A1358" s="77">
        <v>394.57252686489994</v>
      </c>
      <c r="B1358" s="77">
        <v>394.90432818913013</v>
      </c>
      <c r="C1358" s="77">
        <v>391.49752304316047</v>
      </c>
      <c r="D1358" s="77">
        <v>391.75922549607446</v>
      </c>
      <c r="E1358" s="77">
        <v>4961999.650904146</v>
      </c>
      <c r="F1358" s="77" t="s">
        <v>1349</v>
      </c>
      <c r="G1358" s="25">
        <f t="shared" si="38"/>
        <v>7.1812000477156079E-3</v>
      </c>
      <c r="I1358" s="78">
        <v>403.36949516585997</v>
      </c>
      <c r="J1358" s="78">
        <v>404.28301929599996</v>
      </c>
      <c r="K1358" s="78">
        <v>398.63909228984249</v>
      </c>
      <c r="L1358" s="78">
        <v>403.39865019128996</v>
      </c>
      <c r="M1358" s="78">
        <v>528513.00154053757</v>
      </c>
      <c r="N1358" s="78" t="s">
        <v>1349</v>
      </c>
      <c r="O1358" s="25">
        <f t="shared" si="39"/>
        <v>-7.2273482859097626E-5</v>
      </c>
    </row>
    <row r="1359" spans="1:15">
      <c r="A1359" s="77">
        <v>393.87153815173747</v>
      </c>
      <c r="B1359" s="77">
        <v>393.89957770026393</v>
      </c>
      <c r="C1359" s="77">
        <v>391.3853648490545</v>
      </c>
      <c r="D1359" s="77">
        <v>391.41340439758096</v>
      </c>
      <c r="E1359" s="77">
        <v>3898309.2005456882</v>
      </c>
      <c r="F1359" s="77" t="s">
        <v>1350</v>
      </c>
      <c r="G1359" s="25">
        <f t="shared" si="38"/>
        <v>6.2801470939397586E-3</v>
      </c>
      <c r="I1359" s="78">
        <v>401.90202555255001</v>
      </c>
      <c r="J1359" s="78">
        <v>406.98957749008503</v>
      </c>
      <c r="K1359" s="78">
        <v>400.18187905217997</v>
      </c>
      <c r="L1359" s="78">
        <v>402.67949289735003</v>
      </c>
      <c r="M1359" s="78">
        <v>582653.9249909342</v>
      </c>
      <c r="N1359" s="78" t="s">
        <v>1350</v>
      </c>
      <c r="O1359" s="25">
        <f t="shared" si="39"/>
        <v>-1.9307348859659568E-3</v>
      </c>
    </row>
    <row r="1360" spans="1:15">
      <c r="A1360" s="77">
        <v>390.05815955213347</v>
      </c>
      <c r="B1360" s="77">
        <v>392.82472834008144</v>
      </c>
      <c r="C1360" s="77">
        <v>390.01142697125596</v>
      </c>
      <c r="D1360" s="77">
        <v>392.23589782102499</v>
      </c>
      <c r="E1360" s="77">
        <v>3074422.5399538646</v>
      </c>
      <c r="F1360" s="77" t="s">
        <v>1351</v>
      </c>
      <c r="G1360" s="25">
        <f t="shared" si="38"/>
        <v>-5.5521136157843376E-3</v>
      </c>
      <c r="I1360" s="78">
        <v>400.40540091380996</v>
      </c>
      <c r="J1360" s="78">
        <v>408.67570979411994</v>
      </c>
      <c r="K1360" s="78">
        <v>399.49187678366997</v>
      </c>
      <c r="L1360" s="78">
        <v>407.47063540967997</v>
      </c>
      <c r="M1360" s="78">
        <v>709897.85447770753</v>
      </c>
      <c r="N1360" s="78" t="s">
        <v>1351</v>
      </c>
      <c r="O1360" s="25">
        <f t="shared" si="39"/>
        <v>-1.7339248235069715E-2</v>
      </c>
    </row>
    <row r="1361" spans="1:15">
      <c r="A1361" s="77">
        <v>391.75922549607446</v>
      </c>
      <c r="B1361" s="77">
        <v>393.98313555487289</v>
      </c>
      <c r="C1361" s="77">
        <v>391.488176526985</v>
      </c>
      <c r="D1361" s="77">
        <v>392.80603530773044</v>
      </c>
      <c r="E1361" s="77">
        <v>3300974.3331825077</v>
      </c>
      <c r="F1361" s="77" t="s">
        <v>1352</v>
      </c>
      <c r="G1361" s="25">
        <f t="shared" si="38"/>
        <v>-2.6649534822852372E-3</v>
      </c>
      <c r="I1361" s="78">
        <v>405.43950197138997</v>
      </c>
      <c r="J1361" s="78">
        <v>412.42698973277999</v>
      </c>
      <c r="K1361" s="78">
        <v>404.00118738350994</v>
      </c>
      <c r="L1361" s="78">
        <v>411.08585856299999</v>
      </c>
      <c r="M1361" s="78">
        <v>712255.25252440164</v>
      </c>
      <c r="N1361" s="78" t="s">
        <v>1352</v>
      </c>
      <c r="O1361" s="25">
        <f t="shared" si="39"/>
        <v>-1.3735224586288508E-2</v>
      </c>
    </row>
    <row r="1362" spans="1:15">
      <c r="A1362" s="77">
        <v>391.3853648490545</v>
      </c>
      <c r="B1362" s="77">
        <v>391.74987897989894</v>
      </c>
      <c r="C1362" s="77">
        <v>388.7496472875635</v>
      </c>
      <c r="D1362" s="77">
        <v>390.34790155357399</v>
      </c>
      <c r="E1362" s="77">
        <v>2687060.0262623508</v>
      </c>
      <c r="F1362" s="77" t="s">
        <v>1353</v>
      </c>
      <c r="G1362" s="25">
        <f t="shared" si="38"/>
        <v>2.6577913992913427E-3</v>
      </c>
      <c r="I1362" s="78">
        <v>408.92838668117997</v>
      </c>
      <c r="J1362" s="78">
        <v>409.32683869538999</v>
      </c>
      <c r="K1362" s="78">
        <v>396.87764283677996</v>
      </c>
      <c r="L1362" s="78">
        <v>399.15173482032003</v>
      </c>
      <c r="M1362" s="78">
        <v>872670.47875114821</v>
      </c>
      <c r="N1362" s="78" t="s">
        <v>1353</v>
      </c>
      <c r="O1362" s="25">
        <f t="shared" si="39"/>
        <v>2.4493572263342367E-2</v>
      </c>
    </row>
    <row r="1363" spans="1:15">
      <c r="A1363" s="77">
        <v>389.36651735514647</v>
      </c>
      <c r="B1363" s="77">
        <v>390.68437613589197</v>
      </c>
      <c r="C1363" s="77">
        <v>387.60002579797703</v>
      </c>
      <c r="D1363" s="77">
        <v>389.357170838971</v>
      </c>
      <c r="E1363" s="77">
        <v>3903973.3430995494</v>
      </c>
      <c r="F1363" s="77" t="s">
        <v>1354</v>
      </c>
      <c r="G1363" s="25">
        <f t="shared" si="38"/>
        <v>2.4004993038451161E-5</v>
      </c>
      <c r="I1363" s="78">
        <v>397.62595515614998</v>
      </c>
      <c r="J1363" s="78">
        <v>401.75139125449499</v>
      </c>
      <c r="K1363" s="78">
        <v>392.12537369169002</v>
      </c>
      <c r="L1363" s="78">
        <v>399.42384839099998</v>
      </c>
      <c r="M1363" s="78">
        <v>560631.64956738648</v>
      </c>
      <c r="N1363" s="78" t="s">
        <v>1354</v>
      </c>
      <c r="O1363" s="25">
        <f t="shared" si="39"/>
        <v>-4.5012165450121211E-3</v>
      </c>
    </row>
    <row r="1364" spans="1:15">
      <c r="A1364" s="77">
        <v>389.75907103451749</v>
      </c>
      <c r="B1364" s="77">
        <v>389.97404090655402</v>
      </c>
      <c r="C1364" s="77">
        <v>387.82892197911508</v>
      </c>
      <c r="D1364" s="77">
        <v>388.23558889791104</v>
      </c>
      <c r="E1364" s="77">
        <v>2759798.3586243172</v>
      </c>
      <c r="F1364" s="77" t="s">
        <v>1355</v>
      </c>
      <c r="G1364" s="25">
        <f t="shared" si="38"/>
        <v>3.9241176753814777E-3</v>
      </c>
      <c r="I1364" s="78">
        <v>399.98751221597996</v>
      </c>
      <c r="J1364" s="78">
        <v>406.18781429075995</v>
      </c>
      <c r="K1364" s="78">
        <v>397.74257525786999</v>
      </c>
      <c r="L1364" s="78">
        <v>404.44823110676998</v>
      </c>
      <c r="M1364" s="78">
        <v>826815.94834746816</v>
      </c>
      <c r="N1364" s="78" t="s">
        <v>1355</v>
      </c>
      <c r="O1364" s="25">
        <f t="shared" si="39"/>
        <v>-1.1029146742917662E-2</v>
      </c>
    </row>
    <row r="1365" spans="1:15">
      <c r="A1365" s="77">
        <v>388.80572638461655</v>
      </c>
      <c r="B1365" s="77">
        <v>389.02069625665303</v>
      </c>
      <c r="C1365" s="77">
        <v>387.55329321709951</v>
      </c>
      <c r="D1365" s="77">
        <v>387.63741186267907</v>
      </c>
      <c r="E1365" s="77">
        <v>3432461.8283008994</v>
      </c>
      <c r="F1365" s="77" t="s">
        <v>1356</v>
      </c>
      <c r="G1365" s="25">
        <f t="shared" si="38"/>
        <v>3.0139364421082337E-3</v>
      </c>
      <c r="I1365" s="78">
        <v>401.80484213444998</v>
      </c>
      <c r="J1365" s="78">
        <v>406.20919464274203</v>
      </c>
      <c r="K1365" s="78">
        <v>399.55990517633995</v>
      </c>
      <c r="L1365" s="78">
        <v>405.62415046577996</v>
      </c>
      <c r="M1365" s="78">
        <v>638934.10227768065</v>
      </c>
      <c r="N1365" s="78" t="s">
        <v>1356</v>
      </c>
      <c r="O1365" s="25">
        <f t="shared" si="39"/>
        <v>-9.4158800134169773E-3</v>
      </c>
    </row>
    <row r="1366" spans="1:15">
      <c r="A1366" s="77">
        <v>387.30093728036104</v>
      </c>
      <c r="B1366" s="77">
        <v>387.30093728036104</v>
      </c>
      <c r="C1366" s="77">
        <v>385.20731765704909</v>
      </c>
      <c r="D1366" s="77">
        <v>385.76810862757907</v>
      </c>
      <c r="E1366" s="77">
        <v>3036705.8128460608</v>
      </c>
      <c r="F1366" s="77" t="s">
        <v>1357</v>
      </c>
      <c r="G1366" s="25">
        <f t="shared" si="38"/>
        <v>3.9734457527742517E-3</v>
      </c>
      <c r="I1366" s="78">
        <v>402.41709766847998</v>
      </c>
      <c r="J1366" s="78">
        <v>403.50555195119995</v>
      </c>
      <c r="K1366" s="78">
        <v>398.60750767896002</v>
      </c>
      <c r="L1366" s="78">
        <v>400.53173935733997</v>
      </c>
      <c r="M1366" s="78">
        <v>761043.410964365</v>
      </c>
      <c r="N1366" s="78" t="s">
        <v>1357</v>
      </c>
      <c r="O1366" s="25">
        <f t="shared" si="39"/>
        <v>4.7071383510457476E-3</v>
      </c>
    </row>
    <row r="1367" spans="1:15">
      <c r="A1367" s="77">
        <v>384.31005210420113</v>
      </c>
      <c r="B1367" s="77">
        <v>384.57175455711507</v>
      </c>
      <c r="C1367" s="77">
        <v>380.89857370014369</v>
      </c>
      <c r="D1367" s="77">
        <v>381.52479028390218</v>
      </c>
      <c r="E1367" s="77">
        <v>3640575.7355018337</v>
      </c>
      <c r="F1367" s="77" t="s">
        <v>1358</v>
      </c>
      <c r="G1367" s="25">
        <f t="shared" si="38"/>
        <v>7.3003429691327337E-3</v>
      </c>
      <c r="I1367" s="78">
        <v>398.96708632592998</v>
      </c>
      <c r="J1367" s="78">
        <v>399.07398808583997</v>
      </c>
      <c r="K1367" s="78">
        <v>392.64044580761998</v>
      </c>
      <c r="L1367" s="78">
        <v>397.480180029</v>
      </c>
      <c r="M1367" s="78">
        <v>550110.30734676332</v>
      </c>
      <c r="N1367" s="78" t="s">
        <v>1358</v>
      </c>
      <c r="O1367" s="25">
        <f t="shared" si="39"/>
        <v>3.7408312958435719E-3</v>
      </c>
    </row>
    <row r="1368" spans="1:15">
      <c r="A1368" s="77">
        <v>383.14173758226366</v>
      </c>
      <c r="B1368" s="77">
        <v>383.45017261605511</v>
      </c>
      <c r="C1368" s="77">
        <v>381.59488915521843</v>
      </c>
      <c r="D1368" s="77">
        <v>382.19773944853819</v>
      </c>
      <c r="E1368" s="77">
        <v>3746442.9892914081</v>
      </c>
      <c r="F1368" s="77" t="s">
        <v>1359</v>
      </c>
      <c r="G1368" s="25">
        <f t="shared" si="38"/>
        <v>2.4699207668981149E-3</v>
      </c>
      <c r="I1368" s="78">
        <v>398.38398581732997</v>
      </c>
      <c r="J1368" s="78">
        <v>400.29849915389997</v>
      </c>
      <c r="K1368" s="78">
        <v>396.64926180424499</v>
      </c>
      <c r="L1368" s="78">
        <v>400.07497729226998</v>
      </c>
      <c r="M1368" s="78">
        <v>681478.39718759595</v>
      </c>
      <c r="N1368" s="78" t="s">
        <v>1359</v>
      </c>
      <c r="O1368" s="25">
        <f t="shared" si="39"/>
        <v>-4.2266864235916968E-3</v>
      </c>
    </row>
    <row r="1369" spans="1:15">
      <c r="A1369" s="77">
        <v>380.17889195463022</v>
      </c>
      <c r="B1369" s="77">
        <v>380.3564757619647</v>
      </c>
      <c r="C1369" s="77">
        <v>376.87022522850327</v>
      </c>
      <c r="D1369" s="77">
        <v>377.31885800492722</v>
      </c>
      <c r="E1369" s="77">
        <v>4053264.2632455663</v>
      </c>
      <c r="F1369" s="77" t="s">
        <v>1360</v>
      </c>
      <c r="G1369" s="25">
        <f t="shared" si="38"/>
        <v>7.5798860540006174E-3</v>
      </c>
      <c r="I1369" s="78">
        <v>396.60552926610001</v>
      </c>
      <c r="J1369" s="78">
        <v>400.42483759742998</v>
      </c>
      <c r="K1369" s="78">
        <v>395.53651166700001</v>
      </c>
      <c r="L1369" s="78">
        <v>397.84947701777998</v>
      </c>
      <c r="M1369" s="78">
        <v>975624.25621249073</v>
      </c>
      <c r="N1369" s="78" t="s">
        <v>1360</v>
      </c>
      <c r="O1369" s="25">
        <f t="shared" si="39"/>
        <v>-3.1266793688015104E-3</v>
      </c>
    </row>
    <row r="1370" spans="1:15">
      <c r="A1370" s="77">
        <v>373.89803308469436</v>
      </c>
      <c r="B1370" s="77">
        <v>374.68314044343629</v>
      </c>
      <c r="C1370" s="77">
        <v>370.82302926295489</v>
      </c>
      <c r="D1370" s="77">
        <v>373.52417243767434</v>
      </c>
      <c r="E1370" s="77">
        <v>6946291.9424657375</v>
      </c>
      <c r="F1370" s="77" t="s">
        <v>1361</v>
      </c>
      <c r="G1370" s="25">
        <f t="shared" si="38"/>
        <v>1.0009008107296768E-3</v>
      </c>
      <c r="I1370" s="78">
        <v>393.72890009033995</v>
      </c>
      <c r="J1370" s="78">
        <v>396.75130439325</v>
      </c>
      <c r="K1370" s="78">
        <v>391.86297846282002</v>
      </c>
      <c r="L1370" s="78">
        <v>394.03988702825995</v>
      </c>
      <c r="M1370" s="78">
        <v>700125.6112435502</v>
      </c>
      <c r="N1370" s="78" t="s">
        <v>1361</v>
      </c>
      <c r="O1370" s="25">
        <f t="shared" si="39"/>
        <v>-7.892270507572352E-4</v>
      </c>
    </row>
    <row r="1371" spans="1:15">
      <c r="A1371" s="77">
        <v>372.70167901423036</v>
      </c>
      <c r="B1371" s="77">
        <v>374.72052650813833</v>
      </c>
      <c r="C1371" s="77">
        <v>371.86983907461087</v>
      </c>
      <c r="D1371" s="77">
        <v>374.37470540964483</v>
      </c>
      <c r="E1371" s="77">
        <v>6634840.0661366051</v>
      </c>
      <c r="F1371" s="77" t="s">
        <v>1362</v>
      </c>
      <c r="G1371" s="25">
        <f t="shared" si="38"/>
        <v>-4.4688553239295992E-3</v>
      </c>
      <c r="I1371" s="78">
        <v>393.00974279639996</v>
      </c>
      <c r="J1371" s="78">
        <v>400.48314764828996</v>
      </c>
      <c r="K1371" s="78">
        <v>388.83085581810002</v>
      </c>
      <c r="L1371" s="78">
        <v>397.93694209406999</v>
      </c>
      <c r="M1371" s="78">
        <v>672636.35379377543</v>
      </c>
      <c r="N1371" s="78" t="s">
        <v>1362</v>
      </c>
      <c r="O1371" s="25">
        <f t="shared" si="39"/>
        <v>-1.238185947688486E-2</v>
      </c>
    </row>
    <row r="1372" spans="1:15">
      <c r="A1372" s="77">
        <v>373.44940030827036</v>
      </c>
      <c r="B1372" s="77">
        <v>378.29089568717927</v>
      </c>
      <c r="C1372" s="77">
        <v>373.44940030827036</v>
      </c>
      <c r="D1372" s="77">
        <v>375.64583160951281</v>
      </c>
      <c r="E1372" s="77">
        <v>3954063.6645850264</v>
      </c>
      <c r="F1372" s="77" t="s">
        <v>1363</v>
      </c>
      <c r="G1372" s="25">
        <f t="shared" si="38"/>
        <v>-5.8470801920827986E-3</v>
      </c>
      <c r="I1372" s="78">
        <v>392.97086942916002</v>
      </c>
      <c r="J1372" s="78">
        <v>403.50555195119995</v>
      </c>
      <c r="K1372" s="78">
        <v>392.69875585847996</v>
      </c>
      <c r="L1372" s="78">
        <v>398.45201420999996</v>
      </c>
      <c r="M1372" s="78">
        <v>835813.36804205284</v>
      </c>
      <c r="N1372" s="78" t="s">
        <v>1363</v>
      </c>
      <c r="O1372" s="25">
        <f t="shared" si="39"/>
        <v>-1.3756097560975511E-2</v>
      </c>
    </row>
    <row r="1373" spans="1:15">
      <c r="A1373" s="77">
        <v>376.18792954769179</v>
      </c>
      <c r="B1373" s="77">
        <v>377.96199178296342</v>
      </c>
      <c r="C1373" s="77">
        <v>375.67387115803928</v>
      </c>
      <c r="D1373" s="77">
        <v>377.63663955489426</v>
      </c>
      <c r="E1373" s="77">
        <v>4237856.0370791722</v>
      </c>
      <c r="F1373" s="77" t="s">
        <v>1364</v>
      </c>
      <c r="G1373" s="25">
        <f t="shared" si="38"/>
        <v>-3.8362538362538556E-3</v>
      </c>
      <c r="I1373" s="78">
        <v>398.45201420999996</v>
      </c>
      <c r="J1373" s="78">
        <v>399.98751221597996</v>
      </c>
      <c r="K1373" s="78">
        <v>393.78721014119998</v>
      </c>
      <c r="L1373" s="78">
        <v>393.87467521748999</v>
      </c>
      <c r="M1373" s="78">
        <v>1077526.413942833</v>
      </c>
      <c r="N1373" s="78" t="s">
        <v>1364</v>
      </c>
      <c r="O1373" s="25">
        <f t="shared" si="39"/>
        <v>1.162130819906726E-2</v>
      </c>
    </row>
    <row r="1374" spans="1:15">
      <c r="A1374" s="77">
        <v>376.89826477702979</v>
      </c>
      <c r="B1374" s="77">
        <v>379.51528930616973</v>
      </c>
      <c r="C1374" s="77">
        <v>376.52440413000977</v>
      </c>
      <c r="D1374" s="77">
        <v>376.73002748587078</v>
      </c>
      <c r="E1374" s="77">
        <v>4717474.3157861345</v>
      </c>
      <c r="F1374" s="77" t="s">
        <v>1365</v>
      </c>
      <c r="G1374" s="25">
        <f t="shared" si="38"/>
        <v>4.4657255563551601E-4</v>
      </c>
      <c r="I1374" s="78">
        <v>392.66960083304997</v>
      </c>
      <c r="J1374" s="78">
        <v>394.20023966812499</v>
      </c>
      <c r="K1374" s="78">
        <v>386.19718518758998</v>
      </c>
      <c r="L1374" s="78">
        <v>387.41197791383996</v>
      </c>
      <c r="M1374" s="78">
        <v>1138947.3859224138</v>
      </c>
      <c r="N1374" s="78" t="s">
        <v>1365</v>
      </c>
      <c r="O1374" s="25">
        <f t="shared" si="39"/>
        <v>1.3571141882400273E-2</v>
      </c>
    </row>
    <row r="1375" spans="1:15">
      <c r="A1375" s="77">
        <v>373.68306321265783</v>
      </c>
      <c r="B1375" s="77">
        <v>373.87934005234331</v>
      </c>
      <c r="C1375" s="77">
        <v>367.37416479419545</v>
      </c>
      <c r="D1375" s="77">
        <v>368.86026086609991</v>
      </c>
      <c r="E1375" s="77">
        <v>7050703.038715492</v>
      </c>
      <c r="F1375" s="77" t="s">
        <v>1366</v>
      </c>
      <c r="G1375" s="25">
        <f t="shared" si="38"/>
        <v>1.3074876472824126E-2</v>
      </c>
      <c r="I1375" s="78">
        <v>381.88224142394995</v>
      </c>
      <c r="J1375" s="78">
        <v>383.14562585925</v>
      </c>
      <c r="K1375" s="78">
        <v>370.65755663339996</v>
      </c>
      <c r="L1375" s="78">
        <v>372.77615514797998</v>
      </c>
      <c r="M1375" s="78">
        <v>1067292.1577348802</v>
      </c>
      <c r="N1375" s="78" t="s">
        <v>1366</v>
      </c>
      <c r="O1375" s="25">
        <f t="shared" si="39"/>
        <v>2.4427759528651061E-2</v>
      </c>
    </row>
    <row r="1376" spans="1:15">
      <c r="A1376" s="77">
        <v>372.02872984959441</v>
      </c>
      <c r="B1376" s="77">
        <v>374.19020518034046</v>
      </c>
      <c r="C1376" s="77">
        <v>368.99111209255693</v>
      </c>
      <c r="D1376" s="77">
        <v>369.7107938380704</v>
      </c>
      <c r="E1376" s="77">
        <v>5909414.6913030325</v>
      </c>
      <c r="F1376" s="77" t="s">
        <v>1367</v>
      </c>
      <c r="G1376" s="25">
        <f t="shared" si="38"/>
        <v>6.269592476489283E-3</v>
      </c>
      <c r="I1376" s="78">
        <v>377.05222554438001</v>
      </c>
      <c r="J1376" s="78">
        <v>384.74915225789994</v>
      </c>
      <c r="K1376" s="78">
        <v>370.92967020407997</v>
      </c>
      <c r="L1376" s="78">
        <v>371.24065714199998</v>
      </c>
      <c r="M1376" s="78">
        <v>1170433.2099428391</v>
      </c>
      <c r="N1376" s="78" t="s">
        <v>1367</v>
      </c>
      <c r="O1376" s="25">
        <f t="shared" si="39"/>
        <v>1.565445026178014E-2</v>
      </c>
    </row>
    <row r="1377" spans="1:15">
      <c r="A1377" s="77">
        <v>368.44901415437795</v>
      </c>
      <c r="B1377" s="77">
        <v>372.86991630538932</v>
      </c>
      <c r="C1377" s="77">
        <v>366.34604801489047</v>
      </c>
      <c r="D1377" s="77">
        <v>372.10350197899839</v>
      </c>
      <c r="E1377" s="77">
        <v>9437128.0532538369</v>
      </c>
      <c r="F1377" s="77" t="s">
        <v>1368</v>
      </c>
      <c r="G1377" s="25">
        <f t="shared" si="38"/>
        <v>-9.8211594494123089E-3</v>
      </c>
      <c r="I1377" s="78">
        <v>369.18036867827999</v>
      </c>
      <c r="J1377" s="78">
        <v>382.65970876874997</v>
      </c>
      <c r="K1377" s="78">
        <v>367.83923750849999</v>
      </c>
      <c r="L1377" s="78">
        <v>382.65970876874997</v>
      </c>
      <c r="M1377" s="78">
        <v>1304503.406841995</v>
      </c>
      <c r="N1377" s="78" t="s">
        <v>1368</v>
      </c>
      <c r="O1377" s="25">
        <f t="shared" si="39"/>
        <v>-3.5225396825396715E-2</v>
      </c>
    </row>
    <row r="1378" spans="1:15">
      <c r="A1378" s="77">
        <v>373.03815359654834</v>
      </c>
      <c r="B1378" s="77">
        <v>374.65510089490982</v>
      </c>
      <c r="C1378" s="77">
        <v>367.10311582510593</v>
      </c>
      <c r="D1378" s="77">
        <v>370.33345874568221</v>
      </c>
      <c r="E1378" s="77">
        <v>9075248.8314678501</v>
      </c>
      <c r="F1378" s="77" t="s">
        <v>1369</v>
      </c>
      <c r="G1378" s="25">
        <f t="shared" si="38"/>
        <v>7.3034039647050797E-3</v>
      </c>
      <c r="I1378" s="78">
        <v>383.71900802603994</v>
      </c>
      <c r="J1378" s="78">
        <v>392.57241741495</v>
      </c>
      <c r="K1378" s="78">
        <v>380.30787005072995</v>
      </c>
      <c r="L1378" s="78">
        <v>392.05734529902003</v>
      </c>
      <c r="M1378" s="78">
        <v>1148602.3251944047</v>
      </c>
      <c r="N1378" s="78" t="s">
        <v>1369</v>
      </c>
      <c r="O1378" s="25">
        <f t="shared" si="39"/>
        <v>-2.1268157255465936E-2</v>
      </c>
    </row>
    <row r="1379" spans="1:15">
      <c r="A1379" s="77">
        <v>368.62659796171243</v>
      </c>
      <c r="B1379" s="77">
        <v>375.28131747866831</v>
      </c>
      <c r="C1379" s="77">
        <v>368.57051886465939</v>
      </c>
      <c r="D1379" s="77">
        <v>374.65510089490982</v>
      </c>
      <c r="E1379" s="77">
        <v>10176149.938018363</v>
      </c>
      <c r="F1379" s="77" t="s">
        <v>1370</v>
      </c>
      <c r="G1379" s="25">
        <f t="shared" si="38"/>
        <v>-1.6090807035050503E-2</v>
      </c>
      <c r="I1379" s="78">
        <v>394.18566215541</v>
      </c>
      <c r="J1379" s="78">
        <v>405.57555875672995</v>
      </c>
      <c r="K1379" s="78">
        <v>393.69974506491002</v>
      </c>
      <c r="L1379" s="78">
        <v>401.63963032367997</v>
      </c>
      <c r="M1379" s="78">
        <v>941517.61472155922</v>
      </c>
      <c r="N1379" s="78" t="s">
        <v>1370</v>
      </c>
      <c r="O1379" s="25">
        <f t="shared" si="39"/>
        <v>-1.8558846302748622E-2</v>
      </c>
    </row>
    <row r="1380" spans="1:15">
      <c r="A1380" s="77">
        <v>373.35593514651532</v>
      </c>
      <c r="B1380" s="77">
        <v>375.53367341540684</v>
      </c>
      <c r="C1380" s="77">
        <v>372.79514417598534</v>
      </c>
      <c r="D1380" s="77">
        <v>373.95411218174735</v>
      </c>
      <c r="E1380" s="77">
        <v>5054467.2595587457</v>
      </c>
      <c r="F1380" s="77" t="s">
        <v>1371</v>
      </c>
      <c r="G1380" s="25">
        <f t="shared" si="38"/>
        <v>-1.5996000999750626E-3</v>
      </c>
      <c r="I1380" s="78">
        <v>400.01666724141</v>
      </c>
      <c r="J1380" s="78">
        <v>404.64259794296999</v>
      </c>
      <c r="K1380" s="78">
        <v>398.37426747552001</v>
      </c>
      <c r="L1380" s="78">
        <v>401.36751675299996</v>
      </c>
      <c r="M1380" s="78">
        <v>771469.05784743128</v>
      </c>
      <c r="N1380" s="78" t="s">
        <v>1371</v>
      </c>
      <c r="O1380" s="25">
        <f t="shared" si="39"/>
        <v>-3.3656174334139033E-3</v>
      </c>
    </row>
    <row r="1381" spans="1:15">
      <c r="A1381" s="77">
        <v>372.76860005155572</v>
      </c>
      <c r="B1381" s="77">
        <v>378.10664193263591</v>
      </c>
      <c r="C1381" s="77">
        <v>372.01400774375907</v>
      </c>
      <c r="D1381" s="77">
        <v>377.80853139128413</v>
      </c>
      <c r="E1381" s="77">
        <v>8838932.2566447444</v>
      </c>
      <c r="F1381" s="77" t="s">
        <v>1372</v>
      </c>
      <c r="G1381" s="25">
        <f t="shared" si="38"/>
        <v>-1.3339908765873543E-2</v>
      </c>
      <c r="I1381" s="78">
        <v>398.64638104619996</v>
      </c>
      <c r="J1381" s="78">
        <v>406.629998843115</v>
      </c>
      <c r="K1381" s="78">
        <v>397.33440490185001</v>
      </c>
      <c r="L1381" s="78">
        <v>406.26556102524</v>
      </c>
      <c r="M1381" s="78">
        <v>1196747.3698067018</v>
      </c>
      <c r="N1381" s="78" t="s">
        <v>1372</v>
      </c>
      <c r="O1381" s="25">
        <f t="shared" si="39"/>
        <v>-1.8754186202277423E-2</v>
      </c>
    </row>
    <row r="1382" spans="1:15">
      <c r="A1382" s="77">
        <v>380.37041885602594</v>
      </c>
      <c r="B1382" s="77">
        <v>381.55354506701576</v>
      </c>
      <c r="C1382" s="77">
        <v>379.70898609240163</v>
      </c>
      <c r="D1382" s="77">
        <v>380.48295558538621</v>
      </c>
      <c r="E1382" s="77">
        <v>3807017.3394532865</v>
      </c>
      <c r="F1382" s="77" t="s">
        <v>1373</v>
      </c>
      <c r="G1382" s="25">
        <f t="shared" si="38"/>
        <v>-2.9577337882880084E-4</v>
      </c>
      <c r="I1382" s="78">
        <v>413.59319074997995</v>
      </c>
      <c r="J1382" s="78">
        <v>418.96743377091002</v>
      </c>
      <c r="K1382" s="78">
        <v>406.75147811573999</v>
      </c>
      <c r="L1382" s="78">
        <v>417.91785285542994</v>
      </c>
      <c r="M1382" s="78">
        <v>885041.93083120219</v>
      </c>
      <c r="N1382" s="78" t="s">
        <v>1373</v>
      </c>
      <c r="O1382" s="25">
        <f t="shared" si="39"/>
        <v>-1.0348115247773348E-2</v>
      </c>
    </row>
    <row r="1383" spans="1:15">
      <c r="A1383" s="77">
        <v>381.45106956842608</v>
      </c>
      <c r="B1383" s="77">
        <v>382.07523851438134</v>
      </c>
      <c r="C1383" s="77">
        <v>379.11276500969814</v>
      </c>
      <c r="D1383" s="77">
        <v>379.3177160068775</v>
      </c>
      <c r="E1383" s="77">
        <v>3668639.6765469532</v>
      </c>
      <c r="F1383" s="77" t="s">
        <v>1374</v>
      </c>
      <c r="G1383" s="25">
        <f t="shared" si="38"/>
        <v>5.624186457744873E-3</v>
      </c>
      <c r="I1383" s="78">
        <v>420.62927022041998</v>
      </c>
      <c r="J1383" s="78">
        <v>424.64294538794996</v>
      </c>
      <c r="K1383" s="78">
        <v>415.07037870509998</v>
      </c>
      <c r="L1383" s="78">
        <v>419.13264558167998</v>
      </c>
      <c r="M1383" s="78">
        <v>835481.00681591488</v>
      </c>
      <c r="N1383" s="78" t="s">
        <v>1374</v>
      </c>
      <c r="O1383" s="25">
        <f t="shared" si="39"/>
        <v>3.5707660916342032E-3</v>
      </c>
    </row>
    <row r="1384" spans="1:15">
      <c r="A1384" s="77">
        <v>380.81758466805354</v>
      </c>
      <c r="B1384" s="77">
        <v>382.252241648309</v>
      </c>
      <c r="C1384" s="77">
        <v>377.73400375594622</v>
      </c>
      <c r="D1384" s="77">
        <v>377.95758666196002</v>
      </c>
      <c r="E1384" s="77">
        <v>4398951.3220620211</v>
      </c>
      <c r="F1384" s="77" t="s">
        <v>1375</v>
      </c>
      <c r="G1384" s="25">
        <f t="shared" si="38"/>
        <v>7.5669813413521414E-3</v>
      </c>
      <c r="I1384" s="78">
        <v>420.99856720919996</v>
      </c>
      <c r="J1384" s="78">
        <v>424.36597264636498</v>
      </c>
      <c r="K1384" s="78">
        <v>419.13264558167998</v>
      </c>
      <c r="L1384" s="78">
        <v>423.77801296685999</v>
      </c>
      <c r="M1384" s="78">
        <v>1081323.3579813757</v>
      </c>
      <c r="N1384" s="78" t="s">
        <v>1375</v>
      </c>
      <c r="O1384" s="25">
        <f t="shared" si="39"/>
        <v>-6.5587304499381549E-3</v>
      </c>
    </row>
    <row r="1385" spans="1:15">
      <c r="A1385" s="77">
        <v>376.27139891243905</v>
      </c>
      <c r="B1385" s="77">
        <v>378.08801002380142</v>
      </c>
      <c r="C1385" s="77">
        <v>373.81198694628694</v>
      </c>
      <c r="D1385" s="77">
        <v>374.65973879825606</v>
      </c>
      <c r="E1385" s="77">
        <v>6445687.3993348358</v>
      </c>
      <c r="F1385" s="77" t="s">
        <v>1376</v>
      </c>
      <c r="G1385" s="25">
        <f t="shared" si="38"/>
        <v>4.3016634756445349E-3</v>
      </c>
      <c r="I1385" s="78">
        <v>422.34941672078997</v>
      </c>
      <c r="J1385" s="78">
        <v>424.39026850088999</v>
      </c>
      <c r="K1385" s="78">
        <v>419.22982899977995</v>
      </c>
      <c r="L1385" s="78">
        <v>424.39026850088999</v>
      </c>
      <c r="M1385" s="78">
        <v>1053268.1603632544</v>
      </c>
      <c r="N1385" s="78" t="s">
        <v>1376</v>
      </c>
      <c r="O1385" s="25">
        <f t="shared" si="39"/>
        <v>-4.8089033410428916E-3</v>
      </c>
    </row>
    <row r="1386" spans="1:15">
      <c r="A1386" s="77">
        <v>372.67544050738331</v>
      </c>
      <c r="B1386" s="77">
        <v>376.27139891243905</v>
      </c>
      <c r="C1386" s="77">
        <v>372.11648324234875</v>
      </c>
      <c r="D1386" s="77">
        <v>375.116220564701</v>
      </c>
      <c r="E1386" s="77">
        <v>6889389.6562232235</v>
      </c>
      <c r="F1386" s="77" t="s">
        <v>1377</v>
      </c>
      <c r="G1386" s="25">
        <f t="shared" si="38"/>
        <v>-6.5067302438783781E-3</v>
      </c>
      <c r="I1386" s="78">
        <v>422.51462853155999</v>
      </c>
      <c r="J1386" s="78">
        <v>430.07549845974</v>
      </c>
      <c r="K1386" s="78">
        <v>422.38829008802998</v>
      </c>
      <c r="L1386" s="78">
        <v>428.94817080977998</v>
      </c>
      <c r="M1386" s="78">
        <v>789763.3310347622</v>
      </c>
      <c r="N1386" s="78" t="s">
        <v>1377</v>
      </c>
      <c r="O1386" s="25">
        <f t="shared" si="39"/>
        <v>-1.4998414064978038E-2</v>
      </c>
    </row>
    <row r="1387" spans="1:15">
      <c r="A1387" s="77">
        <v>373.03876272965579</v>
      </c>
      <c r="B1387" s="77">
        <v>375.09758865586645</v>
      </c>
      <c r="C1387" s="77">
        <v>368.51120888287574</v>
      </c>
      <c r="D1387" s="77">
        <v>373.67224763002832</v>
      </c>
      <c r="E1387" s="77">
        <v>11746232.870940348</v>
      </c>
      <c r="F1387" s="77" t="s">
        <v>1378</v>
      </c>
      <c r="G1387" s="25">
        <f t="shared" si="38"/>
        <v>-1.6952955548353854E-3</v>
      </c>
      <c r="I1387" s="78">
        <v>425.663371278</v>
      </c>
      <c r="J1387" s="78">
        <v>437.31566310818999</v>
      </c>
      <c r="K1387" s="78">
        <v>420.80420037299996</v>
      </c>
      <c r="L1387" s="78">
        <v>428.25816854126998</v>
      </c>
      <c r="M1387" s="78">
        <v>947035.01687187527</v>
      </c>
      <c r="N1387" s="78" t="s">
        <v>1378</v>
      </c>
      <c r="O1387" s="25">
        <f t="shared" si="39"/>
        <v>-6.0589556811219136E-3</v>
      </c>
    </row>
    <row r="1388" spans="1:15">
      <c r="A1388" s="77">
        <v>379.23387241712226</v>
      </c>
      <c r="B1388" s="77">
        <v>382.68077555150211</v>
      </c>
      <c r="C1388" s="77">
        <v>378.94507783018776</v>
      </c>
      <c r="D1388" s="77">
        <v>382.28018951156071</v>
      </c>
      <c r="E1388" s="77">
        <v>5792315.8039635653</v>
      </c>
      <c r="F1388" s="77" t="s">
        <v>1379</v>
      </c>
      <c r="G1388" s="25">
        <f t="shared" si="38"/>
        <v>-7.9688071158767748E-3</v>
      </c>
      <c r="I1388" s="78">
        <v>434.41959724880996</v>
      </c>
      <c r="J1388" s="78">
        <v>441.13497143951997</v>
      </c>
      <c r="K1388" s="78">
        <v>431.00845927349997</v>
      </c>
      <c r="L1388" s="78">
        <v>432.46621054499997</v>
      </c>
      <c r="M1388" s="78">
        <v>1800777.3694471444</v>
      </c>
      <c r="N1388" s="78" t="s">
        <v>1379</v>
      </c>
      <c r="O1388" s="25">
        <f t="shared" si="39"/>
        <v>4.5168539325841639E-3</v>
      </c>
    </row>
    <row r="1389" spans="1:15">
      <c r="A1389" s="77">
        <v>382.98820204727116</v>
      </c>
      <c r="B1389" s="77">
        <v>383.99432512433339</v>
      </c>
      <c r="C1389" s="77">
        <v>380.30520717510524</v>
      </c>
      <c r="D1389" s="77">
        <v>383.13725731794705</v>
      </c>
      <c r="E1389" s="77">
        <v>3597590.595545128</v>
      </c>
      <c r="F1389" s="77" t="s">
        <v>1380</v>
      </c>
      <c r="G1389" s="25">
        <f t="shared" si="38"/>
        <v>-3.8903883093832636E-4</v>
      </c>
      <c r="I1389" s="78">
        <v>437.24763471552001</v>
      </c>
      <c r="J1389" s="78">
        <v>439.19130307751999</v>
      </c>
      <c r="K1389" s="78">
        <v>432.5633939631</v>
      </c>
      <c r="L1389" s="78">
        <v>437.32538145000001</v>
      </c>
      <c r="M1389" s="78">
        <v>717935.23385035165</v>
      </c>
      <c r="N1389" s="78" t="s">
        <v>1380</v>
      </c>
      <c r="O1389" s="25">
        <f t="shared" si="39"/>
        <v>-1.7777777777783221E-4</v>
      </c>
    </row>
    <row r="1390" spans="1:15">
      <c r="A1390" s="77">
        <v>383.64963481089541</v>
      </c>
      <c r="B1390" s="77">
        <v>384.05748729528227</v>
      </c>
      <c r="C1390" s="77">
        <v>379.81146159099131</v>
      </c>
      <c r="D1390" s="77">
        <v>380.82690062247082</v>
      </c>
      <c r="E1390" s="77">
        <v>4177120.0520232804</v>
      </c>
      <c r="F1390" s="77" t="s">
        <v>1381</v>
      </c>
      <c r="G1390" s="25">
        <f t="shared" si="38"/>
        <v>7.412118691748848E-3</v>
      </c>
      <c r="I1390" s="78">
        <v>437.20876134828001</v>
      </c>
      <c r="J1390" s="78">
        <v>439.46302791452757</v>
      </c>
      <c r="K1390" s="78">
        <v>434.62465426100101</v>
      </c>
      <c r="L1390" s="78">
        <v>436.91721109397997</v>
      </c>
      <c r="M1390" s="78">
        <v>1107534.6196328118</v>
      </c>
      <c r="N1390" s="78" t="s">
        <v>1381</v>
      </c>
      <c r="O1390" s="25">
        <f t="shared" si="39"/>
        <v>6.6728947017224982E-4</v>
      </c>
    </row>
    <row r="1391" spans="1:15">
      <c r="A1391" s="77">
        <v>380.47289435461562</v>
      </c>
      <c r="B1391" s="77">
        <v>383.98500916991617</v>
      </c>
      <c r="C1391" s="77">
        <v>379.61582654822928</v>
      </c>
      <c r="D1391" s="77">
        <v>383.83595389924022</v>
      </c>
      <c r="E1391" s="77">
        <v>3926239.6918023131</v>
      </c>
      <c r="F1391" s="77" t="s">
        <v>1382</v>
      </c>
      <c r="G1391" s="25">
        <f t="shared" si="38"/>
        <v>-8.7617105965728248E-3</v>
      </c>
      <c r="I1391" s="78">
        <v>436.20777214185</v>
      </c>
      <c r="J1391" s="78">
        <v>443.04948477608997</v>
      </c>
      <c r="K1391" s="78">
        <v>434.79861257939996</v>
      </c>
      <c r="L1391" s="78">
        <v>440.70736439988002</v>
      </c>
      <c r="M1391" s="78">
        <v>708414.06225451548</v>
      </c>
      <c r="N1391" s="78" t="s">
        <v>1382</v>
      </c>
      <c r="O1391" s="25">
        <f t="shared" si="39"/>
        <v>-1.0209932080797457E-2</v>
      </c>
    </row>
    <row r="1392" spans="1:15">
      <c r="A1392" s="77">
        <v>382.45719264548836</v>
      </c>
      <c r="B1392" s="77">
        <v>384.47875475402998</v>
      </c>
      <c r="C1392" s="77">
        <v>380.37973481044315</v>
      </c>
      <c r="D1392" s="77">
        <v>384.30175162010238</v>
      </c>
      <c r="E1392" s="77">
        <v>5086263.615920906</v>
      </c>
      <c r="F1392" s="77" t="s">
        <v>1383</v>
      </c>
      <c r="G1392" s="25">
        <f t="shared" si="38"/>
        <v>-4.7997672840103256E-3</v>
      </c>
      <c r="I1392" s="78">
        <v>440.07567218222999</v>
      </c>
      <c r="J1392" s="78">
        <v>448.09330417547994</v>
      </c>
      <c r="K1392" s="78">
        <v>434.55273853160696</v>
      </c>
      <c r="L1392" s="78">
        <v>447.83090894661001</v>
      </c>
      <c r="M1392" s="78">
        <v>851022.75282083335</v>
      </c>
      <c r="N1392" s="78" t="s">
        <v>1383</v>
      </c>
      <c r="O1392" s="25">
        <f t="shared" si="39"/>
        <v>-1.7317332523165807E-2</v>
      </c>
    </row>
    <row r="1393" spans="1:15">
      <c r="A1393" s="77">
        <v>381.56286102143298</v>
      </c>
      <c r="B1393" s="77">
        <v>386.70526785975107</v>
      </c>
      <c r="C1393" s="77">
        <v>381.40914777354851</v>
      </c>
      <c r="D1393" s="77">
        <v>386.32331372864411</v>
      </c>
      <c r="E1393" s="77">
        <v>4331825.617921331</v>
      </c>
      <c r="F1393" s="77" t="s">
        <v>1384</v>
      </c>
      <c r="G1393" s="25">
        <f t="shared" si="38"/>
        <v>-1.2322457739516346E-2</v>
      </c>
      <c r="I1393" s="78">
        <v>445.30414007600996</v>
      </c>
      <c r="J1393" s="78">
        <v>452.47627633178996</v>
      </c>
      <c r="K1393" s="78">
        <v>444.88625137817996</v>
      </c>
      <c r="L1393" s="78">
        <v>448.54034789873998</v>
      </c>
      <c r="M1393" s="78">
        <v>457110.90295557328</v>
      </c>
      <c r="N1393" s="78" t="s">
        <v>1384</v>
      </c>
      <c r="O1393" s="25">
        <f t="shared" si="39"/>
        <v>-7.2149759500802491E-3</v>
      </c>
    </row>
    <row r="1394" spans="1:15">
      <c r="A1394" s="77">
        <v>384.53465048053346</v>
      </c>
      <c r="B1394" s="77">
        <v>387.60891543822362</v>
      </c>
      <c r="C1394" s="77">
        <v>384.34833139218864</v>
      </c>
      <c r="D1394" s="77">
        <v>385.99725532404057</v>
      </c>
      <c r="E1394" s="77">
        <v>4173301.8710396807</v>
      </c>
      <c r="F1394" s="77" t="s">
        <v>1385</v>
      </c>
      <c r="G1394" s="25">
        <f t="shared" si="38"/>
        <v>-3.7891586619683837E-3</v>
      </c>
      <c r="I1394" s="78">
        <v>446.31484762424998</v>
      </c>
      <c r="J1394" s="78">
        <v>456.63572662646999</v>
      </c>
      <c r="K1394" s="78">
        <v>445.99414234452001</v>
      </c>
      <c r="L1394" s="78">
        <v>451.16430018744001</v>
      </c>
      <c r="M1394" s="78">
        <v>502111.37819611229</v>
      </c>
      <c r="N1394" s="78" t="s">
        <v>1385</v>
      </c>
      <c r="O1394" s="25">
        <f t="shared" si="39"/>
        <v>-1.0748750646217498E-2</v>
      </c>
    </row>
    <row r="1395" spans="1:15">
      <c r="A1395" s="77">
        <v>386.26741800214063</v>
      </c>
      <c r="B1395" s="77">
        <v>386.85432313042696</v>
      </c>
      <c r="C1395" s="77">
        <v>384.44437888223035</v>
      </c>
      <c r="D1395" s="77">
        <v>386.17425845796822</v>
      </c>
      <c r="E1395" s="77">
        <v>4307238.765115777</v>
      </c>
      <c r="F1395" s="77" t="s">
        <v>1386</v>
      </c>
      <c r="G1395" s="25">
        <f t="shared" si="38"/>
        <v>2.4123706366241393E-4</v>
      </c>
      <c r="I1395" s="78">
        <v>449.96894414481</v>
      </c>
      <c r="J1395" s="78">
        <v>453.05937684038997</v>
      </c>
      <c r="K1395" s="78">
        <v>444.50723604758997</v>
      </c>
      <c r="L1395" s="78">
        <v>447.71428884489001</v>
      </c>
      <c r="M1395" s="78">
        <v>542637.8391603413</v>
      </c>
      <c r="N1395" s="78" t="s">
        <v>1386</v>
      </c>
      <c r="O1395" s="25">
        <f t="shared" si="39"/>
        <v>5.0359243743081095E-3</v>
      </c>
    </row>
    <row r="1396" spans="1:15">
      <c r="A1396" s="77">
        <v>386.64005617883032</v>
      </c>
      <c r="B1396" s="77">
        <v>387.81386643540299</v>
      </c>
      <c r="C1396" s="77">
        <v>386.0717829593786</v>
      </c>
      <c r="D1396" s="77">
        <v>387.79523452656849</v>
      </c>
      <c r="E1396" s="77">
        <v>3802606.6265880596</v>
      </c>
      <c r="F1396" s="77" t="s">
        <v>1387</v>
      </c>
      <c r="G1396" s="25">
        <f t="shared" si="38"/>
        <v>-2.9788358517309765E-3</v>
      </c>
      <c r="I1396" s="78">
        <v>448.64724965864997</v>
      </c>
      <c r="J1396" s="78">
        <v>452.70951653522997</v>
      </c>
      <c r="K1396" s="78">
        <v>439.47313499000995</v>
      </c>
      <c r="L1396" s="78">
        <v>452.58317809169995</v>
      </c>
      <c r="M1396" s="78">
        <v>730518.65624800452</v>
      </c>
      <c r="N1396" s="78" t="s">
        <v>1387</v>
      </c>
      <c r="O1396" s="25">
        <f t="shared" si="39"/>
        <v>-8.6965857848400052E-3</v>
      </c>
    </row>
    <row r="1397" spans="1:15">
      <c r="A1397" s="77">
        <v>388.07471315908577</v>
      </c>
      <c r="B1397" s="77">
        <v>388.53054280872146</v>
      </c>
      <c r="C1397" s="77">
        <v>386.76116358625455</v>
      </c>
      <c r="D1397" s="77">
        <v>387.15243367177874</v>
      </c>
      <c r="E1397" s="77">
        <v>4018910.8193469141</v>
      </c>
      <c r="F1397" s="77" t="s">
        <v>1388</v>
      </c>
      <c r="G1397" s="25">
        <f t="shared" si="38"/>
        <v>2.3822128110111418E-3</v>
      </c>
      <c r="I1397" s="78">
        <v>453.82712584337997</v>
      </c>
      <c r="J1397" s="78">
        <v>457.8310826691</v>
      </c>
      <c r="K1397" s="78">
        <v>451.90289416499996</v>
      </c>
      <c r="L1397" s="78">
        <v>452.90388337142997</v>
      </c>
      <c r="M1397" s="78">
        <v>532939.68263913121</v>
      </c>
      <c r="N1397" s="78" t="s">
        <v>1388</v>
      </c>
      <c r="O1397" s="25">
        <f t="shared" si="39"/>
        <v>2.0384953758341151E-3</v>
      </c>
    </row>
    <row r="1398" spans="1:15">
      <c r="A1398" s="77">
        <v>388.22376842976166</v>
      </c>
      <c r="B1398" s="77">
        <v>388.88520119338591</v>
      </c>
      <c r="C1398" s="77">
        <v>387.07324805923218</v>
      </c>
      <c r="D1398" s="77">
        <v>388.28898011068236</v>
      </c>
      <c r="E1398" s="77">
        <v>3045230.658008751</v>
      </c>
      <c r="F1398" s="77" t="s">
        <v>1389</v>
      </c>
      <c r="G1398" s="25">
        <f t="shared" si="38"/>
        <v>-1.6794625719773748E-4</v>
      </c>
      <c r="I1398" s="78">
        <v>456.31502134674002</v>
      </c>
      <c r="J1398" s="78">
        <v>457.56868744022995</v>
      </c>
      <c r="K1398" s="78">
        <v>451.65993561975</v>
      </c>
      <c r="L1398" s="78">
        <v>452.04866929214995</v>
      </c>
      <c r="M1398" s="78">
        <v>542676.94048106344</v>
      </c>
      <c r="N1398" s="78" t="s">
        <v>1389</v>
      </c>
      <c r="O1398" s="25">
        <f t="shared" si="39"/>
        <v>9.4378157583576705E-3</v>
      </c>
    </row>
    <row r="1399" spans="1:15">
      <c r="A1399" s="77">
        <v>387.06859008202355</v>
      </c>
      <c r="B1399" s="77">
        <v>388.09334506792021</v>
      </c>
      <c r="C1399" s="77">
        <v>386.76116358625455</v>
      </c>
      <c r="D1399" s="77">
        <v>387.59028352938913</v>
      </c>
      <c r="E1399" s="77">
        <v>3495476.5278507578</v>
      </c>
      <c r="F1399" s="77" t="s">
        <v>1390</v>
      </c>
      <c r="G1399" s="25">
        <f t="shared" si="38"/>
        <v>-1.345992068260915E-3</v>
      </c>
      <c r="I1399" s="78">
        <v>449.97866248661995</v>
      </c>
      <c r="J1399" s="78">
        <v>457.09248869153998</v>
      </c>
      <c r="K1399" s="78">
        <v>442.25258074766998</v>
      </c>
      <c r="L1399" s="78">
        <v>443.69089533555001</v>
      </c>
      <c r="M1399" s="78">
        <v>638853.8416719879</v>
      </c>
      <c r="N1399" s="78" t="s">
        <v>1390</v>
      </c>
      <c r="O1399" s="25">
        <f t="shared" si="39"/>
        <v>1.4171503668820362E-2</v>
      </c>
    </row>
    <row r="1400" spans="1:15">
      <c r="A1400" s="77">
        <v>386.65868808766487</v>
      </c>
      <c r="B1400" s="77">
        <v>387.56233566613741</v>
      </c>
      <c r="C1400" s="77">
        <v>386.22083823005443</v>
      </c>
      <c r="D1400" s="77">
        <v>387.22696130711671</v>
      </c>
      <c r="E1400" s="77">
        <v>6508099.6841055555</v>
      </c>
      <c r="F1400" s="77" t="s">
        <v>1391</v>
      </c>
      <c r="G1400" s="25">
        <f t="shared" si="38"/>
        <v>-1.4675455901458356E-3</v>
      </c>
      <c r="I1400" s="78">
        <v>444.28371418595998</v>
      </c>
      <c r="J1400" s="78">
        <v>446.41203104235001</v>
      </c>
      <c r="K1400" s="78">
        <v>436.04256033107998</v>
      </c>
      <c r="L1400" s="78">
        <v>446.41203104235001</v>
      </c>
      <c r="M1400" s="78">
        <v>1224402.2933784833</v>
      </c>
      <c r="N1400" s="78" t="s">
        <v>1391</v>
      </c>
      <c r="O1400" s="25">
        <f t="shared" si="39"/>
        <v>-4.7676064003483454E-3</v>
      </c>
    </row>
    <row r="1401" spans="1:15">
      <c r="A1401" s="77">
        <v>387.32012085128906</v>
      </c>
      <c r="B1401" s="77">
        <v>388.0653972046685</v>
      </c>
      <c r="C1401" s="77">
        <v>386.04383509612683</v>
      </c>
      <c r="D1401" s="77">
        <v>386.2953658653924</v>
      </c>
      <c r="E1401" s="77">
        <v>3018246.8419936444</v>
      </c>
      <c r="F1401" s="77" t="s">
        <v>1392</v>
      </c>
      <c r="G1401" s="25">
        <f t="shared" si="38"/>
        <v>2.6527757680989694E-3</v>
      </c>
      <c r="I1401" s="78">
        <v>444.12822071699998</v>
      </c>
      <c r="J1401" s="78">
        <v>450.931059984</v>
      </c>
      <c r="K1401" s="78">
        <v>441.26130988304999</v>
      </c>
      <c r="L1401" s="78">
        <v>450.44514289349996</v>
      </c>
      <c r="M1401" s="78">
        <v>1264068.5252868256</v>
      </c>
      <c r="N1401" s="78" t="s">
        <v>1392</v>
      </c>
      <c r="O1401" s="25">
        <f t="shared" si="39"/>
        <v>-1.4023732470334394E-2</v>
      </c>
    </row>
    <row r="1402" spans="1:15">
      <c r="A1402" s="77">
        <v>385.55008951201296</v>
      </c>
      <c r="B1402" s="77">
        <v>385.98793936962335</v>
      </c>
      <c r="C1402" s="77">
        <v>382.90435845751597</v>
      </c>
      <c r="D1402" s="77">
        <v>382.96957013843667</v>
      </c>
      <c r="E1402" s="77">
        <v>4167259.5486453362</v>
      </c>
      <c r="F1402" s="77" t="s">
        <v>1393</v>
      </c>
      <c r="G1402" s="25">
        <f t="shared" si="38"/>
        <v>6.7381838526843207E-3</v>
      </c>
      <c r="I1402" s="78">
        <v>451.49472380897998</v>
      </c>
      <c r="J1402" s="78">
        <v>463.72039780596003</v>
      </c>
      <c r="K1402" s="78">
        <v>450.83387656589997</v>
      </c>
      <c r="L1402" s="78">
        <v>458.42390151950997</v>
      </c>
      <c r="M1402" s="78">
        <v>864102.14460238256</v>
      </c>
      <c r="N1402" s="78" t="s">
        <v>1393</v>
      </c>
      <c r="O1402" s="25">
        <f t="shared" si="39"/>
        <v>-1.5115219096478727E-2</v>
      </c>
    </row>
    <row r="1403" spans="1:15">
      <c r="A1403" s="77">
        <v>382.15908210413659</v>
      </c>
      <c r="B1403" s="77">
        <v>384.43217498194383</v>
      </c>
      <c r="C1403" s="77">
        <v>382.14045019530204</v>
      </c>
      <c r="D1403" s="77">
        <v>384.19927612151275</v>
      </c>
      <c r="E1403" s="77">
        <v>5053224.596383593</v>
      </c>
      <c r="F1403" s="77" t="s">
        <v>1394</v>
      </c>
      <c r="G1403" s="25">
        <f t="shared" si="38"/>
        <v>-5.3102495089837332E-3</v>
      </c>
      <c r="I1403" s="78">
        <v>457.59784246565999</v>
      </c>
      <c r="J1403" s="78">
        <v>472.40859538410001</v>
      </c>
      <c r="K1403" s="78">
        <v>452.42768462274</v>
      </c>
      <c r="L1403" s="78">
        <v>470.73704059277998</v>
      </c>
      <c r="M1403" s="78">
        <v>750942.92243256676</v>
      </c>
      <c r="N1403" s="78" t="s">
        <v>1394</v>
      </c>
      <c r="O1403" s="25">
        <f t="shared" si="39"/>
        <v>-2.7911969940955461E-2</v>
      </c>
    </row>
    <row r="1404" spans="1:15">
      <c r="A1404" s="77">
        <v>384.40422711869206</v>
      </c>
      <c r="B1404" s="77">
        <v>384.94455247489213</v>
      </c>
      <c r="C1404" s="77">
        <v>383.50989549463679</v>
      </c>
      <c r="D1404" s="77">
        <v>383.87321771690927</v>
      </c>
      <c r="E1404" s="77">
        <v>3500888.748407213</v>
      </c>
      <c r="F1404" s="77" t="s">
        <v>1395</v>
      </c>
      <c r="G1404" s="25">
        <f t="shared" ref="G1404:G1467" si="40">A1404/D1404-1</f>
        <v>1.3832936950928243E-3</v>
      </c>
      <c r="I1404" s="78">
        <v>473.74000821206999</v>
      </c>
      <c r="J1404" s="78">
        <v>474.80902581116999</v>
      </c>
      <c r="K1404" s="78">
        <v>462.93321211935</v>
      </c>
      <c r="L1404" s="78">
        <v>466.15970160027001</v>
      </c>
      <c r="M1404" s="78">
        <v>494915.70620111789</v>
      </c>
      <c r="N1404" s="78" t="s">
        <v>1395</v>
      </c>
      <c r="O1404" s="25">
        <f t="shared" ref="O1404:O1467" si="41">I1404/L1404-1</f>
        <v>1.6261179560948191E-2</v>
      </c>
    </row>
    <row r="1405" spans="1:15">
      <c r="A1405" s="77">
        <v>383.69621458298161</v>
      </c>
      <c r="B1405" s="77">
        <v>384.15269634942655</v>
      </c>
      <c r="C1405" s="77">
        <v>383.21178495328502</v>
      </c>
      <c r="D1405" s="77">
        <v>383.72416244623332</v>
      </c>
      <c r="E1405" s="77">
        <v>3227245.2884004097</v>
      </c>
      <c r="F1405" s="77" t="s">
        <v>1396</v>
      </c>
      <c r="G1405" s="25">
        <f t="shared" si="40"/>
        <v>-7.2833211944622889E-5</v>
      </c>
      <c r="I1405" s="78">
        <v>466.15970160027001</v>
      </c>
      <c r="J1405" s="78">
        <v>467.74379131529997</v>
      </c>
      <c r="K1405" s="78">
        <v>457.73389925099997</v>
      </c>
      <c r="L1405" s="78">
        <v>460.35785153969999</v>
      </c>
      <c r="M1405" s="78">
        <v>1450602.4047738244</v>
      </c>
      <c r="N1405" s="78" t="s">
        <v>1396</v>
      </c>
      <c r="O1405" s="25">
        <f t="shared" si="41"/>
        <v>1.2602913236225533E-2</v>
      </c>
    </row>
    <row r="1406" spans="1:15">
      <c r="A1406" s="77">
        <v>383.09067754586084</v>
      </c>
      <c r="B1406" s="77">
        <v>383.8918496257437</v>
      </c>
      <c r="C1406" s="77">
        <v>381.23680261682955</v>
      </c>
      <c r="D1406" s="77">
        <v>381.25543452566399</v>
      </c>
      <c r="E1406" s="77">
        <v>3498726.8657811321</v>
      </c>
      <c r="F1406" s="77" t="s">
        <v>1397</v>
      </c>
      <c r="G1406" s="25">
        <f t="shared" si="40"/>
        <v>4.8136835675016698E-3</v>
      </c>
      <c r="I1406" s="78">
        <v>464.85744379772996</v>
      </c>
      <c r="J1406" s="78">
        <v>478.42852503488638</v>
      </c>
      <c r="K1406" s="78">
        <v>463.23933988636503</v>
      </c>
      <c r="L1406" s="78">
        <v>475.32409792710001</v>
      </c>
      <c r="M1406" s="78">
        <v>1145402.1907879366</v>
      </c>
      <c r="N1406" s="78" t="s">
        <v>1397</v>
      </c>
      <c r="O1406" s="25">
        <f t="shared" si="41"/>
        <v>-2.2020036802290033E-2</v>
      </c>
    </row>
    <row r="1407" spans="1:15">
      <c r="A1407" s="77">
        <v>379.72761800123618</v>
      </c>
      <c r="B1407" s="77">
        <v>380.01641258817074</v>
      </c>
      <c r="C1407" s="77">
        <v>376.60677327145982</v>
      </c>
      <c r="D1407" s="77">
        <v>376.998043356984</v>
      </c>
      <c r="E1407" s="77">
        <v>3503206.2779949536</v>
      </c>
      <c r="F1407" s="77" t="s">
        <v>1398</v>
      </c>
      <c r="G1407" s="25">
        <f t="shared" si="40"/>
        <v>7.2402886231097696E-3</v>
      </c>
      <c r="I1407" s="78">
        <v>473.00141423450998</v>
      </c>
      <c r="J1407" s="78">
        <v>475.95569296133192</v>
      </c>
      <c r="K1407" s="78">
        <v>462.46673171246999</v>
      </c>
      <c r="L1407" s="78">
        <v>472.80704739830998</v>
      </c>
      <c r="M1407" s="78">
        <v>1139037.9363493493</v>
      </c>
      <c r="N1407" s="78" t="s">
        <v>1398</v>
      </c>
      <c r="O1407" s="25">
        <f t="shared" si="41"/>
        <v>4.1109124170102262E-4</v>
      </c>
    </row>
    <row r="1408" spans="1:15">
      <c r="A1408" s="77">
        <v>376.74651258771848</v>
      </c>
      <c r="B1408" s="77">
        <v>377.80853139128413</v>
      </c>
      <c r="C1408" s="77">
        <v>373.50549204595967</v>
      </c>
      <c r="D1408" s="77">
        <v>373.65361572119377</v>
      </c>
      <c r="E1408" s="77">
        <v>5909987.0538326083</v>
      </c>
      <c r="F1408" s="77" t="s">
        <v>1399</v>
      </c>
      <c r="G1408" s="25">
        <f t="shared" si="40"/>
        <v>8.2774439651951415E-3</v>
      </c>
      <c r="I1408" s="78">
        <v>457.11192537516001</v>
      </c>
      <c r="J1408" s="78">
        <v>469.03633077602996</v>
      </c>
      <c r="K1408" s="78">
        <v>444.94038254206168</v>
      </c>
      <c r="L1408" s="78">
        <v>467.38421266833001</v>
      </c>
      <c r="M1408" s="78">
        <v>2304267.5836897735</v>
      </c>
      <c r="N1408" s="78" t="s">
        <v>1399</v>
      </c>
      <c r="O1408" s="25">
        <f t="shared" si="41"/>
        <v>-2.1978250473041805E-2</v>
      </c>
    </row>
    <row r="1409" spans="1:15">
      <c r="A1409" s="77">
        <v>376.21550318593557</v>
      </c>
      <c r="B1409" s="77">
        <v>380.78963680480183</v>
      </c>
      <c r="C1409" s="77">
        <v>375.93602455341835</v>
      </c>
      <c r="D1409" s="77">
        <v>379.36429577896371</v>
      </c>
      <c r="E1409" s="77">
        <v>5236475.8150499519</v>
      </c>
      <c r="F1409" s="77" t="s">
        <v>1400</v>
      </c>
      <c r="G1409" s="25">
        <f t="shared" si="40"/>
        <v>-8.3001817199549466E-3</v>
      </c>
      <c r="I1409" s="78">
        <v>496.22825116040997</v>
      </c>
      <c r="J1409" s="78">
        <v>510.20322668319</v>
      </c>
      <c r="K1409" s="78">
        <v>495.93670090610999</v>
      </c>
      <c r="L1409" s="78">
        <v>507.59871107810994</v>
      </c>
      <c r="M1409" s="78">
        <v>504557.2687054933</v>
      </c>
      <c r="N1409" s="78" t="s">
        <v>1400</v>
      </c>
      <c r="O1409" s="25">
        <f t="shared" si="41"/>
        <v>-2.2400490130382256E-2</v>
      </c>
    </row>
    <row r="1410" spans="1:15">
      <c r="A1410" s="77">
        <v>380.30520717510524</v>
      </c>
      <c r="B1410" s="77">
        <v>381.06911543731917</v>
      </c>
      <c r="C1410" s="77">
        <v>377.58494848527033</v>
      </c>
      <c r="D1410" s="77">
        <v>380.47289435461562</v>
      </c>
      <c r="E1410" s="77">
        <v>5567063.5210502865</v>
      </c>
      <c r="F1410" s="77" t="s">
        <v>1401</v>
      </c>
      <c r="G1410" s="25">
        <f t="shared" si="40"/>
        <v>-4.4073357655294298E-4</v>
      </c>
      <c r="I1410" s="78">
        <v>508.16237490308998</v>
      </c>
      <c r="J1410" s="78">
        <v>510.21294502499995</v>
      </c>
      <c r="K1410" s="78">
        <v>503.00893260808323</v>
      </c>
      <c r="L1410" s="78">
        <v>507.85138796517003</v>
      </c>
      <c r="M1410" s="78">
        <v>377086.96315138147</v>
      </c>
      <c r="N1410" s="78" t="s">
        <v>1401</v>
      </c>
      <c r="O1410" s="25">
        <f t="shared" si="41"/>
        <v>6.12358152974668E-4</v>
      </c>
    </row>
    <row r="1411" spans="1:15">
      <c r="A1411" s="77">
        <v>382.82983082217805</v>
      </c>
      <c r="B1411" s="77">
        <v>382.89504250309875</v>
      </c>
      <c r="C1411" s="77">
        <v>379.29908409804295</v>
      </c>
      <c r="D1411" s="77">
        <v>380.75237298713284</v>
      </c>
      <c r="E1411" s="77">
        <v>3633721.0857691895</v>
      </c>
      <c r="F1411" s="77" t="s">
        <v>1402</v>
      </c>
      <c r="G1411" s="25">
        <f t="shared" si="40"/>
        <v>5.4561914315776061E-3</v>
      </c>
      <c r="I1411" s="78">
        <v>510.05745155604001</v>
      </c>
      <c r="J1411" s="78">
        <v>511.18477920599997</v>
      </c>
      <c r="K1411" s="78">
        <v>501.47615573780996</v>
      </c>
      <c r="L1411" s="78">
        <v>504.52771506614994</v>
      </c>
      <c r="M1411" s="78">
        <v>521321.44547404023</v>
      </c>
      <c r="N1411" s="78" t="s">
        <v>1402</v>
      </c>
      <c r="O1411" s="25">
        <f t="shared" si="41"/>
        <v>1.0960223442165296E-2</v>
      </c>
    </row>
    <row r="1412" spans="1:15">
      <c r="A1412" s="77">
        <v>381.91686728928823</v>
      </c>
      <c r="B1412" s="77">
        <v>381.91686728928823</v>
      </c>
      <c r="C1412" s="77">
        <v>381.19022284474329</v>
      </c>
      <c r="D1412" s="77">
        <v>381.61875674793646</v>
      </c>
      <c r="E1412" s="77">
        <v>2419274.3964359458</v>
      </c>
      <c r="F1412" s="77" t="s">
        <v>1403</v>
      </c>
      <c r="G1412" s="25">
        <f t="shared" si="40"/>
        <v>7.8117371350461262E-4</v>
      </c>
      <c r="I1412" s="78">
        <v>502.74925851492003</v>
      </c>
      <c r="J1412" s="78">
        <v>504.71236356053998</v>
      </c>
      <c r="K1412" s="78">
        <v>495.07176848502002</v>
      </c>
      <c r="L1412" s="78">
        <v>496.22825116040997</v>
      </c>
      <c r="M1412" s="78">
        <v>411918.00805779645</v>
      </c>
      <c r="N1412" s="78" t="s">
        <v>1403</v>
      </c>
      <c r="O1412" s="25">
        <f t="shared" si="41"/>
        <v>1.3141144905113533E-2</v>
      </c>
    </row>
    <row r="1413" spans="1:15">
      <c r="A1413" s="77">
        <v>381.16227498149152</v>
      </c>
      <c r="B1413" s="77">
        <v>381.3299621610019</v>
      </c>
      <c r="C1413" s="77">
        <v>379.13139691853263</v>
      </c>
      <c r="D1413" s="77">
        <v>379.92325304399827</v>
      </c>
      <c r="E1413" s="77">
        <v>2490837.6491249073</v>
      </c>
      <c r="F1413" s="77" t="s">
        <v>1404</v>
      </c>
      <c r="G1413" s="25">
        <f t="shared" si="40"/>
        <v>3.2612427051148529E-3</v>
      </c>
      <c r="I1413" s="78">
        <v>496.22825116040997</v>
      </c>
      <c r="J1413" s="78">
        <v>496.71416825091001</v>
      </c>
      <c r="K1413" s="78">
        <v>487.47688436050498</v>
      </c>
      <c r="L1413" s="78">
        <v>489.31851013349996</v>
      </c>
      <c r="M1413" s="78">
        <v>358483.9953267707</v>
      </c>
      <c r="N1413" s="78" t="s">
        <v>1404</v>
      </c>
      <c r="O1413" s="25">
        <f t="shared" si="41"/>
        <v>1.4121151936444809E-2</v>
      </c>
    </row>
    <row r="1414" spans="1:15">
      <c r="A1414" s="77">
        <v>380.05367640583967</v>
      </c>
      <c r="B1414" s="77">
        <v>380.15615190442935</v>
      </c>
      <c r="C1414" s="77">
        <v>379.07550119202921</v>
      </c>
      <c r="D1414" s="77">
        <v>380.09094022350865</v>
      </c>
      <c r="E1414" s="77">
        <v>3815422.2753828866</v>
      </c>
      <c r="F1414" s="77" t="s">
        <v>1405</v>
      </c>
      <c r="G1414" s="25">
        <f t="shared" si="40"/>
        <v>-9.8039215686296366E-5</v>
      </c>
      <c r="I1414" s="78">
        <v>488.60907118136998</v>
      </c>
      <c r="J1414" s="78">
        <v>497.02515518883001</v>
      </c>
      <c r="K1414" s="78">
        <v>487.17075659349001</v>
      </c>
      <c r="L1414" s="78">
        <v>494.88711999063003</v>
      </c>
      <c r="M1414" s="78">
        <v>466122.72839989769</v>
      </c>
      <c r="N1414" s="78" t="s">
        <v>1405</v>
      </c>
      <c r="O1414" s="25">
        <f t="shared" si="41"/>
        <v>-1.2685819767099482E-2</v>
      </c>
    </row>
    <row r="1415" spans="1:15">
      <c r="A1415" s="77">
        <v>379.1407128729499</v>
      </c>
      <c r="B1415" s="77">
        <v>379.78351372773966</v>
      </c>
      <c r="C1415" s="77">
        <v>378.44201629165667</v>
      </c>
      <c r="D1415" s="77">
        <v>379.07550119202921</v>
      </c>
      <c r="E1415" s="77">
        <v>2577009.174236082</v>
      </c>
      <c r="F1415" s="77" t="s">
        <v>1406</v>
      </c>
      <c r="G1415" s="25">
        <f t="shared" si="40"/>
        <v>1.7202821262696233E-4</v>
      </c>
      <c r="I1415" s="78">
        <v>492.11739257477996</v>
      </c>
      <c r="J1415" s="78">
        <v>497.02515518883001</v>
      </c>
      <c r="K1415" s="78">
        <v>490.42640109983995</v>
      </c>
      <c r="L1415" s="78">
        <v>492.60330966527999</v>
      </c>
      <c r="M1415" s="78">
        <v>562166.89089679183</v>
      </c>
      <c r="N1415" s="78" t="s">
        <v>1406</v>
      </c>
      <c r="O1415" s="25">
        <f t="shared" si="41"/>
        <v>-9.8642676767679571E-4</v>
      </c>
    </row>
    <row r="1416" spans="1:15">
      <c r="A1416" s="77">
        <v>378.66559919767053</v>
      </c>
      <c r="B1416" s="77">
        <v>379.20517927751717</v>
      </c>
      <c r="C1416" s="77">
        <v>377.93895475312553</v>
      </c>
      <c r="D1416" s="77">
        <v>378.92644592135326</v>
      </c>
      <c r="E1416" s="77">
        <v>2130092.0025189393</v>
      </c>
      <c r="F1416" s="77" t="s">
        <v>1407</v>
      </c>
      <c r="G1416" s="25">
        <f t="shared" si="40"/>
        <v>-6.8838352796540825E-4</v>
      </c>
      <c r="I1416" s="78">
        <v>491.89387071314997</v>
      </c>
      <c r="J1416" s="78">
        <v>494.24570943116998</v>
      </c>
      <c r="K1416" s="78">
        <v>479.65847837435996</v>
      </c>
      <c r="L1416" s="78">
        <v>481.72848517988996</v>
      </c>
      <c r="M1416" s="78">
        <v>501466.20640419726</v>
      </c>
      <c r="N1416" s="78" t="s">
        <v>1407</v>
      </c>
      <c r="O1416" s="25">
        <f t="shared" si="41"/>
        <v>2.1101898363896865E-2</v>
      </c>
    </row>
    <row r="1417" spans="1:15">
      <c r="A1417" s="77">
        <v>379.02892141994295</v>
      </c>
      <c r="B1417" s="77">
        <v>379.32703196129472</v>
      </c>
      <c r="C1417" s="77">
        <v>378.38612056515319</v>
      </c>
      <c r="D1417" s="77">
        <v>378.63765133441876</v>
      </c>
      <c r="E1417" s="77">
        <v>2669531.0953829545</v>
      </c>
      <c r="F1417" s="77" t="s">
        <v>1408</v>
      </c>
      <c r="G1417" s="25">
        <f t="shared" si="40"/>
        <v>1.0333628579863863E-3</v>
      </c>
      <c r="I1417" s="78">
        <v>483.23482816043997</v>
      </c>
      <c r="J1417" s="78">
        <v>490.77626140499996</v>
      </c>
      <c r="K1417" s="78">
        <v>477.12208834536813</v>
      </c>
      <c r="L1417" s="78">
        <v>477.23861126366995</v>
      </c>
      <c r="M1417" s="78">
        <v>855899.09910773148</v>
      </c>
      <c r="N1417" s="78" t="s">
        <v>1408</v>
      </c>
      <c r="O1417" s="25">
        <f t="shared" si="41"/>
        <v>1.2564400187345948E-2</v>
      </c>
    </row>
    <row r="1418" spans="1:15">
      <c r="A1418" s="77">
        <v>378.37680461073597</v>
      </c>
      <c r="B1418" s="77">
        <v>378.40475247398768</v>
      </c>
      <c r="C1418" s="77">
        <v>376.71856472446672</v>
      </c>
      <c r="D1418" s="77">
        <v>377.01667526581849</v>
      </c>
      <c r="E1418" s="77">
        <v>3276986.8370647435</v>
      </c>
      <c r="F1418" s="77" t="s">
        <v>1409</v>
      </c>
      <c r="G1418" s="25">
        <f t="shared" si="40"/>
        <v>3.6076105757352206E-3</v>
      </c>
      <c r="I1418" s="78">
        <v>501.15545045807994</v>
      </c>
      <c r="J1418" s="78">
        <v>501.29150724342003</v>
      </c>
      <c r="K1418" s="78">
        <v>490.37780939078993</v>
      </c>
      <c r="L1418" s="78">
        <v>490.37780939078993</v>
      </c>
      <c r="M1418" s="78">
        <v>684954.29880336754</v>
      </c>
      <c r="N1418" s="78" t="s">
        <v>1409</v>
      </c>
      <c r="O1418" s="25">
        <f t="shared" si="41"/>
        <v>2.1978239759012252E-2</v>
      </c>
    </row>
    <row r="1419" spans="1:15">
      <c r="A1419" s="77">
        <v>376.02918409759076</v>
      </c>
      <c r="B1419" s="77">
        <v>377.16573053649438</v>
      </c>
      <c r="C1419" s="77">
        <v>375.74970546507342</v>
      </c>
      <c r="D1419" s="77">
        <v>376.65335304354602</v>
      </c>
      <c r="E1419" s="77">
        <v>4165129.8688389086</v>
      </c>
      <c r="F1419" s="77" t="s">
        <v>1410</v>
      </c>
      <c r="G1419" s="25">
        <f t="shared" si="40"/>
        <v>-1.6571442704854666E-3</v>
      </c>
      <c r="I1419" s="78">
        <v>490.38752773260001</v>
      </c>
      <c r="J1419" s="78">
        <v>491.89387071314997</v>
      </c>
      <c r="K1419" s="78">
        <v>482.50750745937961</v>
      </c>
      <c r="L1419" s="78">
        <v>483.28341986948999</v>
      </c>
      <c r="M1419" s="78">
        <v>924177.20796342322</v>
      </c>
      <c r="N1419" s="78" t="s">
        <v>1410</v>
      </c>
      <c r="O1419" s="25">
        <f t="shared" si="41"/>
        <v>1.4699672223451143E-2</v>
      </c>
    </row>
    <row r="1420" spans="1:15">
      <c r="A1420" s="77">
        <v>377.83647925453585</v>
      </c>
      <c r="B1420" s="77">
        <v>377.91100688987382</v>
      </c>
      <c r="C1420" s="77">
        <v>373.49524449610072</v>
      </c>
      <c r="D1420" s="77">
        <v>375.50749065022512</v>
      </c>
      <c r="E1420" s="77">
        <v>4432855.5240206951</v>
      </c>
      <c r="F1420" s="77" t="s">
        <v>1411</v>
      </c>
      <c r="G1420" s="25">
        <f t="shared" si="40"/>
        <v>6.2022427309715855E-3</v>
      </c>
      <c r="I1420" s="78">
        <v>484.38159249401997</v>
      </c>
      <c r="J1420" s="78">
        <v>485.56723019483996</v>
      </c>
      <c r="K1420" s="78">
        <v>478.64777082611994</v>
      </c>
      <c r="L1420" s="78">
        <v>479.65847837435996</v>
      </c>
      <c r="M1420" s="78">
        <v>616092.75708321691</v>
      </c>
      <c r="N1420" s="78" t="s">
        <v>1411</v>
      </c>
      <c r="O1420" s="25">
        <f t="shared" si="41"/>
        <v>9.8468271334792856E-3</v>
      </c>
    </row>
    <row r="1421" spans="1:15">
      <c r="A1421" s="77">
        <v>374.80879406893195</v>
      </c>
      <c r="B1421" s="77">
        <v>377.63152825735654</v>
      </c>
      <c r="C1421" s="77">
        <v>374.44547184665947</v>
      </c>
      <c r="D1421" s="77">
        <v>377.09120290115641</v>
      </c>
      <c r="E1421" s="77">
        <v>6241695.4179568896</v>
      </c>
      <c r="F1421" s="77" t="s">
        <v>1412</v>
      </c>
      <c r="G1421" s="25">
        <f t="shared" si="40"/>
        <v>-6.0526705864912822E-3</v>
      </c>
      <c r="I1421" s="78">
        <v>479.10453289118999</v>
      </c>
      <c r="J1421" s="78">
        <v>485.87821713275997</v>
      </c>
      <c r="K1421" s="78">
        <v>476.79156754040997</v>
      </c>
      <c r="L1421" s="78">
        <v>484.04145053066998</v>
      </c>
      <c r="M1421" s="78">
        <v>437273.15658184286</v>
      </c>
      <c r="N1421" s="78" t="s">
        <v>1412</v>
      </c>
      <c r="O1421" s="25">
        <f t="shared" si="41"/>
        <v>-1.0199369566526784E-2</v>
      </c>
    </row>
    <row r="1422" spans="1:15">
      <c r="A1422" s="77">
        <v>375.57270233114582</v>
      </c>
      <c r="B1422" s="77">
        <v>376.85830404072533</v>
      </c>
      <c r="C1422" s="77">
        <v>374.9389379521408</v>
      </c>
      <c r="D1422" s="77">
        <v>375.05100888378024</v>
      </c>
      <c r="E1422" s="77">
        <v>5586631.0276991595</v>
      </c>
      <c r="F1422" s="77" t="s">
        <v>1413</v>
      </c>
      <c r="G1422" s="25">
        <f t="shared" si="40"/>
        <v>1.3909933182640888E-3</v>
      </c>
      <c r="I1422" s="78">
        <v>481.78679523074999</v>
      </c>
      <c r="J1422" s="78">
        <v>483.58468846559998</v>
      </c>
      <c r="K1422" s="78">
        <v>475.59621149777996</v>
      </c>
      <c r="L1422" s="78">
        <v>478.90044771317997</v>
      </c>
      <c r="M1422" s="78">
        <v>512288.01140510617</v>
      </c>
      <c r="N1422" s="78" t="s">
        <v>1413</v>
      </c>
      <c r="O1422" s="25">
        <f t="shared" si="41"/>
        <v>6.0270303177889506E-3</v>
      </c>
    </row>
    <row r="1423" spans="1:15">
      <c r="A1423" s="77">
        <v>377.41726130575995</v>
      </c>
      <c r="B1423" s="77">
        <v>378.34885674748421</v>
      </c>
      <c r="C1423" s="77">
        <v>376.69061686121501</v>
      </c>
      <c r="D1423" s="77">
        <v>376.69993281563222</v>
      </c>
      <c r="E1423" s="77">
        <v>2441186.2683556038</v>
      </c>
      <c r="F1423" s="77" t="s">
        <v>1414</v>
      </c>
      <c r="G1423" s="25">
        <f t="shared" si="40"/>
        <v>1.9042437431993076E-3</v>
      </c>
      <c r="I1423" s="78">
        <v>477.78283840502996</v>
      </c>
      <c r="J1423" s="78">
        <v>483.44863168025995</v>
      </c>
      <c r="K1423" s="78">
        <v>472.86535744916995</v>
      </c>
      <c r="L1423" s="78">
        <v>483.44863168025995</v>
      </c>
      <c r="M1423" s="78">
        <v>502268.81246112502</v>
      </c>
      <c r="N1423" s="78" t="s">
        <v>1414</v>
      </c>
      <c r="O1423" s="25">
        <f t="shared" si="41"/>
        <v>-1.1719535239014145E-2</v>
      </c>
    </row>
    <row r="1424" spans="1:15">
      <c r="A1424" s="77">
        <v>375.79628523715968</v>
      </c>
      <c r="B1424" s="77">
        <v>377.07257099232197</v>
      </c>
      <c r="C1424" s="77">
        <v>374.53863139083194</v>
      </c>
      <c r="D1424" s="77">
        <v>376.52292968170462</v>
      </c>
      <c r="E1424" s="77">
        <v>4040090.6138331126</v>
      </c>
      <c r="F1424" s="77" t="s">
        <v>1415</v>
      </c>
      <c r="G1424" s="25">
        <f t="shared" si="40"/>
        <v>-1.9298809906722614E-3</v>
      </c>
      <c r="I1424" s="78">
        <v>478.35622057182002</v>
      </c>
      <c r="J1424" s="78">
        <v>483.71102690913</v>
      </c>
      <c r="K1424" s="78">
        <v>472.70986398021</v>
      </c>
      <c r="L1424" s="78">
        <v>472.70986398021</v>
      </c>
      <c r="M1424" s="78">
        <v>402208.53273321944</v>
      </c>
      <c r="N1424" s="78" t="s">
        <v>1415</v>
      </c>
      <c r="O1424" s="25">
        <f t="shared" si="41"/>
        <v>1.1944655743097332E-2</v>
      </c>
    </row>
    <row r="1425" spans="1:15">
      <c r="A1425" s="77">
        <v>376.00123623433905</v>
      </c>
      <c r="B1425" s="77">
        <v>376.78377640538741</v>
      </c>
      <c r="C1425" s="77">
        <v>373.38345304309377</v>
      </c>
      <c r="D1425" s="77">
        <v>376.78377640538741</v>
      </c>
      <c r="E1425" s="77">
        <v>3892327.975852387</v>
      </c>
      <c r="F1425" s="77" t="s">
        <v>1416</v>
      </c>
      <c r="G1425" s="25">
        <f t="shared" si="40"/>
        <v>-2.076894548151742E-3</v>
      </c>
      <c r="I1425" s="78">
        <v>472.55437051125</v>
      </c>
      <c r="J1425" s="78">
        <v>476.70867008477069</v>
      </c>
      <c r="K1425" s="78">
        <v>467.59801618814998</v>
      </c>
      <c r="L1425" s="78">
        <v>476.54860899516001</v>
      </c>
      <c r="M1425" s="78">
        <v>539065.21322488866</v>
      </c>
      <c r="N1425" s="78" t="s">
        <v>1416</v>
      </c>
      <c r="O1425" s="25">
        <f t="shared" si="41"/>
        <v>-8.3815971938984157E-3</v>
      </c>
    </row>
    <row r="1426" spans="1:15">
      <c r="A1426" s="77">
        <v>377.67810802944274</v>
      </c>
      <c r="B1426" s="77">
        <v>377.68742398386001</v>
      </c>
      <c r="C1426" s="77">
        <v>376.19687127710114</v>
      </c>
      <c r="D1426" s="77">
        <v>376.29003082127355</v>
      </c>
      <c r="E1426" s="77">
        <v>2548671.766368201</v>
      </c>
      <c r="F1426" s="77" t="s">
        <v>1417</v>
      </c>
      <c r="G1426" s="25">
        <f t="shared" si="40"/>
        <v>3.6888492770845716E-3</v>
      </c>
      <c r="I1426" s="78">
        <v>477.66621830330996</v>
      </c>
      <c r="J1426" s="78">
        <v>482.03947211780996</v>
      </c>
      <c r="K1426" s="78">
        <v>472.92366750002998</v>
      </c>
      <c r="L1426" s="78">
        <v>480.82467939155998</v>
      </c>
      <c r="M1426" s="78">
        <v>368161.57220549544</v>
      </c>
      <c r="N1426" s="78" t="s">
        <v>1417</v>
      </c>
      <c r="O1426" s="25">
        <f t="shared" si="41"/>
        <v>-6.5688414584850197E-3</v>
      </c>
    </row>
    <row r="1427" spans="1:15">
      <c r="A1427" s="77">
        <v>376.71856472446672</v>
      </c>
      <c r="B1427" s="77">
        <v>377.0632550379047</v>
      </c>
      <c r="C1427" s="77">
        <v>374.11009748763871</v>
      </c>
      <c r="D1427" s="77">
        <v>374.65973879825606</v>
      </c>
      <c r="E1427" s="77">
        <v>3383388.1734823342</v>
      </c>
      <c r="F1427" s="77" t="s">
        <v>1418</v>
      </c>
      <c r="G1427" s="25">
        <f t="shared" si="40"/>
        <v>5.495188601835066E-3</v>
      </c>
      <c r="I1427" s="78">
        <v>481.55355502730998</v>
      </c>
      <c r="J1427" s="78">
        <v>482.6127571011819</v>
      </c>
      <c r="K1427" s="78">
        <v>471.80605819188003</v>
      </c>
      <c r="L1427" s="78">
        <v>473.37071122328996</v>
      </c>
      <c r="M1427" s="78">
        <v>422217.09013957804</v>
      </c>
      <c r="N1427" s="78" t="s">
        <v>1418</v>
      </c>
      <c r="O1427" s="25">
        <f t="shared" si="41"/>
        <v>1.7286333121189212E-2</v>
      </c>
    </row>
    <row r="1428" spans="1:15">
      <c r="A1428" s="77">
        <v>372.99218295756958</v>
      </c>
      <c r="B1428" s="77">
        <v>373.15987013707996</v>
      </c>
      <c r="C1428" s="77">
        <v>371.42710261547279</v>
      </c>
      <c r="D1428" s="77">
        <v>372.36801401161426</v>
      </c>
      <c r="E1428" s="77">
        <v>2764879.3506680941</v>
      </c>
      <c r="F1428" s="77" t="s">
        <v>1419</v>
      </c>
      <c r="G1428" s="25">
        <f t="shared" si="40"/>
        <v>1.6762152560607646E-3</v>
      </c>
      <c r="I1428" s="78">
        <v>472.81676574011999</v>
      </c>
      <c r="J1428" s="78">
        <v>473.91979753555495</v>
      </c>
      <c r="K1428" s="78">
        <v>467.05378904678997</v>
      </c>
      <c r="L1428" s="78">
        <v>468.64759710363001</v>
      </c>
      <c r="M1428" s="78">
        <v>382704.17656775133</v>
      </c>
      <c r="N1428" s="78" t="s">
        <v>1419</v>
      </c>
      <c r="O1428" s="25">
        <f t="shared" si="41"/>
        <v>8.8961698774443487E-3</v>
      </c>
    </row>
    <row r="1429" spans="1:15">
      <c r="A1429" s="77">
        <v>372.20032683210388</v>
      </c>
      <c r="B1429" s="77">
        <v>372.28417042185913</v>
      </c>
      <c r="C1429" s="77">
        <v>370.09492113380702</v>
      </c>
      <c r="D1429" s="77">
        <v>370.29055617656917</v>
      </c>
      <c r="E1429" s="77">
        <v>3216633.3858972136</v>
      </c>
      <c r="F1429" s="77" t="s">
        <v>1420</v>
      </c>
      <c r="G1429" s="25">
        <f t="shared" si="40"/>
        <v>5.1574922008652546E-3</v>
      </c>
      <c r="I1429" s="78">
        <v>467.30646593385001</v>
      </c>
      <c r="J1429" s="78">
        <v>472.228806060615</v>
      </c>
      <c r="K1429" s="78">
        <v>458.01573116348999</v>
      </c>
      <c r="L1429" s="78">
        <v>470.31915189494998</v>
      </c>
      <c r="M1429" s="78">
        <v>568792.50679494266</v>
      </c>
      <c r="N1429" s="78" t="s">
        <v>1420</v>
      </c>
      <c r="O1429" s="25">
        <f t="shared" si="41"/>
        <v>-6.4056204153321028E-3</v>
      </c>
    </row>
    <row r="1430" spans="1:15">
      <c r="A1430" s="77">
        <v>369.09811401116207</v>
      </c>
      <c r="B1430" s="77">
        <v>370.30918808540366</v>
      </c>
      <c r="C1430" s="77">
        <v>363.33153822688871</v>
      </c>
      <c r="D1430" s="77">
        <v>364.57521814159071</v>
      </c>
      <c r="E1430" s="77">
        <v>4339948.2424653005</v>
      </c>
      <c r="F1430" s="77" t="s">
        <v>1421</v>
      </c>
      <c r="G1430" s="25">
        <f t="shared" si="40"/>
        <v>1.2405933383587309E-2</v>
      </c>
      <c r="I1430" s="78">
        <v>473.52620469224996</v>
      </c>
      <c r="J1430" s="78">
        <v>475.65452154863999</v>
      </c>
      <c r="K1430" s="78">
        <v>455.29945462759497</v>
      </c>
      <c r="L1430" s="78">
        <v>456.74262838637998</v>
      </c>
      <c r="M1430" s="78">
        <v>871713.52537558053</v>
      </c>
      <c r="N1430" s="78" t="s">
        <v>1421</v>
      </c>
      <c r="O1430" s="25">
        <f t="shared" si="41"/>
        <v>3.6746244521043359E-2</v>
      </c>
    </row>
    <row r="1431" spans="1:15">
      <c r="A1431" s="77">
        <v>363.95570717284403</v>
      </c>
      <c r="B1431" s="77">
        <v>365.42762797076836</v>
      </c>
      <c r="C1431" s="77">
        <v>361.39381970810223</v>
      </c>
      <c r="D1431" s="77">
        <v>364.98046215874069</v>
      </c>
      <c r="E1431" s="77">
        <v>13242020.567604937</v>
      </c>
      <c r="F1431" s="77" t="s">
        <v>1422</v>
      </c>
      <c r="G1431" s="25">
        <f t="shared" si="40"/>
        <v>-2.8076981979681115E-3</v>
      </c>
      <c r="I1431" s="78">
        <v>456.50938818293997</v>
      </c>
      <c r="J1431" s="78">
        <v>465.30448752098999</v>
      </c>
      <c r="K1431" s="78">
        <v>448.56950292416997</v>
      </c>
      <c r="L1431" s="78">
        <v>450.931059984</v>
      </c>
      <c r="M1431" s="78">
        <v>712053.57202804543</v>
      </c>
      <c r="N1431" s="78" t="s">
        <v>1422</v>
      </c>
      <c r="O1431" s="25">
        <f t="shared" si="41"/>
        <v>1.2370689655172296E-2</v>
      </c>
    </row>
    <row r="1432" spans="1:15">
      <c r="A1432" s="77">
        <v>369.48006814226903</v>
      </c>
      <c r="B1432" s="77">
        <v>373.45798067843174</v>
      </c>
      <c r="C1432" s="77">
        <v>369.04221828465859</v>
      </c>
      <c r="D1432" s="77">
        <v>373.42071686076275</v>
      </c>
      <c r="E1432" s="77">
        <v>4848190.3170761913</v>
      </c>
      <c r="F1432" s="77" t="s">
        <v>1423</v>
      </c>
      <c r="G1432" s="25">
        <f t="shared" si="40"/>
        <v>-1.0552839038020179E-2</v>
      </c>
      <c r="I1432" s="78">
        <v>452.34993788825994</v>
      </c>
      <c r="J1432" s="78">
        <v>456.84953014628996</v>
      </c>
      <c r="K1432" s="78">
        <v>447.41097939699989</v>
      </c>
      <c r="L1432" s="78">
        <v>449.83288735946996</v>
      </c>
      <c r="M1432" s="78">
        <v>448754.53912440647</v>
      </c>
      <c r="N1432" s="78" t="s">
        <v>1423</v>
      </c>
      <c r="O1432" s="25">
        <f t="shared" si="41"/>
        <v>5.5955235811351312E-3</v>
      </c>
    </row>
    <row r="1433" spans="1:15">
      <c r="A1433" s="77">
        <v>372.3773299660316</v>
      </c>
      <c r="B1433" s="77">
        <v>372.99218295756958</v>
      </c>
      <c r="C1433" s="77">
        <v>370.59332469512952</v>
      </c>
      <c r="D1433" s="77">
        <v>372.39596187486603</v>
      </c>
      <c r="E1433" s="77">
        <v>4813135.4010285605</v>
      </c>
      <c r="F1433" s="77" t="s">
        <v>1424</v>
      </c>
      <c r="G1433" s="25">
        <f t="shared" si="40"/>
        <v>-5.0032521138554387E-5</v>
      </c>
      <c r="I1433" s="78">
        <v>449.46359037068999</v>
      </c>
      <c r="J1433" s="78">
        <v>452.788235103891</v>
      </c>
      <c r="K1433" s="78">
        <v>443.07863980152001</v>
      </c>
      <c r="L1433" s="78">
        <v>447.93781070652</v>
      </c>
      <c r="M1433" s="78">
        <v>549281.97673672892</v>
      </c>
      <c r="N1433" s="78" t="s">
        <v>1424</v>
      </c>
      <c r="O1433" s="25">
        <f t="shared" si="41"/>
        <v>3.4062310162283893E-3</v>
      </c>
    </row>
    <row r="1434" spans="1:15">
      <c r="A1434" s="77">
        <v>373.57908808585586</v>
      </c>
      <c r="B1434" s="77">
        <v>375.03237697494575</v>
      </c>
      <c r="C1434" s="77">
        <v>372.47048951020395</v>
      </c>
      <c r="D1434" s="77">
        <v>374.55726329966637</v>
      </c>
      <c r="E1434" s="77">
        <v>3576886.3293624809</v>
      </c>
      <c r="F1434" s="77" t="s">
        <v>1425</v>
      </c>
      <c r="G1434" s="25">
        <f t="shared" si="40"/>
        <v>-2.6115505148486262E-3</v>
      </c>
      <c r="I1434" s="78">
        <v>447.93781070652</v>
      </c>
      <c r="J1434" s="78">
        <v>472.03443922441494</v>
      </c>
      <c r="K1434" s="78">
        <v>446.48977777683001</v>
      </c>
      <c r="L1434" s="78">
        <v>471.06746421432001</v>
      </c>
      <c r="M1434" s="78">
        <v>627490.7920737149</v>
      </c>
      <c r="N1434" s="78" t="s">
        <v>1425</v>
      </c>
      <c r="O1434" s="25">
        <f t="shared" si="41"/>
        <v>-4.9100511635583488E-2</v>
      </c>
    </row>
    <row r="1435" spans="1:15">
      <c r="A1435" s="77">
        <v>373.0667105929075</v>
      </c>
      <c r="B1435" s="77">
        <v>374.96716529402505</v>
      </c>
      <c r="C1435" s="77">
        <v>372.80586386922471</v>
      </c>
      <c r="D1435" s="77">
        <v>373.64429976677656</v>
      </c>
      <c r="E1435" s="77">
        <v>4629790.7941852063</v>
      </c>
      <c r="F1435" s="77" t="s">
        <v>1426</v>
      </c>
      <c r="G1435" s="25">
        <f t="shared" si="40"/>
        <v>-1.5458262690735136E-3</v>
      </c>
      <c r="I1435" s="78">
        <v>469.90126319711999</v>
      </c>
      <c r="J1435" s="78">
        <v>474.25508032799996</v>
      </c>
      <c r="K1435" s="78">
        <v>466.78177265952809</v>
      </c>
      <c r="L1435" s="78">
        <v>469.90126319711999</v>
      </c>
      <c r="M1435" s="78">
        <v>543209.95322143333</v>
      </c>
      <c r="N1435" s="78" t="s">
        <v>1426</v>
      </c>
      <c r="O1435" s="25">
        <f t="shared" si="41"/>
        <v>0</v>
      </c>
    </row>
    <row r="1436" spans="1:15">
      <c r="A1436" s="77">
        <v>374.33368039365257</v>
      </c>
      <c r="B1436" s="77">
        <v>374.52931543641461</v>
      </c>
      <c r="C1436" s="77">
        <v>372.51706928229021</v>
      </c>
      <c r="D1436" s="77">
        <v>372.91765532223167</v>
      </c>
      <c r="E1436" s="77">
        <v>3144243.5941704749</v>
      </c>
      <c r="F1436" s="77" t="s">
        <v>1427</v>
      </c>
      <c r="G1436" s="25">
        <f t="shared" si="40"/>
        <v>3.7971521358981519E-3</v>
      </c>
      <c r="I1436" s="78">
        <v>470.46492702210003</v>
      </c>
      <c r="J1436" s="78">
        <v>472.04901673712999</v>
      </c>
      <c r="K1436" s="78">
        <v>463.53574931156999</v>
      </c>
      <c r="L1436" s="78">
        <v>466.48040687999998</v>
      </c>
      <c r="M1436" s="78">
        <v>531725.48373249697</v>
      </c>
      <c r="N1436" s="78" t="s">
        <v>1427</v>
      </c>
      <c r="O1436" s="25">
        <f t="shared" si="41"/>
        <v>8.5416666666666696E-3</v>
      </c>
    </row>
    <row r="1437" spans="1:15">
      <c r="A1437" s="77">
        <v>372.98286700315236</v>
      </c>
      <c r="B1437" s="77">
        <v>373.2437137268351</v>
      </c>
      <c r="C1437" s="77">
        <v>370.23466045006569</v>
      </c>
      <c r="D1437" s="77">
        <v>370.43029549282778</v>
      </c>
      <c r="E1437" s="77">
        <v>3576840.1719876439</v>
      </c>
      <c r="F1437" s="77" t="s">
        <v>1428</v>
      </c>
      <c r="G1437" s="25">
        <f t="shared" si="40"/>
        <v>6.8908281568293983E-3</v>
      </c>
      <c r="I1437" s="78">
        <v>463.37053750079997</v>
      </c>
      <c r="J1437" s="78">
        <v>464.88659882316</v>
      </c>
      <c r="K1437" s="78">
        <v>455.99431606700995</v>
      </c>
      <c r="L1437" s="78">
        <v>461.53377089871003</v>
      </c>
      <c r="M1437" s="78">
        <v>648217.57900281146</v>
      </c>
      <c r="N1437" s="78" t="s">
        <v>1428</v>
      </c>
      <c r="O1437" s="25">
        <f t="shared" si="41"/>
        <v>3.9797014171105705E-3</v>
      </c>
    </row>
    <row r="1438" spans="1:15">
      <c r="A1438" s="77">
        <v>369.08879805674479</v>
      </c>
      <c r="B1438" s="77">
        <v>369.73159891153455</v>
      </c>
      <c r="C1438" s="77">
        <v>366.13564050647881</v>
      </c>
      <c r="D1438" s="77">
        <v>367.2349231277135</v>
      </c>
      <c r="E1438" s="77">
        <v>6244239.4407095276</v>
      </c>
      <c r="F1438" s="77" t="s">
        <v>1429</v>
      </c>
      <c r="G1438" s="25">
        <f t="shared" si="40"/>
        <v>5.0481988838151359E-3</v>
      </c>
      <c r="I1438" s="78">
        <v>459.54151082765998</v>
      </c>
      <c r="J1438" s="78">
        <v>460.93123370648999</v>
      </c>
      <c r="K1438" s="78">
        <v>452.93303839686001</v>
      </c>
      <c r="L1438" s="78">
        <v>454.15754946491995</v>
      </c>
      <c r="M1438" s="78">
        <v>461343.10643268062</v>
      </c>
      <c r="N1438" s="78" t="s">
        <v>1429</v>
      </c>
      <c r="O1438" s="25">
        <f t="shared" si="41"/>
        <v>1.1854831806898947E-2</v>
      </c>
    </row>
    <row r="1439" spans="1:15">
      <c r="A1439" s="77">
        <v>372.05127156142805</v>
      </c>
      <c r="B1439" s="77">
        <v>372.32143423952812</v>
      </c>
      <c r="C1439" s="77">
        <v>369.54527982318973</v>
      </c>
      <c r="D1439" s="77">
        <v>371.39915475222108</v>
      </c>
      <c r="E1439" s="77">
        <v>5096450.4412046745</v>
      </c>
      <c r="F1439" s="77" t="s">
        <v>1430</v>
      </c>
      <c r="G1439" s="25">
        <f t="shared" si="40"/>
        <v>1.7558381618882901E-3</v>
      </c>
      <c r="I1439" s="78">
        <v>460.11489299444997</v>
      </c>
      <c r="J1439" s="78">
        <v>465.50857269899996</v>
      </c>
      <c r="K1439" s="78">
        <v>453.46754719641001</v>
      </c>
      <c r="L1439" s="78">
        <v>464.13828650378997</v>
      </c>
      <c r="M1439" s="78">
        <v>685914.33912530809</v>
      </c>
      <c r="N1439" s="78" t="s">
        <v>1430</v>
      </c>
      <c r="O1439" s="25">
        <f t="shared" si="41"/>
        <v>-8.6685232102849952E-3</v>
      </c>
    </row>
    <row r="1440" spans="1:15">
      <c r="A1440" s="77">
        <v>370.77498580626576</v>
      </c>
      <c r="B1440" s="77">
        <v>371.69726529357285</v>
      </c>
      <c r="C1440" s="77">
        <v>368.25967811361022</v>
      </c>
      <c r="D1440" s="77">
        <v>371.49231429639349</v>
      </c>
      <c r="E1440" s="77">
        <v>4649385.1365171252</v>
      </c>
      <c r="F1440" s="77" t="s">
        <v>1431</v>
      </c>
      <c r="G1440" s="25">
        <f t="shared" si="40"/>
        <v>-1.9309376332222739E-3</v>
      </c>
      <c r="I1440" s="78">
        <v>461.47546084785</v>
      </c>
      <c r="J1440" s="78">
        <v>462.63194352324001</v>
      </c>
      <c r="K1440" s="78">
        <v>456.11093616872995</v>
      </c>
      <c r="L1440" s="78">
        <v>459.59982087852001</v>
      </c>
      <c r="M1440" s="78">
        <v>592802.77568257297</v>
      </c>
      <c r="N1440" s="78" t="s">
        <v>1431</v>
      </c>
      <c r="O1440" s="25">
        <f t="shared" si="41"/>
        <v>4.081028503763795E-3</v>
      </c>
    </row>
    <row r="1441" spans="1:15">
      <c r="A1441" s="77">
        <v>371.47368238755899</v>
      </c>
      <c r="B1441" s="77">
        <v>371.75316102007628</v>
      </c>
      <c r="C1441" s="77">
        <v>369.40088252972242</v>
      </c>
      <c r="D1441" s="77">
        <v>369.70365104828289</v>
      </c>
      <c r="E1441" s="77">
        <v>4683482.55539372</v>
      </c>
      <c r="F1441" s="77" t="s">
        <v>1432</v>
      </c>
      <c r="G1441" s="25">
        <f t="shared" si="40"/>
        <v>4.7877031624037336E-3</v>
      </c>
      <c r="I1441" s="78">
        <v>461.35884074613</v>
      </c>
      <c r="J1441" s="78">
        <v>464.49786515075994</v>
      </c>
      <c r="K1441" s="78">
        <v>455.79994923081</v>
      </c>
      <c r="L1441" s="78">
        <v>464.49786515075994</v>
      </c>
      <c r="M1441" s="78">
        <v>551212.34720185259</v>
      </c>
      <c r="N1441" s="78" t="s">
        <v>1432</v>
      </c>
      <c r="O1441" s="25">
        <f t="shared" si="41"/>
        <v>-6.7578876893462647E-3</v>
      </c>
    </row>
    <row r="1442" spans="1:15">
      <c r="A1442" s="77">
        <v>368.6695801079689</v>
      </c>
      <c r="B1442" s="77">
        <v>368.77205560655858</v>
      </c>
      <c r="C1442" s="77">
        <v>367.24069901945222</v>
      </c>
      <c r="D1442" s="77">
        <v>367.32808267188591</v>
      </c>
      <c r="E1442" s="77">
        <v>3665233.6916549196</v>
      </c>
      <c r="F1442" s="77" t="s">
        <v>1433</v>
      </c>
      <c r="G1442" s="25">
        <f t="shared" si="40"/>
        <v>3.6520415926959426E-3</v>
      </c>
      <c r="I1442" s="78">
        <v>457.40347562945999</v>
      </c>
      <c r="J1442" s="78">
        <v>462.74856362496001</v>
      </c>
      <c r="K1442" s="78">
        <v>456.51910652474999</v>
      </c>
      <c r="L1442" s="78">
        <v>458.70573343199999</v>
      </c>
      <c r="M1442" s="78">
        <v>707308.93545305345</v>
      </c>
      <c r="N1442" s="78" t="s">
        <v>1433</v>
      </c>
      <c r="O1442" s="25">
        <f t="shared" si="41"/>
        <v>-2.838983050847399E-3</v>
      </c>
    </row>
    <row r="1443" spans="1:15">
      <c r="A1443" s="77">
        <v>366.60143822734096</v>
      </c>
      <c r="B1443" s="77">
        <v>367.17064304223447</v>
      </c>
      <c r="C1443" s="77">
        <v>365.85616187396158</v>
      </c>
      <c r="D1443" s="77">
        <v>365.85616187396158</v>
      </c>
      <c r="E1443" s="77">
        <v>4074649.6064580772</v>
      </c>
      <c r="F1443" s="77" t="s">
        <v>1434</v>
      </c>
      <c r="G1443" s="25">
        <f t="shared" si="40"/>
        <v>2.0370747606435202E-3</v>
      </c>
      <c r="I1443" s="78">
        <v>459.88165279100997</v>
      </c>
      <c r="J1443" s="78">
        <v>466.82715731578082</v>
      </c>
      <c r="K1443" s="78">
        <v>457.17995376783</v>
      </c>
      <c r="L1443" s="78">
        <v>464.70195032877001</v>
      </c>
      <c r="M1443" s="78">
        <v>557240.1244858047</v>
      </c>
      <c r="N1443" s="78" t="s">
        <v>1434</v>
      </c>
      <c r="O1443" s="25">
        <f t="shared" si="41"/>
        <v>-1.0372879938097435E-2</v>
      </c>
    </row>
    <row r="1444" spans="1:15">
      <c r="A1444" s="77">
        <v>366.26606386832026</v>
      </c>
      <c r="B1444" s="77">
        <v>366.9927083128652</v>
      </c>
      <c r="C1444" s="77">
        <v>365.8002661474581</v>
      </c>
      <c r="D1444" s="77">
        <v>366.44306700224786</v>
      </c>
      <c r="E1444" s="77">
        <v>3142593.7363768867</v>
      </c>
      <c r="F1444" s="77" t="s">
        <v>1435</v>
      </c>
      <c r="G1444" s="25">
        <f t="shared" si="40"/>
        <v>-4.8303038006858312E-4</v>
      </c>
      <c r="I1444" s="78">
        <v>465.68350285157999</v>
      </c>
      <c r="J1444" s="78">
        <v>469.76520641177996</v>
      </c>
      <c r="K1444" s="78">
        <v>462.16546311636</v>
      </c>
      <c r="L1444" s="78">
        <v>467.47167774461997</v>
      </c>
      <c r="M1444" s="78">
        <v>471722.44912015501</v>
      </c>
      <c r="N1444" s="78" t="s">
        <v>1435</v>
      </c>
      <c r="O1444" s="25">
        <f t="shared" si="41"/>
        <v>-3.8252047731902605E-3</v>
      </c>
    </row>
    <row r="1445" spans="1:15">
      <c r="A1445" s="77">
        <v>366.10499103243228</v>
      </c>
      <c r="B1445" s="77">
        <v>366.22568906660302</v>
      </c>
      <c r="C1445" s="77">
        <v>364.72160587155196</v>
      </c>
      <c r="D1445" s="77">
        <v>365.83574157158978</v>
      </c>
      <c r="E1445" s="77">
        <v>2604858.9950949848</v>
      </c>
      <c r="F1445" s="77" t="s">
        <v>1436</v>
      </c>
      <c r="G1445" s="25">
        <f t="shared" si="40"/>
        <v>7.3598456970280779E-4</v>
      </c>
      <c r="I1445" s="78">
        <v>467.93815815149998</v>
      </c>
      <c r="J1445" s="78">
        <v>473.283246147</v>
      </c>
      <c r="K1445" s="78">
        <v>464.05082142749995</v>
      </c>
      <c r="L1445" s="78">
        <v>465.78068626967996</v>
      </c>
      <c r="M1445" s="78">
        <v>618834.99444438657</v>
      </c>
      <c r="N1445" s="78" t="s">
        <v>1436</v>
      </c>
      <c r="O1445" s="25">
        <f t="shared" si="41"/>
        <v>4.6319479218828175E-3</v>
      </c>
    </row>
    <row r="1446" spans="1:15">
      <c r="A1446" s="77">
        <v>365.34366497073978</v>
      </c>
      <c r="B1446" s="77">
        <v>365.73361246575303</v>
      </c>
      <c r="C1446" s="77">
        <v>364.45235641070951</v>
      </c>
      <c r="D1446" s="77">
        <v>364.78659712072084</v>
      </c>
      <c r="E1446" s="77">
        <v>3083717.0013341554</v>
      </c>
      <c r="F1446" s="77" t="s">
        <v>1437</v>
      </c>
      <c r="G1446" s="25">
        <f t="shared" si="40"/>
        <v>1.5271061338764103E-3</v>
      </c>
      <c r="I1446" s="78">
        <v>461.29081235346001</v>
      </c>
      <c r="J1446" s="78">
        <v>461.99053296377997</v>
      </c>
      <c r="K1446" s="78">
        <v>454.34219795931</v>
      </c>
      <c r="L1446" s="78">
        <v>455.67361078727998</v>
      </c>
      <c r="M1446" s="78">
        <v>610805.84692873654</v>
      </c>
      <c r="N1446" s="78" t="s">
        <v>1437</v>
      </c>
      <c r="O1446" s="25">
        <f t="shared" si="41"/>
        <v>1.2327247909913019E-2</v>
      </c>
    </row>
    <row r="1447" spans="1:15">
      <c r="A1447" s="77">
        <v>363.99741766652738</v>
      </c>
      <c r="B1447" s="77">
        <v>364.43239481275049</v>
      </c>
      <c r="C1447" s="77">
        <v>363.64460802818206</v>
      </c>
      <c r="D1447" s="77">
        <v>363.84886623985562</v>
      </c>
      <c r="E1447" s="77">
        <v>3218085.5526649463</v>
      </c>
      <c r="F1447" s="77" t="s">
        <v>1438</v>
      </c>
      <c r="G1447" s="25">
        <f t="shared" si="40"/>
        <v>4.0827783306562893E-4</v>
      </c>
      <c r="I1447" s="78">
        <v>454.88642510066995</v>
      </c>
      <c r="J1447" s="78">
        <v>463.81806714115044</v>
      </c>
      <c r="K1447" s="78">
        <v>454.40050801016997</v>
      </c>
      <c r="L1447" s="78">
        <v>459.09446710439994</v>
      </c>
      <c r="M1447" s="78">
        <v>467856.56327928643</v>
      </c>
      <c r="N1447" s="78" t="s">
        <v>1438</v>
      </c>
      <c r="O1447" s="25">
        <f t="shared" si="41"/>
        <v>-9.1659610499575939E-3</v>
      </c>
    </row>
    <row r="1448" spans="1:15">
      <c r="A1448" s="77">
        <v>361.92698215729041</v>
      </c>
      <c r="B1448" s="77">
        <v>363.15253142733201</v>
      </c>
      <c r="C1448" s="77">
        <v>361.81556858728658</v>
      </c>
      <c r="D1448" s="77">
        <v>362.41905875814047</v>
      </c>
      <c r="E1448" s="77">
        <v>2589438.6113846195</v>
      </c>
      <c r="F1448" s="77" t="s">
        <v>1439</v>
      </c>
      <c r="G1448" s="25">
        <f t="shared" si="40"/>
        <v>-1.3577558601255424E-3</v>
      </c>
      <c r="I1448" s="78">
        <v>455.91656933253</v>
      </c>
      <c r="J1448" s="78">
        <v>459.23052388974003</v>
      </c>
      <c r="K1448" s="78">
        <v>451.13660291328148</v>
      </c>
      <c r="L1448" s="78">
        <v>451.58218888527</v>
      </c>
      <c r="M1448" s="78">
        <v>550326.39359285927</v>
      </c>
      <c r="N1448" s="78" t="s">
        <v>1439</v>
      </c>
      <c r="O1448" s="25">
        <f t="shared" si="41"/>
        <v>9.5982094819979658E-3</v>
      </c>
    </row>
    <row r="1449" spans="1:15">
      <c r="A1449" s="77">
        <v>362.31692965230366</v>
      </c>
      <c r="B1449" s="77">
        <v>363.10610910649706</v>
      </c>
      <c r="C1449" s="77">
        <v>359.74513307804966</v>
      </c>
      <c r="D1449" s="77">
        <v>360.46003681890727</v>
      </c>
      <c r="E1449" s="77">
        <v>2913945.2221930898</v>
      </c>
      <c r="F1449" s="77" t="s">
        <v>1440</v>
      </c>
      <c r="G1449" s="25">
        <f t="shared" si="40"/>
        <v>5.1514527096641061E-3</v>
      </c>
      <c r="I1449" s="78">
        <v>452.57345974988999</v>
      </c>
      <c r="J1449" s="78">
        <v>453.96318262872001</v>
      </c>
      <c r="K1449" s="78">
        <v>445.69287374841002</v>
      </c>
      <c r="L1449" s="78">
        <v>448.78330644399</v>
      </c>
      <c r="M1449" s="78">
        <v>484096.9881465818</v>
      </c>
      <c r="N1449" s="78" t="s">
        <v>1440</v>
      </c>
      <c r="O1449" s="25">
        <f t="shared" si="41"/>
        <v>8.4453972584941361E-3</v>
      </c>
    </row>
    <row r="1450" spans="1:15">
      <c r="A1450" s="77">
        <v>360.40433003390535</v>
      </c>
      <c r="B1450" s="77">
        <v>360.59001931724498</v>
      </c>
      <c r="C1450" s="77">
        <v>356.19846776626252</v>
      </c>
      <c r="D1450" s="77">
        <v>356.98764722045598</v>
      </c>
      <c r="E1450" s="77">
        <v>4728090.8419155022</v>
      </c>
      <c r="F1450" s="77" t="s">
        <v>1441</v>
      </c>
      <c r="G1450" s="25">
        <f t="shared" si="40"/>
        <v>9.5708712613784552E-3</v>
      </c>
      <c r="I1450" s="78">
        <v>448.06414915005001</v>
      </c>
      <c r="J1450" s="78">
        <v>452.80669995333</v>
      </c>
      <c r="K1450" s="78">
        <v>437.60721336249003</v>
      </c>
      <c r="L1450" s="78">
        <v>445.91639561003996</v>
      </c>
      <c r="M1450" s="78">
        <v>436739.11485934863</v>
      </c>
      <c r="N1450" s="78" t="s">
        <v>1441</v>
      </c>
      <c r="O1450" s="25">
        <f t="shared" si="41"/>
        <v>4.8164937668906393E-3</v>
      </c>
    </row>
    <row r="1451" spans="1:15">
      <c r="A1451" s="77">
        <v>355.427857240403</v>
      </c>
      <c r="B1451" s="77">
        <v>357.8046800671504</v>
      </c>
      <c r="C1451" s="77">
        <v>355.14932331539353</v>
      </c>
      <c r="D1451" s="77">
        <v>357.25689668129849</v>
      </c>
      <c r="E1451" s="77">
        <v>5612720.2456466015</v>
      </c>
      <c r="F1451" s="77" t="s">
        <v>1442</v>
      </c>
      <c r="G1451" s="25">
        <f t="shared" si="40"/>
        <v>-5.1196756672471366E-3</v>
      </c>
      <c r="I1451" s="78">
        <v>443.31188000496002</v>
      </c>
      <c r="J1451" s="78">
        <v>447.51020366687999</v>
      </c>
      <c r="K1451" s="78">
        <v>438.02510206032002</v>
      </c>
      <c r="L1451" s="78">
        <v>440.51299756367996</v>
      </c>
      <c r="M1451" s="78">
        <v>1116274.7937963298</v>
      </c>
      <c r="N1451" s="78" t="s">
        <v>1442</v>
      </c>
      <c r="O1451" s="25">
        <f t="shared" si="41"/>
        <v>6.3536886692552308E-3</v>
      </c>
    </row>
    <row r="1452" spans="1:15">
      <c r="A1452" s="77">
        <v>360.20935628639876</v>
      </c>
      <c r="B1452" s="77">
        <v>361.08209591809504</v>
      </c>
      <c r="C1452" s="77">
        <v>357.91609363715418</v>
      </c>
      <c r="D1452" s="77">
        <v>359.8844000405544</v>
      </c>
      <c r="E1452" s="77">
        <v>4378640.4114277447</v>
      </c>
      <c r="F1452" s="77" t="s">
        <v>1443</v>
      </c>
      <c r="G1452" s="25">
        <f t="shared" si="40"/>
        <v>9.0294618440744934E-4</v>
      </c>
      <c r="I1452" s="78">
        <v>442.52469431834999</v>
      </c>
      <c r="J1452" s="78">
        <v>444.68216620017</v>
      </c>
      <c r="K1452" s="78">
        <v>429.77422986363001</v>
      </c>
      <c r="L1452" s="78">
        <v>431.29029118598999</v>
      </c>
      <c r="M1452" s="78">
        <v>546859.75281620596</v>
      </c>
      <c r="N1452" s="78" t="s">
        <v>1443</v>
      </c>
      <c r="O1452" s="25">
        <f t="shared" si="41"/>
        <v>2.6048356204511069E-2</v>
      </c>
    </row>
    <row r="1453" spans="1:15">
      <c r="A1453" s="77">
        <v>360.33933878473647</v>
      </c>
      <c r="B1453" s="77">
        <v>362.63260143398099</v>
      </c>
      <c r="C1453" s="77">
        <v>358.39888577383726</v>
      </c>
      <c r="D1453" s="77">
        <v>362.48275018232596</v>
      </c>
      <c r="E1453" s="77">
        <v>4517563.8836715156</v>
      </c>
      <c r="F1453" s="77" t="s">
        <v>1444</v>
      </c>
      <c r="G1453" s="25">
        <f t="shared" si="40"/>
        <v>-5.9131404087818806E-3</v>
      </c>
      <c r="I1453" s="78">
        <v>432.86466255920999</v>
      </c>
      <c r="J1453" s="78">
        <v>444.32258755319998</v>
      </c>
      <c r="K1453" s="78">
        <v>427.73337808353</v>
      </c>
      <c r="L1453" s="78">
        <v>441.41680335200994</v>
      </c>
      <c r="M1453" s="78">
        <v>714475.79594856838</v>
      </c>
      <c r="N1453" s="78" t="s">
        <v>1444</v>
      </c>
      <c r="O1453" s="25">
        <f t="shared" si="41"/>
        <v>-1.9374298232095133E-2</v>
      </c>
    </row>
    <row r="1454" spans="1:15">
      <c r="A1454" s="77">
        <v>362.32621411647062</v>
      </c>
      <c r="B1454" s="77">
        <v>363.20823821233387</v>
      </c>
      <c r="C1454" s="77">
        <v>361.54622628180243</v>
      </c>
      <c r="D1454" s="77">
        <v>363.16181589149897</v>
      </c>
      <c r="E1454" s="77">
        <v>2590390.7395678954</v>
      </c>
      <c r="F1454" s="77" t="s">
        <v>1445</v>
      </c>
      <c r="G1454" s="25">
        <f t="shared" si="40"/>
        <v>-2.3009075802121748E-3</v>
      </c>
      <c r="I1454" s="78">
        <v>439.08440131761</v>
      </c>
      <c r="J1454" s="78">
        <v>441.17384480675997</v>
      </c>
      <c r="K1454" s="78">
        <v>435.41086811342996</v>
      </c>
      <c r="L1454" s="78">
        <v>439.74524856069002</v>
      </c>
      <c r="M1454" s="78">
        <v>408206.46953556786</v>
      </c>
      <c r="N1454" s="78" t="s">
        <v>1445</v>
      </c>
      <c r="O1454" s="25">
        <f t="shared" si="41"/>
        <v>-1.5027956418927069E-3</v>
      </c>
    </row>
    <row r="1455" spans="1:15">
      <c r="A1455" s="77">
        <v>363.08754017816312</v>
      </c>
      <c r="B1455" s="77">
        <v>363.08754017816312</v>
      </c>
      <c r="C1455" s="77">
        <v>361.16565609559785</v>
      </c>
      <c r="D1455" s="77">
        <v>362.2890762598027</v>
      </c>
      <c r="E1455" s="77">
        <v>2425778.1165330424</v>
      </c>
      <c r="F1455" s="77" t="s">
        <v>1446</v>
      </c>
      <c r="G1455" s="25">
        <f t="shared" si="40"/>
        <v>2.2039414674148716E-3</v>
      </c>
      <c r="I1455" s="78">
        <v>439.40510659733997</v>
      </c>
      <c r="J1455" s="78">
        <v>442.43722924205997</v>
      </c>
      <c r="K1455" s="78">
        <v>435.69755919682495</v>
      </c>
      <c r="L1455" s="78">
        <v>440.53243424729999</v>
      </c>
      <c r="M1455" s="78">
        <v>621359.08759521192</v>
      </c>
      <c r="N1455" s="78" t="s">
        <v>1446</v>
      </c>
      <c r="O1455" s="25">
        <f t="shared" si="41"/>
        <v>-2.559011692036206E-3</v>
      </c>
    </row>
    <row r="1456" spans="1:15">
      <c r="A1456" s="77">
        <v>362.17766268979886</v>
      </c>
      <c r="B1456" s="77">
        <v>362.27979179563567</v>
      </c>
      <c r="C1456" s="77">
        <v>360.9149755630894</v>
      </c>
      <c r="D1456" s="77">
        <v>362.09410251229605</v>
      </c>
      <c r="E1456" s="77">
        <v>2414248.1027299091</v>
      </c>
      <c r="F1456" s="77" t="s">
        <v>1447</v>
      </c>
      <c r="G1456" s="25">
        <f t="shared" si="40"/>
        <v>2.3076923076925659E-4</v>
      </c>
      <c r="I1456" s="78">
        <v>440.40609580376997</v>
      </c>
      <c r="J1456" s="78">
        <v>440.48384253824997</v>
      </c>
      <c r="K1456" s="78">
        <v>433.22424120617995</v>
      </c>
      <c r="L1456" s="78">
        <v>436.37298395261996</v>
      </c>
      <c r="M1456" s="78">
        <v>657276.7376248521</v>
      </c>
      <c r="N1456" s="78" t="s">
        <v>1447</v>
      </c>
      <c r="O1456" s="25">
        <f t="shared" si="41"/>
        <v>9.2423500066811659E-3</v>
      </c>
    </row>
    <row r="1457" spans="1:15">
      <c r="A1457" s="77">
        <v>361.54631912644413</v>
      </c>
      <c r="B1457" s="77">
        <v>362.42806468838239</v>
      </c>
      <c r="C1457" s="77">
        <v>359.84726218388641</v>
      </c>
      <c r="D1457" s="77">
        <v>361.03567359726014</v>
      </c>
      <c r="E1457" s="77">
        <v>2813102.5690080384</v>
      </c>
      <c r="F1457" s="77" t="s">
        <v>1448</v>
      </c>
      <c r="G1457" s="25">
        <f t="shared" si="40"/>
        <v>1.4143907833152891E-3</v>
      </c>
      <c r="I1457" s="78">
        <v>437.97651035127001</v>
      </c>
      <c r="J1457" s="78">
        <v>439.02609126674997</v>
      </c>
      <c r="K1457" s="78">
        <v>418.26771316058995</v>
      </c>
      <c r="L1457" s="78">
        <v>421.61082274322996</v>
      </c>
      <c r="M1457" s="78">
        <v>793970.83894088725</v>
      </c>
      <c r="N1457" s="78" t="s">
        <v>1448</v>
      </c>
      <c r="O1457" s="25">
        <f t="shared" si="41"/>
        <v>3.8817048152502309E-2</v>
      </c>
    </row>
    <row r="1458" spans="1:15">
      <c r="A1458" s="77">
        <v>359.8844000405544</v>
      </c>
      <c r="B1458" s="77">
        <v>361.28635412976865</v>
      </c>
      <c r="C1458" s="77">
        <v>359.68942629304775</v>
      </c>
      <c r="D1458" s="77">
        <v>361.2399318089337</v>
      </c>
      <c r="E1458" s="77">
        <v>3196833.9223660552</v>
      </c>
      <c r="F1458" s="77" t="s">
        <v>1449</v>
      </c>
      <c r="G1458" s="25">
        <f t="shared" si="40"/>
        <v>-3.7524416572425334E-3</v>
      </c>
      <c r="I1458" s="78">
        <v>421.71772450314</v>
      </c>
      <c r="J1458" s="78">
        <v>426.12985168488001</v>
      </c>
      <c r="K1458" s="78">
        <v>417.09179380157997</v>
      </c>
      <c r="L1458" s="78">
        <v>424.72069212242997</v>
      </c>
      <c r="M1458" s="78">
        <v>656077.97345008189</v>
      </c>
      <c r="N1458" s="78" t="s">
        <v>1449</v>
      </c>
      <c r="O1458" s="25">
        <f t="shared" si="41"/>
        <v>-7.0704528293251689E-3</v>
      </c>
    </row>
    <row r="1459" spans="1:15">
      <c r="A1459" s="77">
        <v>360.4507523547403</v>
      </c>
      <c r="B1459" s="77">
        <v>361.2399318089337</v>
      </c>
      <c r="C1459" s="77">
        <v>358.78883326885051</v>
      </c>
      <c r="D1459" s="77">
        <v>361.16565609559785</v>
      </c>
      <c r="E1459" s="77">
        <v>2570548.9913865482</v>
      </c>
      <c r="F1459" s="77" t="s">
        <v>1450</v>
      </c>
      <c r="G1459" s="25">
        <f t="shared" si="40"/>
        <v>-1.9794344473006431E-3</v>
      </c>
      <c r="I1459" s="78">
        <v>421.64969611046996</v>
      </c>
      <c r="J1459" s="78">
        <v>427.59421142881081</v>
      </c>
      <c r="K1459" s="78">
        <v>414.20058711310497</v>
      </c>
      <c r="L1459" s="78">
        <v>422.51462853155999</v>
      </c>
      <c r="M1459" s="78">
        <v>660707.36402715603</v>
      </c>
      <c r="N1459" s="78" t="s">
        <v>1450</v>
      </c>
      <c r="O1459" s="25">
        <f t="shared" si="41"/>
        <v>-2.0471064495354296E-3</v>
      </c>
    </row>
    <row r="1460" spans="1:15">
      <c r="A1460" s="77">
        <v>360.39504556973839</v>
      </c>
      <c r="B1460" s="77">
        <v>360.87783770642142</v>
      </c>
      <c r="C1460" s="77">
        <v>359.54087486637604</v>
      </c>
      <c r="D1460" s="77">
        <v>360.72000181558275</v>
      </c>
      <c r="E1460" s="77">
        <v>2693337.9837824963</v>
      </c>
      <c r="F1460" s="77" t="s">
        <v>1451</v>
      </c>
      <c r="G1460" s="25">
        <f t="shared" si="40"/>
        <v>-9.00854524863548E-4</v>
      </c>
      <c r="I1460" s="78">
        <v>418.21912145153993</v>
      </c>
      <c r="J1460" s="78">
        <v>423.59336447247</v>
      </c>
      <c r="K1460" s="78">
        <v>406.34330775972001</v>
      </c>
      <c r="L1460" s="78">
        <v>407.85936908207998</v>
      </c>
      <c r="M1460" s="78">
        <v>918525.00915482827</v>
      </c>
      <c r="N1460" s="78" t="s">
        <v>1451</v>
      </c>
      <c r="O1460" s="25">
        <f t="shared" si="41"/>
        <v>2.5400304994281253E-2</v>
      </c>
    </row>
    <row r="1461" spans="1:15">
      <c r="A1461" s="77">
        <v>360.70143288724876</v>
      </c>
      <c r="B1461" s="77">
        <v>360.97996681225823</v>
      </c>
      <c r="C1461" s="77">
        <v>359.08593612219391</v>
      </c>
      <c r="D1461" s="77">
        <v>359.13235844302881</v>
      </c>
      <c r="E1461" s="77">
        <v>2830688.9366285484</v>
      </c>
      <c r="F1461" s="77" t="s">
        <v>1452</v>
      </c>
      <c r="G1461" s="25">
        <f t="shared" si="40"/>
        <v>4.3690700860887777E-3</v>
      </c>
      <c r="I1461" s="78">
        <v>406.34330775972001</v>
      </c>
      <c r="J1461" s="78">
        <v>409.89050252036998</v>
      </c>
      <c r="K1461" s="78">
        <v>394.04523211625548</v>
      </c>
      <c r="L1461" s="78">
        <v>395.90580865577999</v>
      </c>
      <c r="M1461" s="78">
        <v>715487.28537672211</v>
      </c>
      <c r="N1461" s="78" t="s">
        <v>1452</v>
      </c>
      <c r="O1461" s="25">
        <f t="shared" si="41"/>
        <v>2.6363591732534664E-2</v>
      </c>
    </row>
    <row r="1462" spans="1:15">
      <c r="A1462" s="77">
        <v>357.46115489297205</v>
      </c>
      <c r="B1462" s="77">
        <v>358.48244595134008</v>
      </c>
      <c r="C1462" s="77">
        <v>355.31644367039922</v>
      </c>
      <c r="D1462" s="77">
        <v>356.68125990294561</v>
      </c>
      <c r="E1462" s="77">
        <v>3652289.3933493192</v>
      </c>
      <c r="F1462" s="77" t="s">
        <v>1453</v>
      </c>
      <c r="G1462" s="25">
        <f t="shared" si="40"/>
        <v>2.186532004060604E-3</v>
      </c>
      <c r="I1462" s="78">
        <v>393.18467294897999</v>
      </c>
      <c r="J1462" s="78">
        <v>401.86315218530996</v>
      </c>
      <c r="K1462" s="78">
        <v>390.21095753853808</v>
      </c>
      <c r="L1462" s="78">
        <v>397.20806645831999</v>
      </c>
      <c r="M1462" s="78">
        <v>683345.99974313937</v>
      </c>
      <c r="N1462" s="78" t="s">
        <v>1453</v>
      </c>
      <c r="O1462" s="25">
        <f t="shared" si="41"/>
        <v>-1.0129183793305963E-2</v>
      </c>
    </row>
    <row r="1463" spans="1:15">
      <c r="A1463" s="77">
        <v>358.82597112551844</v>
      </c>
      <c r="B1463" s="77">
        <v>359.53159040220908</v>
      </c>
      <c r="C1463" s="77">
        <v>357.88824024465328</v>
      </c>
      <c r="D1463" s="77">
        <v>358.79811773301748</v>
      </c>
      <c r="E1463" s="77">
        <v>3456517.1907418692</v>
      </c>
      <c r="F1463" s="77" t="s">
        <v>1454</v>
      </c>
      <c r="G1463" s="25">
        <f t="shared" si="40"/>
        <v>7.7629706300985646E-5</v>
      </c>
      <c r="I1463" s="78">
        <v>401.32864338575996</v>
      </c>
      <c r="J1463" s="78">
        <v>401.49385519652998</v>
      </c>
      <c r="K1463" s="78">
        <v>395.04087623469002</v>
      </c>
      <c r="L1463" s="78">
        <v>395.77947021224998</v>
      </c>
      <c r="M1463" s="78">
        <v>636630.21130144841</v>
      </c>
      <c r="N1463" s="78" t="s">
        <v>1454</v>
      </c>
      <c r="O1463" s="25">
        <f t="shared" si="41"/>
        <v>1.402087170042976E-2</v>
      </c>
    </row>
    <row r="1464" spans="1:15">
      <c r="A1464" s="77">
        <v>358.2224809546646</v>
      </c>
      <c r="B1464" s="77">
        <v>360.81284645725259</v>
      </c>
      <c r="C1464" s="77">
        <v>357.8046800671504</v>
      </c>
      <c r="D1464" s="77">
        <v>360.70143288724876</v>
      </c>
      <c r="E1464" s="77">
        <v>4727297.0427400786</v>
      </c>
      <c r="F1464" s="77" t="s">
        <v>1455</v>
      </c>
      <c r="G1464" s="25">
        <f t="shared" si="40"/>
        <v>-6.8725868725867389E-3</v>
      </c>
      <c r="I1464" s="78">
        <v>395.97383704844998</v>
      </c>
      <c r="J1464" s="78">
        <v>399.22948155479997</v>
      </c>
      <c r="K1464" s="78">
        <v>387.90761334614996</v>
      </c>
      <c r="L1464" s="78">
        <v>398.92821295868998</v>
      </c>
      <c r="M1464" s="78">
        <v>835837.03463091096</v>
      </c>
      <c r="N1464" s="78" t="s">
        <v>1455</v>
      </c>
      <c r="O1464" s="25">
        <f t="shared" si="41"/>
        <v>-7.4057833321152788E-3</v>
      </c>
    </row>
    <row r="1465" spans="1:15">
      <c r="A1465" s="77">
        <v>358.50101487967407</v>
      </c>
      <c r="B1465" s="77">
        <v>359.55944379470998</v>
      </c>
      <c r="C1465" s="77">
        <v>358.32461006050141</v>
      </c>
      <c r="D1465" s="77">
        <v>359.33661665470242</v>
      </c>
      <c r="E1465" s="77">
        <v>3630922.5167658012</v>
      </c>
      <c r="F1465" s="77" t="s">
        <v>1456</v>
      </c>
      <c r="G1465" s="25">
        <f t="shared" si="40"/>
        <v>-2.325401131695104E-3</v>
      </c>
      <c r="I1465" s="78">
        <v>394.21481718083999</v>
      </c>
      <c r="J1465" s="78">
        <v>404.75921804468999</v>
      </c>
      <c r="K1465" s="78">
        <v>392.68903751667</v>
      </c>
      <c r="L1465" s="78">
        <v>398.45201420999996</v>
      </c>
      <c r="M1465" s="78">
        <v>945902.10755305795</v>
      </c>
      <c r="N1465" s="78" t="s">
        <v>1456</v>
      </c>
      <c r="O1465" s="25">
        <f t="shared" si="41"/>
        <v>-1.0634146341463313E-2</v>
      </c>
    </row>
    <row r="1466" spans="1:15">
      <c r="A1466" s="77">
        <v>357.8046800671504</v>
      </c>
      <c r="B1466" s="77">
        <v>359.10450505052785</v>
      </c>
      <c r="C1466" s="77">
        <v>357.74897328214848</v>
      </c>
      <c r="D1466" s="77">
        <v>358.64176735644554</v>
      </c>
      <c r="E1466" s="77">
        <v>3248290.8499181061</v>
      </c>
      <c r="F1466" s="77" t="s">
        <v>1457</v>
      </c>
      <c r="G1466" s="25">
        <f t="shared" si="40"/>
        <v>-2.3340485283276369E-3</v>
      </c>
      <c r="I1466" s="78">
        <v>397.47046168718998</v>
      </c>
      <c r="J1466" s="78">
        <v>398.02440717036001</v>
      </c>
      <c r="K1466" s="78">
        <v>385.40028115916999</v>
      </c>
      <c r="L1466" s="78">
        <v>386.29436860569001</v>
      </c>
      <c r="M1466" s="78">
        <v>2465961.8346969835</v>
      </c>
      <c r="N1466" s="78" t="s">
        <v>1457</v>
      </c>
      <c r="O1466" s="25">
        <f t="shared" si="41"/>
        <v>2.893154544768417E-2</v>
      </c>
    </row>
    <row r="1467" spans="1:15">
      <c r="A1467" s="77">
        <v>357.64684417631167</v>
      </c>
      <c r="B1467" s="77">
        <v>358.14820524132875</v>
      </c>
      <c r="C1467" s="77">
        <v>356.58841526127577</v>
      </c>
      <c r="D1467" s="77">
        <v>357.5354306063079</v>
      </c>
      <c r="E1467" s="77">
        <v>2846373.2020186679</v>
      </c>
      <c r="F1467" s="77" t="s">
        <v>1458</v>
      </c>
      <c r="G1467" s="25">
        <f t="shared" si="40"/>
        <v>3.1161546651437E-4</v>
      </c>
      <c r="I1467" s="78">
        <v>386.49845378369997</v>
      </c>
      <c r="J1467" s="78">
        <v>388.70451737457</v>
      </c>
      <c r="K1467" s="78">
        <v>384.55478542169999</v>
      </c>
      <c r="L1467" s="78">
        <v>384.64225049799001</v>
      </c>
      <c r="M1467" s="78">
        <v>628081.42781304382</v>
      </c>
      <c r="N1467" s="78" t="s">
        <v>1458</v>
      </c>
      <c r="O1467" s="25">
        <f t="shared" si="41"/>
        <v>4.8257914550644543E-3</v>
      </c>
    </row>
    <row r="1468" spans="1:15">
      <c r="A1468" s="77">
        <v>356.99693168462295</v>
      </c>
      <c r="B1468" s="77">
        <v>359.08593612219391</v>
      </c>
      <c r="C1468" s="77">
        <v>356.46771722710503</v>
      </c>
      <c r="D1468" s="77">
        <v>358.75169541218253</v>
      </c>
      <c r="E1468" s="77">
        <v>4342530.6269565765</v>
      </c>
      <c r="F1468" s="77" t="s">
        <v>1459</v>
      </c>
      <c r="G1468" s="25">
        <f t="shared" ref="G1468:G1531" si="42">A1468/D1468-1</f>
        <v>-4.891304347826031E-3</v>
      </c>
      <c r="I1468" s="78">
        <v>385.90563493328995</v>
      </c>
      <c r="J1468" s="78">
        <v>393.59284330499997</v>
      </c>
      <c r="K1468" s="78">
        <v>384.71027889065999</v>
      </c>
      <c r="L1468" s="78">
        <v>390.17198698788002</v>
      </c>
      <c r="M1468" s="78">
        <v>671713.35682830855</v>
      </c>
      <c r="N1468" s="78" t="s">
        <v>1459</v>
      </c>
      <c r="O1468" s="25">
        <f t="shared" ref="O1468:O1531" si="43">I1468/L1468-1</f>
        <v>-1.093454219388279E-2</v>
      </c>
    </row>
    <row r="1469" spans="1:15">
      <c r="A1469" s="77">
        <v>357.74897328214848</v>
      </c>
      <c r="B1469" s="77">
        <v>358.75169541218253</v>
      </c>
      <c r="C1469" s="77">
        <v>356.00349401875593</v>
      </c>
      <c r="D1469" s="77">
        <v>356.23560562293045</v>
      </c>
      <c r="E1469" s="77">
        <v>3190763.5666636303</v>
      </c>
      <c r="F1469" s="77" t="s">
        <v>1460</v>
      </c>
      <c r="G1469" s="25">
        <f t="shared" si="42"/>
        <v>4.2482212202559211E-3</v>
      </c>
      <c r="I1469" s="78">
        <v>388.72395405818997</v>
      </c>
      <c r="J1469" s="78">
        <v>395.42883243974518</v>
      </c>
      <c r="K1469" s="78">
        <v>388.52958722199003</v>
      </c>
      <c r="L1469" s="78">
        <v>391.68804831023999</v>
      </c>
      <c r="M1469" s="78">
        <v>634858.30408346176</v>
      </c>
      <c r="N1469" s="78" t="s">
        <v>1460</v>
      </c>
      <c r="O1469" s="25">
        <f t="shared" si="43"/>
        <v>-7.5674870980548814E-3</v>
      </c>
    </row>
    <row r="1470" spans="1:15">
      <c r="A1470" s="77">
        <v>354.1744545778605</v>
      </c>
      <c r="B1470" s="77">
        <v>356.94122489962109</v>
      </c>
      <c r="C1470" s="77">
        <v>353.74736922617927</v>
      </c>
      <c r="D1470" s="77">
        <v>355.80852027124934</v>
      </c>
      <c r="E1470" s="77">
        <v>3842389.755444177</v>
      </c>
      <c r="F1470" s="77" t="s">
        <v>1461</v>
      </c>
      <c r="G1470" s="25">
        <f t="shared" si="42"/>
        <v>-4.5925423374997276E-3</v>
      </c>
      <c r="I1470" s="78">
        <v>387.39254123021999</v>
      </c>
      <c r="J1470" s="78">
        <v>395.06031291830999</v>
      </c>
      <c r="K1470" s="78">
        <v>386.30408694749997</v>
      </c>
      <c r="L1470" s="78">
        <v>386.56648217636996</v>
      </c>
      <c r="M1470" s="78">
        <v>908711.60663570033</v>
      </c>
      <c r="N1470" s="78" t="s">
        <v>1461</v>
      </c>
      <c r="O1470" s="25">
        <f t="shared" si="43"/>
        <v>2.1369132916007061E-3</v>
      </c>
    </row>
    <row r="1471" spans="1:15">
      <c r="A1471" s="77">
        <v>354.44370403870295</v>
      </c>
      <c r="B1471" s="77">
        <v>355.58569313124173</v>
      </c>
      <c r="C1471" s="77">
        <v>351.37054639943193</v>
      </c>
      <c r="D1471" s="77">
        <v>351.48195996943571</v>
      </c>
      <c r="E1471" s="77">
        <v>5144846.1796936849</v>
      </c>
      <c r="F1471" s="77" t="s">
        <v>1462</v>
      </c>
      <c r="G1471" s="25">
        <f t="shared" si="42"/>
        <v>8.4264468922523594E-3</v>
      </c>
      <c r="I1471" s="78">
        <v>385.31281608287998</v>
      </c>
      <c r="J1471" s="78">
        <v>392.62100912400001</v>
      </c>
      <c r="K1471" s="78">
        <v>378.52941349949998</v>
      </c>
      <c r="L1471" s="78">
        <v>379.36519089516003</v>
      </c>
      <c r="M1471" s="78">
        <v>1245127.0223433312</v>
      </c>
      <c r="N1471" s="78" t="s">
        <v>1462</v>
      </c>
      <c r="O1471" s="25">
        <f t="shared" si="43"/>
        <v>1.5677835843836307E-2</v>
      </c>
    </row>
    <row r="1472" spans="1:15">
      <c r="A1472" s="77">
        <v>350.70206497940922</v>
      </c>
      <c r="B1472" s="77">
        <v>350.80419408524602</v>
      </c>
      <c r="C1472" s="77">
        <v>345.95770379008144</v>
      </c>
      <c r="D1472" s="77">
        <v>347.29466663012687</v>
      </c>
      <c r="E1472" s="77">
        <v>5478259.0664608767</v>
      </c>
      <c r="F1472" s="77" t="s">
        <v>1463</v>
      </c>
      <c r="G1472" s="25">
        <f t="shared" si="42"/>
        <v>9.8112602256321679E-3</v>
      </c>
      <c r="I1472" s="78">
        <v>375.82771447632001</v>
      </c>
      <c r="J1472" s="78">
        <v>376.14841975604998</v>
      </c>
      <c r="K1472" s="78">
        <v>366.81395244754498</v>
      </c>
      <c r="L1472" s="78">
        <v>367.81980082488002</v>
      </c>
      <c r="M1472" s="78">
        <v>848665.35477413924</v>
      </c>
      <c r="N1472" s="78" t="s">
        <v>1463</v>
      </c>
      <c r="O1472" s="25">
        <f t="shared" si="43"/>
        <v>2.1771295709152483E-2</v>
      </c>
    </row>
    <row r="1473" spans="1:15">
      <c r="A1473" s="77">
        <v>351.63051139610741</v>
      </c>
      <c r="B1473" s="77">
        <v>355.10290099455869</v>
      </c>
      <c r="C1473" s="77">
        <v>351.45410657693475</v>
      </c>
      <c r="D1473" s="77">
        <v>354.89864278288508</v>
      </c>
      <c r="E1473" s="77">
        <v>3369402.8473125147</v>
      </c>
      <c r="F1473" s="77" t="s">
        <v>1464</v>
      </c>
      <c r="G1473" s="25">
        <f t="shared" si="42"/>
        <v>-9.2086330935252647E-3</v>
      </c>
      <c r="I1473" s="78">
        <v>375.47785417116</v>
      </c>
      <c r="J1473" s="78">
        <v>380.80836465394503</v>
      </c>
      <c r="K1473" s="78">
        <v>367.39219378524001</v>
      </c>
      <c r="L1473" s="78">
        <v>368.84022671492994</v>
      </c>
      <c r="M1473" s="78">
        <v>825133.56257429277</v>
      </c>
      <c r="N1473" s="78" t="s">
        <v>1464</v>
      </c>
      <c r="O1473" s="25">
        <f t="shared" si="43"/>
        <v>1.7995942349748439E-2</v>
      </c>
    </row>
    <row r="1474" spans="1:15">
      <c r="A1474" s="77">
        <v>354.69438457121146</v>
      </c>
      <c r="B1474" s="77">
        <v>355.36286599123417</v>
      </c>
      <c r="C1474" s="77">
        <v>352.80963834531411</v>
      </c>
      <c r="D1474" s="77">
        <v>354.57368653704066</v>
      </c>
      <c r="E1474" s="77">
        <v>4073026.6518215877</v>
      </c>
      <c r="F1474" s="77" t="s">
        <v>1465</v>
      </c>
      <c r="G1474" s="25">
        <f t="shared" si="42"/>
        <v>3.4040324692341528E-4</v>
      </c>
      <c r="I1474" s="78">
        <v>368.79163500587998</v>
      </c>
      <c r="J1474" s="78">
        <v>371.18137525695903</v>
      </c>
      <c r="K1474" s="78">
        <v>365.39021537238</v>
      </c>
      <c r="L1474" s="78">
        <v>369.37473551447999</v>
      </c>
      <c r="M1474" s="78">
        <v>776597.50475477462</v>
      </c>
      <c r="N1474" s="78" t="s">
        <v>1465</v>
      </c>
      <c r="O1474" s="25">
        <f t="shared" si="43"/>
        <v>-1.5786150284150535E-3</v>
      </c>
    </row>
    <row r="1475" spans="1:15">
      <c r="A1475" s="77">
        <v>355.5485552745738</v>
      </c>
      <c r="B1475" s="77">
        <v>356.32845026460029</v>
      </c>
      <c r="C1475" s="77">
        <v>352.63323352614145</v>
      </c>
      <c r="D1475" s="77">
        <v>352.63323352614145</v>
      </c>
      <c r="E1475" s="77">
        <v>5566200.5981761543</v>
      </c>
      <c r="F1475" s="77" t="s">
        <v>1466</v>
      </c>
      <c r="G1475" s="25">
        <f t="shared" si="42"/>
        <v>8.2672915405070935E-3</v>
      </c>
      <c r="I1475" s="78">
        <v>370.29797798642994</v>
      </c>
      <c r="J1475" s="78">
        <v>372.84418354064996</v>
      </c>
      <c r="K1475" s="78">
        <v>362.48443117119001</v>
      </c>
      <c r="L1475" s="78">
        <v>364.88486159825999</v>
      </c>
      <c r="M1475" s="78">
        <v>734904.17806162755</v>
      </c>
      <c r="N1475" s="78" t="s">
        <v>1466</v>
      </c>
      <c r="O1475" s="25">
        <f t="shared" si="43"/>
        <v>1.4835135567037749E-2</v>
      </c>
    </row>
    <row r="1476" spans="1:15">
      <c r="A1476" s="77">
        <v>350.17285052189129</v>
      </c>
      <c r="B1476" s="77">
        <v>351.92761424945087</v>
      </c>
      <c r="C1476" s="77">
        <v>347.39679573596368</v>
      </c>
      <c r="D1476" s="77">
        <v>347.43393359263155</v>
      </c>
      <c r="E1476" s="77">
        <v>7742171.0835646698</v>
      </c>
      <c r="F1476" s="77" t="s">
        <v>1467</v>
      </c>
      <c r="G1476" s="25">
        <f t="shared" si="42"/>
        <v>7.8832740974321691E-3</v>
      </c>
      <c r="I1476" s="78">
        <v>362.93147489444999</v>
      </c>
      <c r="J1476" s="78">
        <v>368.43205635891002</v>
      </c>
      <c r="K1476" s="78">
        <v>357.70300700066997</v>
      </c>
      <c r="L1476" s="78">
        <v>365.01120004178995</v>
      </c>
      <c r="M1476" s="78">
        <v>708880.19115680805</v>
      </c>
      <c r="N1476" s="78" t="s">
        <v>1467</v>
      </c>
      <c r="O1476" s="25">
        <f t="shared" si="43"/>
        <v>-5.6977022817432665E-3</v>
      </c>
    </row>
    <row r="1477" spans="1:15">
      <c r="A1477" s="77">
        <v>346.05983289591825</v>
      </c>
      <c r="B1477" s="77">
        <v>352.13187246112443</v>
      </c>
      <c r="C1477" s="77">
        <v>345.50276504589931</v>
      </c>
      <c r="D1477" s="77">
        <v>350.98988336858565</v>
      </c>
      <c r="E1477" s="77">
        <v>8301438.68443128</v>
      </c>
      <c r="F1477" s="77" t="s">
        <v>1468</v>
      </c>
      <c r="G1477" s="25">
        <f t="shared" si="42"/>
        <v>-1.4046132684371937E-2</v>
      </c>
      <c r="I1477" s="78">
        <v>362.33865604403996</v>
      </c>
      <c r="J1477" s="78">
        <v>371.26981216742996</v>
      </c>
      <c r="K1477" s="78">
        <v>360.55048115099999</v>
      </c>
      <c r="L1477" s="78">
        <v>364.14626762069997</v>
      </c>
      <c r="M1477" s="78">
        <v>841453.21906515653</v>
      </c>
      <c r="N1477" s="78" t="s">
        <v>1468</v>
      </c>
      <c r="O1477" s="25">
        <f t="shared" si="43"/>
        <v>-4.963971176941584E-3</v>
      </c>
    </row>
    <row r="1478" spans="1:15">
      <c r="A1478" s="77">
        <v>353.6081022636746</v>
      </c>
      <c r="B1478" s="77">
        <v>354.42513511036901</v>
      </c>
      <c r="C1478" s="77">
        <v>349.97787677438464</v>
      </c>
      <c r="D1478" s="77">
        <v>352.57752674113959</v>
      </c>
      <c r="E1478" s="77">
        <v>7627258.6900423616</v>
      </c>
      <c r="F1478" s="77" t="s">
        <v>1469</v>
      </c>
      <c r="G1478" s="25">
        <f t="shared" si="42"/>
        <v>2.9229756418696073E-3</v>
      </c>
      <c r="I1478" s="78">
        <v>370.76445839330995</v>
      </c>
      <c r="J1478" s="78">
        <v>374.74897853541</v>
      </c>
      <c r="K1478" s="78">
        <v>362.94119323625995</v>
      </c>
      <c r="L1478" s="78">
        <v>366.52726136414998</v>
      </c>
      <c r="M1478" s="78">
        <v>669873.53679012042</v>
      </c>
      <c r="N1478" s="78" t="s">
        <v>1469</v>
      </c>
      <c r="O1478" s="25">
        <f t="shared" si="43"/>
        <v>1.1560387113880299E-2</v>
      </c>
    </row>
    <row r="1479" spans="1:15">
      <c r="A1479" s="77">
        <v>356.73696668794753</v>
      </c>
      <c r="B1479" s="77">
        <v>360.84998431392052</v>
      </c>
      <c r="C1479" s="77">
        <v>356.6069841896097</v>
      </c>
      <c r="D1479" s="77">
        <v>360.61787270974594</v>
      </c>
      <c r="E1479" s="77">
        <v>6400689.251549731</v>
      </c>
      <c r="F1479" s="77" t="s">
        <v>1470</v>
      </c>
      <c r="G1479" s="25">
        <f t="shared" si="42"/>
        <v>-1.0761823845935825E-2</v>
      </c>
      <c r="I1479" s="78">
        <v>369.74403250325997</v>
      </c>
      <c r="J1479" s="78">
        <v>372.47002738096495</v>
      </c>
      <c r="K1479" s="78">
        <v>368.38346464986</v>
      </c>
      <c r="L1479" s="78">
        <v>372.13474458851999</v>
      </c>
      <c r="M1479" s="78">
        <v>795508.13823454105</v>
      </c>
      <c r="N1479" s="78" t="s">
        <v>1470</v>
      </c>
      <c r="O1479" s="25">
        <f t="shared" si="43"/>
        <v>-6.424318395487405E-3</v>
      </c>
    </row>
    <row r="1480" spans="1:15">
      <c r="A1480" s="77">
        <v>360.26506307140062</v>
      </c>
      <c r="B1480" s="77">
        <v>360.86855324225445</v>
      </c>
      <c r="C1480" s="77">
        <v>357.75825774631551</v>
      </c>
      <c r="D1480" s="77">
        <v>358.39888577383726</v>
      </c>
      <c r="E1480" s="77">
        <v>3787639.1537015629</v>
      </c>
      <c r="F1480" s="77" t="s">
        <v>1471</v>
      </c>
      <c r="G1480" s="25">
        <f t="shared" si="42"/>
        <v>5.2069840940882628E-3</v>
      </c>
      <c r="I1480" s="78">
        <v>373.12601545313998</v>
      </c>
      <c r="J1480" s="78">
        <v>378.48082179044997</v>
      </c>
      <c r="K1480" s="78">
        <v>368.02388600288998</v>
      </c>
      <c r="L1480" s="78">
        <v>369.06374857655999</v>
      </c>
      <c r="M1480" s="78">
        <v>724186.30025526963</v>
      </c>
      <c r="N1480" s="78" t="s">
        <v>1471</v>
      </c>
      <c r="O1480" s="25">
        <f t="shared" si="43"/>
        <v>1.1006951759005679E-2</v>
      </c>
    </row>
    <row r="1481" spans="1:15">
      <c r="A1481" s="77">
        <v>357.71183542548056</v>
      </c>
      <c r="B1481" s="77">
        <v>357.79539560298343</v>
      </c>
      <c r="C1481" s="77">
        <v>353.06031887782262</v>
      </c>
      <c r="D1481" s="77">
        <v>354.90792724705204</v>
      </c>
      <c r="E1481" s="77">
        <v>5102382.7706148867</v>
      </c>
      <c r="F1481" s="77" t="s">
        <v>1472</v>
      </c>
      <c r="G1481" s="25">
        <f t="shared" si="42"/>
        <v>7.9003819389942276E-3</v>
      </c>
      <c r="I1481" s="78">
        <v>366.46895131328995</v>
      </c>
      <c r="J1481" s="78">
        <v>366.59528975682002</v>
      </c>
      <c r="K1481" s="78">
        <v>358.68455952347995</v>
      </c>
      <c r="L1481" s="78">
        <v>365.34162366332998</v>
      </c>
      <c r="M1481" s="78">
        <v>722957.69559889566</v>
      </c>
      <c r="N1481" s="78" t="s">
        <v>1472</v>
      </c>
      <c r="O1481" s="25">
        <f t="shared" si="43"/>
        <v>3.0856808448380679E-3</v>
      </c>
    </row>
    <row r="1482" spans="1:15">
      <c r="A1482" s="77">
        <v>354.82436706954923</v>
      </c>
      <c r="B1482" s="77">
        <v>356.43986383460407</v>
      </c>
      <c r="C1482" s="77">
        <v>354.14660118535954</v>
      </c>
      <c r="D1482" s="77">
        <v>356.26345901543141</v>
      </c>
      <c r="E1482" s="77">
        <v>4750582.1775751971</v>
      </c>
      <c r="F1482" s="77" t="s">
        <v>1473</v>
      </c>
      <c r="G1482" s="25">
        <f t="shared" si="42"/>
        <v>-4.0394037318878251E-3</v>
      </c>
      <c r="I1482" s="78">
        <v>367.69346238135</v>
      </c>
      <c r="J1482" s="78">
        <v>373.27179058028997</v>
      </c>
      <c r="K1482" s="78">
        <v>366.79937493482998</v>
      </c>
      <c r="L1482" s="78">
        <v>371.12403704027997</v>
      </c>
      <c r="M1482" s="78">
        <v>698066.61801289336</v>
      </c>
      <c r="N1482" s="78" t="s">
        <v>1473</v>
      </c>
      <c r="O1482" s="25">
        <f t="shared" si="43"/>
        <v>-9.2437414894730452E-3</v>
      </c>
    </row>
    <row r="1483" spans="1:15">
      <c r="A1483" s="77">
        <v>354.75937582038034</v>
      </c>
      <c r="B1483" s="77">
        <v>355.55783973874077</v>
      </c>
      <c r="C1483" s="77">
        <v>351.37054639943193</v>
      </c>
      <c r="D1483" s="77">
        <v>355.14932331539353</v>
      </c>
      <c r="E1483" s="77">
        <v>5908414.2082301648</v>
      </c>
      <c r="F1483" s="77" t="s">
        <v>1474</v>
      </c>
      <c r="G1483" s="25">
        <f t="shared" si="42"/>
        <v>-1.0979818048727497E-3</v>
      </c>
      <c r="I1483" s="78">
        <v>367.71289906496997</v>
      </c>
      <c r="J1483" s="78">
        <v>373.33010063114995</v>
      </c>
      <c r="K1483" s="78">
        <v>364.51556460947995</v>
      </c>
      <c r="L1483" s="78">
        <v>373.33010063114995</v>
      </c>
      <c r="M1483" s="78">
        <v>991670.20345829963</v>
      </c>
      <c r="N1483" s="78" t="s">
        <v>1474</v>
      </c>
      <c r="O1483" s="25">
        <f t="shared" si="43"/>
        <v>-1.5046205909149957E-2</v>
      </c>
    </row>
    <row r="1484" spans="1:15">
      <c r="A1484" s="77">
        <v>356.93194043545412</v>
      </c>
      <c r="B1484" s="77">
        <v>358.32461006050141</v>
      </c>
      <c r="C1484" s="77">
        <v>356.48628615543896</v>
      </c>
      <c r="D1484" s="77">
        <v>357.97180042215609</v>
      </c>
      <c r="E1484" s="77">
        <v>4503019.1563107008</v>
      </c>
      <c r="F1484" s="77" t="s">
        <v>1475</v>
      </c>
      <c r="G1484" s="25">
        <f t="shared" si="42"/>
        <v>-2.9048656499636172E-3</v>
      </c>
      <c r="I1484" s="78">
        <v>375.51672753839995</v>
      </c>
      <c r="J1484" s="78">
        <v>385.48774623546001</v>
      </c>
      <c r="K1484" s="78">
        <v>375.07940215694998</v>
      </c>
      <c r="L1484" s="78">
        <v>383.55379621526998</v>
      </c>
      <c r="M1484" s="78">
        <v>990129.81721827295</v>
      </c>
      <c r="N1484" s="78" t="s">
        <v>1475</v>
      </c>
      <c r="O1484" s="25">
        <f t="shared" si="43"/>
        <v>-2.0954214913725511E-2</v>
      </c>
    </row>
    <row r="1485" spans="1:15">
      <c r="A1485" s="77">
        <v>356.12419205292667</v>
      </c>
      <c r="B1485" s="77">
        <v>357.22904328879753</v>
      </c>
      <c r="C1485" s="77">
        <v>355.34429706290018</v>
      </c>
      <c r="D1485" s="77">
        <v>356.43986383460407</v>
      </c>
      <c r="E1485" s="77">
        <v>5621440.188827374</v>
      </c>
      <c r="F1485" s="77" t="s">
        <v>1476</v>
      </c>
      <c r="G1485" s="25">
        <f t="shared" si="42"/>
        <v>-8.8562423484672692E-4</v>
      </c>
      <c r="I1485" s="78">
        <v>381.77533966403996</v>
      </c>
      <c r="J1485" s="78">
        <v>388.19430442954496</v>
      </c>
      <c r="K1485" s="78">
        <v>379.48181099688003</v>
      </c>
      <c r="L1485" s="78">
        <v>386.04169171862998</v>
      </c>
      <c r="M1485" s="78">
        <v>974676.56367604143</v>
      </c>
      <c r="N1485" s="78" t="s">
        <v>1476</v>
      </c>
      <c r="O1485" s="25">
        <f t="shared" si="43"/>
        <v>-1.1051531858117469E-2</v>
      </c>
    </row>
    <row r="1486" spans="1:15">
      <c r="A1486" s="77">
        <v>358.49173041550711</v>
      </c>
      <c r="B1486" s="77">
        <v>359.06736719385998</v>
      </c>
      <c r="C1486" s="77">
        <v>355.41857277623603</v>
      </c>
      <c r="D1486" s="77">
        <v>358.75169541218253</v>
      </c>
      <c r="E1486" s="77">
        <v>4534327.3712784247</v>
      </c>
      <c r="F1486" s="77" t="s">
        <v>1477</v>
      </c>
      <c r="G1486" s="25">
        <f t="shared" si="42"/>
        <v>-7.2463768115926808E-4</v>
      </c>
      <c r="I1486" s="78">
        <v>388.66564400733</v>
      </c>
      <c r="J1486" s="78">
        <v>399.45300341642997</v>
      </c>
      <c r="K1486" s="78">
        <v>385.71126809709</v>
      </c>
      <c r="L1486" s="78">
        <v>396.25566896094</v>
      </c>
      <c r="M1486" s="78">
        <v>754657.54790116812</v>
      </c>
      <c r="N1486" s="78" t="s">
        <v>1477</v>
      </c>
      <c r="O1486" s="25">
        <f t="shared" si="43"/>
        <v>-1.915436307450824E-2</v>
      </c>
    </row>
    <row r="1487" spans="1:15">
      <c r="A1487" s="77">
        <v>356.11490758875971</v>
      </c>
      <c r="B1487" s="77">
        <v>357.60896356251044</v>
      </c>
      <c r="C1487" s="77">
        <v>355.8178047354163</v>
      </c>
      <c r="D1487" s="77">
        <v>356.61626865377673</v>
      </c>
      <c r="E1487" s="77">
        <v>4265608.5787742147</v>
      </c>
      <c r="F1487" s="77" t="s">
        <v>1478</v>
      </c>
      <c r="G1487" s="25">
        <f t="shared" si="42"/>
        <v>-1.4058838844051014E-3</v>
      </c>
      <c r="I1487" s="78">
        <v>394.11763376274001</v>
      </c>
      <c r="J1487" s="78">
        <v>405.25485347699998</v>
      </c>
      <c r="K1487" s="78">
        <v>381.93083313299996</v>
      </c>
      <c r="L1487" s="78">
        <v>402.94188812621996</v>
      </c>
      <c r="M1487" s="78">
        <v>884615.93223175593</v>
      </c>
      <c r="N1487" s="78" t="s">
        <v>1478</v>
      </c>
      <c r="O1487" s="25">
        <f t="shared" si="43"/>
        <v>-2.1899570691235271E-2</v>
      </c>
    </row>
    <row r="1488" spans="1:15">
      <c r="A1488" s="77">
        <v>356.2820279437654</v>
      </c>
      <c r="B1488" s="77">
        <v>356.87623365045221</v>
      </c>
      <c r="C1488" s="77">
        <v>355.33501259873321</v>
      </c>
      <c r="D1488" s="77">
        <v>356.70911329544651</v>
      </c>
      <c r="E1488" s="77">
        <v>3630410.9094275022</v>
      </c>
      <c r="F1488" s="77" t="s">
        <v>1479</v>
      </c>
      <c r="G1488" s="25">
        <f t="shared" si="42"/>
        <v>-1.1972930765224987E-3</v>
      </c>
      <c r="I1488" s="78">
        <v>401.90202555255001</v>
      </c>
      <c r="J1488" s="78">
        <v>410.73599825783998</v>
      </c>
      <c r="K1488" s="78">
        <v>401.90202555255001</v>
      </c>
      <c r="L1488" s="78">
        <v>405.43950197138997</v>
      </c>
      <c r="M1488" s="78">
        <v>929646.24795389862</v>
      </c>
      <c r="N1488" s="78" t="s">
        <v>1479</v>
      </c>
      <c r="O1488" s="25">
        <f t="shared" si="43"/>
        <v>-8.725041348066731E-3</v>
      </c>
    </row>
    <row r="1489" spans="1:15">
      <c r="A1489" s="77">
        <v>356.39344151376918</v>
      </c>
      <c r="B1489" s="77">
        <v>356.94122489962109</v>
      </c>
      <c r="C1489" s="77">
        <v>355.8920804487521</v>
      </c>
      <c r="D1489" s="77">
        <v>356.27274347959843</v>
      </c>
      <c r="E1489" s="77">
        <v>3366068.2445348874</v>
      </c>
      <c r="F1489" s="77" t="s">
        <v>1480</v>
      </c>
      <c r="G1489" s="25">
        <f t="shared" si="42"/>
        <v>3.3877987126351705E-4</v>
      </c>
      <c r="I1489" s="78">
        <v>408.90894999756</v>
      </c>
      <c r="J1489" s="78">
        <v>409.20050025185998</v>
      </c>
      <c r="K1489" s="78">
        <v>401.21212046745808</v>
      </c>
      <c r="L1489" s="78">
        <v>405.98372911274998</v>
      </c>
      <c r="M1489" s="78">
        <v>879131.45750941639</v>
      </c>
      <c r="N1489" s="78" t="s">
        <v>1480</v>
      </c>
      <c r="O1489" s="25">
        <f t="shared" si="43"/>
        <v>7.2052663076003221E-3</v>
      </c>
    </row>
    <row r="1490" spans="1:15">
      <c r="A1490" s="77">
        <v>355.62283098790965</v>
      </c>
      <c r="B1490" s="77">
        <v>356.94586713170457</v>
      </c>
      <c r="C1490" s="77">
        <v>352.30827728029709</v>
      </c>
      <c r="D1490" s="77">
        <v>352.4104063861339</v>
      </c>
      <c r="E1490" s="77">
        <v>4074773.6562483679</v>
      </c>
      <c r="F1490" s="77" t="s">
        <v>1481</v>
      </c>
      <c r="G1490" s="25">
        <f t="shared" si="42"/>
        <v>9.1155781542271441E-3</v>
      </c>
      <c r="I1490" s="78">
        <v>403.28203008957001</v>
      </c>
      <c r="J1490" s="78">
        <v>404.9729243810919</v>
      </c>
      <c r="K1490" s="78">
        <v>398.49088757724002</v>
      </c>
      <c r="L1490" s="78">
        <v>399.35581999832999</v>
      </c>
      <c r="M1490" s="78">
        <v>821412.76321294566</v>
      </c>
      <c r="N1490" s="78" t="s">
        <v>1481</v>
      </c>
      <c r="O1490" s="25">
        <f t="shared" si="43"/>
        <v>9.831358138855828E-3</v>
      </c>
    </row>
    <row r="1491" spans="1:15">
      <c r="A1491" s="77">
        <v>351.87190746444895</v>
      </c>
      <c r="B1491" s="77">
        <v>355.70174893332899</v>
      </c>
      <c r="C1491" s="77">
        <v>350.9156076552498</v>
      </c>
      <c r="D1491" s="77">
        <v>354.9636340320539</v>
      </c>
      <c r="E1491" s="77">
        <v>4270592.1727832854</v>
      </c>
      <c r="F1491" s="77" t="s">
        <v>1482</v>
      </c>
      <c r="G1491" s="25">
        <f t="shared" si="42"/>
        <v>-8.7099811676081274E-3</v>
      </c>
      <c r="I1491" s="78">
        <v>396.91651620402001</v>
      </c>
      <c r="J1491" s="78">
        <v>399.84173708882997</v>
      </c>
      <c r="K1491" s="78">
        <v>390.69677744561994</v>
      </c>
      <c r="L1491" s="78">
        <v>390.69677744561994</v>
      </c>
      <c r="M1491" s="78">
        <v>698560.52943254111</v>
      </c>
      <c r="N1491" s="78" t="s">
        <v>1482</v>
      </c>
      <c r="O1491" s="25">
        <f t="shared" si="43"/>
        <v>1.591960598975195E-2</v>
      </c>
    </row>
    <row r="1492" spans="1:15">
      <c r="A1492" s="77">
        <v>355.1307543870596</v>
      </c>
      <c r="B1492" s="77">
        <v>355.28859027789832</v>
      </c>
      <c r="C1492" s="77">
        <v>351.08272801025544</v>
      </c>
      <c r="D1492" s="77">
        <v>351.2127105085932</v>
      </c>
      <c r="E1492" s="77">
        <v>3920613.9789360194</v>
      </c>
      <c r="F1492" s="77" t="s">
        <v>1483</v>
      </c>
      <c r="G1492" s="25">
        <f t="shared" si="42"/>
        <v>1.1155757639843555E-2</v>
      </c>
      <c r="I1492" s="78">
        <v>391.96988022272996</v>
      </c>
      <c r="J1492" s="78">
        <v>392.68903751667</v>
      </c>
      <c r="K1492" s="78">
        <v>383.87936066590498</v>
      </c>
      <c r="L1492" s="78">
        <v>386.81915906342994</v>
      </c>
      <c r="M1492" s="78">
        <v>570711.55845669936</v>
      </c>
      <c r="N1492" s="78" t="s">
        <v>1483</v>
      </c>
      <c r="O1492" s="25">
        <f t="shared" si="43"/>
        <v>1.3315579227696439E-2</v>
      </c>
    </row>
    <row r="1493" spans="1:15">
      <c r="A1493" s="77">
        <v>351.82548514361406</v>
      </c>
      <c r="B1493" s="77">
        <v>353.88663618868407</v>
      </c>
      <c r="C1493" s="77">
        <v>350.45602667898419</v>
      </c>
      <c r="D1493" s="77">
        <v>353.26457708949624</v>
      </c>
      <c r="E1493" s="77">
        <v>4423237.4923742693</v>
      </c>
      <c r="F1493" s="77" t="s">
        <v>1484</v>
      </c>
      <c r="G1493" s="25">
        <f t="shared" si="42"/>
        <v>-4.0736944466345237E-3</v>
      </c>
      <c r="I1493" s="78">
        <v>387.16901936859</v>
      </c>
      <c r="J1493" s="78">
        <v>395.48791995795</v>
      </c>
      <c r="K1493" s="78">
        <v>384.35070024368997</v>
      </c>
      <c r="L1493" s="78">
        <v>390.51212895122995</v>
      </c>
      <c r="M1493" s="78">
        <v>587655.80709699285</v>
      </c>
      <c r="N1493" s="78" t="s">
        <v>1484</v>
      </c>
      <c r="O1493" s="25">
        <f t="shared" si="43"/>
        <v>-8.5608341836098667E-3</v>
      </c>
    </row>
    <row r="1494" spans="1:15">
      <c r="A1494" s="77">
        <v>354.42513511036901</v>
      </c>
      <c r="B1494" s="77">
        <v>355.67853777291151</v>
      </c>
      <c r="C1494" s="77">
        <v>353.15316351949247</v>
      </c>
      <c r="D1494" s="77">
        <v>355.24216795706337</v>
      </c>
      <c r="E1494" s="77">
        <v>4249833.8396653226</v>
      </c>
      <c r="F1494" s="77" t="s">
        <v>1485</v>
      </c>
      <c r="G1494" s="25">
        <f t="shared" si="42"/>
        <v>-2.2999320474620388E-3</v>
      </c>
      <c r="I1494" s="78">
        <v>392.79593927657999</v>
      </c>
      <c r="J1494" s="78">
        <v>393.83580185024999</v>
      </c>
      <c r="K1494" s="78">
        <v>382.27097509635001</v>
      </c>
      <c r="L1494" s="78">
        <v>386.83859574705002</v>
      </c>
      <c r="M1494" s="78">
        <v>932723.93348757923</v>
      </c>
      <c r="N1494" s="78" t="s">
        <v>1485</v>
      </c>
      <c r="O1494" s="25">
        <f t="shared" si="43"/>
        <v>1.5400075367416166E-2</v>
      </c>
    </row>
    <row r="1495" spans="1:15">
      <c r="A1495" s="77">
        <v>356.17989883792859</v>
      </c>
      <c r="B1495" s="77">
        <v>356.66269097461162</v>
      </c>
      <c r="C1495" s="77">
        <v>354.84293599788316</v>
      </c>
      <c r="D1495" s="77">
        <v>356.11305069592629</v>
      </c>
      <c r="E1495" s="77">
        <v>3503119.7724545249</v>
      </c>
      <c r="F1495" s="77" t="s">
        <v>1486</v>
      </c>
      <c r="G1495" s="25">
        <f t="shared" si="42"/>
        <v>1.8771606901712978E-4</v>
      </c>
      <c r="I1495" s="78">
        <v>387.76183821899997</v>
      </c>
      <c r="J1495" s="78">
        <v>391.05635609258997</v>
      </c>
      <c r="K1495" s="78">
        <v>379.52068436411997</v>
      </c>
      <c r="L1495" s="78">
        <v>390.57043900208998</v>
      </c>
      <c r="M1495" s="78">
        <v>1211181.9310459096</v>
      </c>
      <c r="N1495" s="78" t="s">
        <v>1486</v>
      </c>
      <c r="O1495" s="25">
        <f t="shared" si="43"/>
        <v>-7.1910224190698813E-3</v>
      </c>
    </row>
    <row r="1496" spans="1:15">
      <c r="A1496" s="77">
        <v>354.935780639553</v>
      </c>
      <c r="B1496" s="77">
        <v>355.16789224372758</v>
      </c>
      <c r="C1496" s="77">
        <v>353.06960334198959</v>
      </c>
      <c r="D1496" s="77">
        <v>353.11602566282448</v>
      </c>
      <c r="E1496" s="77">
        <v>3849256.0644581867</v>
      </c>
      <c r="F1496" s="77" t="s">
        <v>1487</v>
      </c>
      <c r="G1496" s="25">
        <f t="shared" si="42"/>
        <v>5.1534193989430932E-3</v>
      </c>
      <c r="I1496" s="78">
        <v>390.63846739475997</v>
      </c>
      <c r="J1496" s="78">
        <v>396.23623227732003</v>
      </c>
      <c r="K1496" s="78">
        <v>388.36437541122001</v>
      </c>
      <c r="L1496" s="78">
        <v>392.38776892055995</v>
      </c>
      <c r="M1496" s="78">
        <v>1008442.6120838406</v>
      </c>
      <c r="N1496" s="78" t="s">
        <v>1487</v>
      </c>
      <c r="O1496" s="25">
        <f t="shared" si="43"/>
        <v>-4.4580939171784406E-3</v>
      </c>
    </row>
    <row r="1497" spans="1:15">
      <c r="A1497" s="77">
        <v>351.16628818775831</v>
      </c>
      <c r="B1497" s="77">
        <v>353.28314601783018</v>
      </c>
      <c r="C1497" s="77">
        <v>350.67421158690826</v>
      </c>
      <c r="D1497" s="77">
        <v>352.30827728029709</v>
      </c>
      <c r="E1497" s="77">
        <v>3975519.6784822443</v>
      </c>
      <c r="F1497" s="77" t="s">
        <v>1488</v>
      </c>
      <c r="G1497" s="25">
        <f t="shared" si="42"/>
        <v>-3.2414483740051958E-3</v>
      </c>
      <c r="I1497" s="78">
        <v>386.85803243066999</v>
      </c>
      <c r="J1497" s="78">
        <v>397.07162093930759</v>
      </c>
      <c r="K1497" s="78">
        <v>385.44887286822001</v>
      </c>
      <c r="L1497" s="78">
        <v>395.19636970364996</v>
      </c>
      <c r="M1497" s="78">
        <v>674573.92713376891</v>
      </c>
      <c r="N1497" s="78" t="s">
        <v>1488</v>
      </c>
      <c r="O1497" s="25">
        <f t="shared" si="43"/>
        <v>-2.109922537808917E-2</v>
      </c>
    </row>
    <row r="1498" spans="1:15">
      <c r="A1498" s="77">
        <v>352.29899281613012</v>
      </c>
      <c r="B1498" s="77">
        <v>352.92105191531789</v>
      </c>
      <c r="C1498" s="77">
        <v>350.87846979858188</v>
      </c>
      <c r="D1498" s="77">
        <v>351.29627068609608</v>
      </c>
      <c r="E1498" s="77">
        <v>3215622.2979645478</v>
      </c>
      <c r="F1498" s="77" t="s">
        <v>1489</v>
      </c>
      <c r="G1498" s="25">
        <f t="shared" si="42"/>
        <v>2.8543489177259573E-3</v>
      </c>
      <c r="I1498" s="78">
        <v>391.79495007014998</v>
      </c>
      <c r="J1498" s="78">
        <v>395.53651166700001</v>
      </c>
      <c r="K1498" s="78">
        <v>388.42268546207998</v>
      </c>
      <c r="L1498" s="78">
        <v>388.86001084353001</v>
      </c>
      <c r="M1498" s="78">
        <v>722389.69746630057</v>
      </c>
      <c r="N1498" s="78" t="s">
        <v>1489</v>
      </c>
      <c r="O1498" s="25">
        <f t="shared" si="43"/>
        <v>7.5475470472095019E-3</v>
      </c>
    </row>
    <row r="1499" spans="1:15">
      <c r="A1499" s="77">
        <v>351.34269300693097</v>
      </c>
      <c r="B1499" s="77">
        <v>351.55623568277156</v>
      </c>
      <c r="C1499" s="77">
        <v>350.09848196391374</v>
      </c>
      <c r="D1499" s="77">
        <v>350.67421158690826</v>
      </c>
      <c r="E1499" s="77">
        <v>2959275.7865025224</v>
      </c>
      <c r="F1499" s="77" t="s">
        <v>1490</v>
      </c>
      <c r="G1499" s="25">
        <f t="shared" si="42"/>
        <v>1.9062748212868019E-3</v>
      </c>
      <c r="I1499" s="78">
        <v>387.75211987719001</v>
      </c>
      <c r="J1499" s="78">
        <v>393.59284330499997</v>
      </c>
      <c r="K1499" s="78">
        <v>383.91337486224</v>
      </c>
      <c r="L1499" s="78">
        <v>391.43537142317996</v>
      </c>
      <c r="M1499" s="78">
        <v>665042.46571669006</v>
      </c>
      <c r="N1499" s="78" t="s">
        <v>1490</v>
      </c>
      <c r="O1499" s="25">
        <f t="shared" si="43"/>
        <v>-9.4096032573611765E-3</v>
      </c>
    </row>
    <row r="1500" spans="1:15">
      <c r="A1500" s="77">
        <v>351.1848571160923</v>
      </c>
      <c r="B1500" s="77">
        <v>351.32412407859698</v>
      </c>
      <c r="C1500" s="77">
        <v>348.47379357933352</v>
      </c>
      <c r="D1500" s="77">
        <v>348.55735375683639</v>
      </c>
      <c r="E1500" s="77">
        <v>2830028.693895123</v>
      </c>
      <c r="F1500" s="77" t="s">
        <v>1491</v>
      </c>
      <c r="G1500" s="25">
        <f t="shared" si="42"/>
        <v>7.5382238559480452E-3</v>
      </c>
      <c r="I1500" s="78">
        <v>392.00875358997001</v>
      </c>
      <c r="J1500" s="78">
        <v>394.81735437305997</v>
      </c>
      <c r="K1500" s="78">
        <v>383.38858440449997</v>
      </c>
      <c r="L1500" s="78">
        <v>394.81735437305997</v>
      </c>
      <c r="M1500" s="78">
        <v>681330.22376170161</v>
      </c>
      <c r="N1500" s="78" t="s">
        <v>1491</v>
      </c>
      <c r="O1500" s="25">
        <f t="shared" si="43"/>
        <v>-7.1136710480971255E-3</v>
      </c>
    </row>
    <row r="1501" spans="1:15">
      <c r="A1501" s="77">
        <v>348.67805179100714</v>
      </c>
      <c r="B1501" s="77">
        <v>348.68733625517416</v>
      </c>
      <c r="C1501" s="77">
        <v>347.29466663012687</v>
      </c>
      <c r="D1501" s="77">
        <v>348.13955286932224</v>
      </c>
      <c r="E1501" s="77">
        <v>4253797.4502020366</v>
      </c>
      <c r="F1501" s="77" t="s">
        <v>1492</v>
      </c>
      <c r="G1501" s="25">
        <f t="shared" si="42"/>
        <v>1.5467904098993568E-3</v>
      </c>
      <c r="I1501" s="78">
        <v>392.36833223693998</v>
      </c>
      <c r="J1501" s="78">
        <v>397.66482852338999</v>
      </c>
      <c r="K1501" s="78">
        <v>390.88142594000999</v>
      </c>
      <c r="L1501" s="78">
        <v>393.80664682482001</v>
      </c>
      <c r="M1501" s="78">
        <v>771584.30384534912</v>
      </c>
      <c r="N1501" s="78" t="s">
        <v>1492</v>
      </c>
      <c r="O1501" s="25">
        <f t="shared" si="43"/>
        <v>-3.6523370021224189E-3</v>
      </c>
    </row>
    <row r="1502" spans="1:15">
      <c r="A1502" s="77">
        <v>346.98827931261644</v>
      </c>
      <c r="B1502" s="77">
        <v>347.31295702453582</v>
      </c>
      <c r="C1502" s="77">
        <v>346.05054843175128</v>
      </c>
      <c r="D1502" s="77">
        <v>346.44049592676447</v>
      </c>
      <c r="E1502" s="77">
        <v>2982288.4231132418</v>
      </c>
      <c r="F1502" s="77" t="s">
        <v>1493</v>
      </c>
      <c r="G1502" s="25">
        <f t="shared" si="42"/>
        <v>1.5811759661255032E-3</v>
      </c>
      <c r="I1502" s="78">
        <v>389.26818119954999</v>
      </c>
      <c r="J1502" s="78">
        <v>402.94188812621996</v>
      </c>
      <c r="K1502" s="78">
        <v>387.45085128108002</v>
      </c>
      <c r="L1502" s="78">
        <v>400.54145769914999</v>
      </c>
      <c r="M1502" s="78">
        <v>1029429.7314903766</v>
      </c>
      <c r="N1502" s="78" t="s">
        <v>1493</v>
      </c>
      <c r="O1502" s="25">
        <f t="shared" si="43"/>
        <v>-2.814509280601718E-2</v>
      </c>
    </row>
    <row r="1503" spans="1:15">
      <c r="A1503" s="77">
        <v>346.5519094967683</v>
      </c>
      <c r="B1503" s="77">
        <v>347.54534716263532</v>
      </c>
      <c r="C1503" s="77">
        <v>346.00412611091639</v>
      </c>
      <c r="D1503" s="77">
        <v>346.34765128509468</v>
      </c>
      <c r="E1503" s="77">
        <v>3859663.7733213049</v>
      </c>
      <c r="F1503" s="77" t="s">
        <v>1494</v>
      </c>
      <c r="G1503" s="25">
        <f t="shared" si="42"/>
        <v>5.8974908856956887E-4</v>
      </c>
      <c r="I1503" s="78">
        <v>403.15569164603994</v>
      </c>
      <c r="J1503" s="78">
        <v>414.42896814564</v>
      </c>
      <c r="K1503" s="78">
        <v>401.35779841119</v>
      </c>
      <c r="L1503" s="78">
        <v>412.40755304916001</v>
      </c>
      <c r="M1503" s="78">
        <v>3270419.0304662683</v>
      </c>
      <c r="N1503" s="78" t="s">
        <v>1494</v>
      </c>
      <c r="O1503" s="25">
        <f t="shared" si="43"/>
        <v>-2.2433782637383493E-2</v>
      </c>
    </row>
    <row r="1504" spans="1:15">
      <c r="A1504" s="77">
        <v>346.74688324427495</v>
      </c>
      <c r="B1504" s="77">
        <v>347.30395109429384</v>
      </c>
      <c r="C1504" s="77">
        <v>344.27721577585771</v>
      </c>
      <c r="D1504" s="77">
        <v>344.35149148919356</v>
      </c>
      <c r="E1504" s="77">
        <v>4054186.5769552253</v>
      </c>
      <c r="F1504" s="77" t="s">
        <v>1495</v>
      </c>
      <c r="G1504" s="25">
        <f t="shared" si="42"/>
        <v>6.9562403947263096E-3</v>
      </c>
      <c r="I1504" s="78">
        <v>373.70911596174</v>
      </c>
      <c r="J1504" s="78">
        <v>376.989056322615</v>
      </c>
      <c r="K1504" s="78">
        <v>368.57783148605995</v>
      </c>
      <c r="L1504" s="78">
        <v>375.15714889142998</v>
      </c>
      <c r="M1504" s="78">
        <v>1037324.0823477478</v>
      </c>
      <c r="N1504" s="78" t="s">
        <v>1495</v>
      </c>
      <c r="O1504" s="25">
        <f t="shared" si="43"/>
        <v>-3.8598036422039517E-3</v>
      </c>
    </row>
    <row r="1505" spans="1:15">
      <c r="A1505" s="77">
        <v>341.81683277160749</v>
      </c>
      <c r="B1505" s="77">
        <v>341.93753080577829</v>
      </c>
      <c r="C1505" s="77">
        <v>339.83924190404031</v>
      </c>
      <c r="D1505" s="77">
        <v>339.99707779487903</v>
      </c>
      <c r="E1505" s="77">
        <v>5527492.9254945088</v>
      </c>
      <c r="F1505" s="77" t="s">
        <v>1496</v>
      </c>
      <c r="G1505" s="25">
        <f t="shared" si="42"/>
        <v>5.3522665210268272E-3</v>
      </c>
      <c r="I1505" s="78">
        <v>374.19503305223998</v>
      </c>
      <c r="J1505" s="78">
        <v>387.70352816814</v>
      </c>
      <c r="K1505" s="78">
        <v>370.01614607393998</v>
      </c>
      <c r="L1505" s="78">
        <v>382.13491831100998</v>
      </c>
      <c r="M1505" s="78">
        <v>1400625.7719803334</v>
      </c>
      <c r="N1505" s="78" t="s">
        <v>1496</v>
      </c>
      <c r="O1505" s="25">
        <f t="shared" si="43"/>
        <v>-2.0777701482668332E-2</v>
      </c>
    </row>
    <row r="1506" spans="1:15">
      <c r="A1506" s="77">
        <v>338.23302960315249</v>
      </c>
      <c r="B1506" s="77">
        <v>339.64426815653371</v>
      </c>
      <c r="C1506" s="77">
        <v>337.38814336395711</v>
      </c>
      <c r="D1506" s="77">
        <v>337.38814336395711</v>
      </c>
      <c r="E1506" s="77">
        <v>8046069.0737183848</v>
      </c>
      <c r="F1506" s="77" t="s">
        <v>1497</v>
      </c>
      <c r="G1506" s="25">
        <f t="shared" si="42"/>
        <v>2.5041965931920096E-3</v>
      </c>
      <c r="I1506" s="78">
        <v>373.24263555485999</v>
      </c>
      <c r="J1506" s="78">
        <v>378.09208811805001</v>
      </c>
      <c r="K1506" s="78">
        <v>362.51358619662</v>
      </c>
      <c r="L1506" s="78">
        <v>362.70163611064351</v>
      </c>
      <c r="M1506" s="78">
        <v>2567061.3863703976</v>
      </c>
      <c r="N1506" s="78" t="s">
        <v>1497</v>
      </c>
      <c r="O1506" s="25">
        <f t="shared" si="43"/>
        <v>2.9062453528610144E-2</v>
      </c>
    </row>
    <row r="1507" spans="1:15">
      <c r="A1507" s="77">
        <v>336.89606676310706</v>
      </c>
      <c r="B1507" s="77">
        <v>337.46241907729296</v>
      </c>
      <c r="C1507" s="77">
        <v>335.41983696055689</v>
      </c>
      <c r="D1507" s="77">
        <v>336.61753283809759</v>
      </c>
      <c r="E1507" s="77">
        <v>3981024.573442339</v>
      </c>
      <c r="F1507" s="77" t="s">
        <v>1498</v>
      </c>
      <c r="G1507" s="25">
        <f t="shared" si="42"/>
        <v>8.2744924977928846E-4</v>
      </c>
      <c r="I1507" s="78">
        <v>358.56793942175995</v>
      </c>
      <c r="J1507" s="78">
        <v>393.77535376419178</v>
      </c>
      <c r="K1507" s="78">
        <v>353.981853921621</v>
      </c>
      <c r="L1507" s="78">
        <v>383.29140098639994</v>
      </c>
      <c r="M1507" s="78">
        <v>4647100.388414925</v>
      </c>
      <c r="N1507" s="78" t="s">
        <v>1498</v>
      </c>
      <c r="O1507" s="25">
        <f t="shared" si="43"/>
        <v>-6.450304259634887E-2</v>
      </c>
    </row>
    <row r="1508" spans="1:15">
      <c r="A1508" s="77">
        <v>337.75952193063642</v>
      </c>
      <c r="B1508" s="77">
        <v>338.58583924149775</v>
      </c>
      <c r="C1508" s="77">
        <v>335.27100699996021</v>
      </c>
      <c r="D1508" s="77">
        <v>336.62681730226456</v>
      </c>
      <c r="E1508" s="77">
        <v>3385581.4869516431</v>
      </c>
      <c r="F1508" s="77" t="s">
        <v>1499</v>
      </c>
      <c r="G1508" s="25">
        <f t="shared" si="42"/>
        <v>3.3648674738673279E-3</v>
      </c>
      <c r="I1508" s="78">
        <v>383.874501495</v>
      </c>
      <c r="J1508" s="78">
        <v>391.62973825938002</v>
      </c>
      <c r="K1508" s="78">
        <v>378.56828686673998</v>
      </c>
      <c r="L1508" s="78">
        <v>390.19142367149999</v>
      </c>
      <c r="M1508" s="78">
        <v>1413548.758478994</v>
      </c>
      <c r="N1508" s="78" t="s">
        <v>1499</v>
      </c>
      <c r="O1508" s="25">
        <f t="shared" si="43"/>
        <v>-1.6189290161892855E-2</v>
      </c>
    </row>
    <row r="1509" spans="1:15">
      <c r="A1509" s="77">
        <v>337.96378014230999</v>
      </c>
      <c r="B1509" s="77">
        <v>338.29802085232132</v>
      </c>
      <c r="C1509" s="77">
        <v>333.08015199047748</v>
      </c>
      <c r="D1509" s="77">
        <v>333.65578876883035</v>
      </c>
      <c r="E1509" s="77">
        <v>3578712.7186253909</v>
      </c>
      <c r="F1509" s="77" t="s">
        <v>1500</v>
      </c>
      <c r="G1509" s="25">
        <f t="shared" si="42"/>
        <v>1.2911483985864169E-2</v>
      </c>
      <c r="I1509" s="78">
        <v>390.15255030425999</v>
      </c>
      <c r="J1509" s="78">
        <v>391.38677971413</v>
      </c>
      <c r="K1509" s="78">
        <v>382.392454368975</v>
      </c>
      <c r="L1509" s="78">
        <v>388.73367239999999</v>
      </c>
      <c r="M1509" s="78">
        <v>1195004.2740881946</v>
      </c>
      <c r="N1509" s="78" t="s">
        <v>1500</v>
      </c>
      <c r="O1509" s="25">
        <f t="shared" si="43"/>
        <v>3.6499999999999311E-3</v>
      </c>
    </row>
    <row r="1510" spans="1:15">
      <c r="A1510" s="77">
        <v>332.53933195275067</v>
      </c>
      <c r="B1510" s="77">
        <v>333.28873199971872</v>
      </c>
      <c r="C1510" s="77">
        <v>327.64510201637904</v>
      </c>
      <c r="D1510" s="77">
        <v>329.43996138812969</v>
      </c>
      <c r="E1510" s="77">
        <v>5931024.1278774114</v>
      </c>
      <c r="F1510" s="77" t="s">
        <v>1501</v>
      </c>
      <c r="G1510" s="25">
        <f t="shared" si="42"/>
        <v>9.4079982026511466E-3</v>
      </c>
      <c r="I1510" s="78">
        <v>386.91634248152997</v>
      </c>
      <c r="J1510" s="78">
        <v>398.36454913371</v>
      </c>
      <c r="K1510" s="78">
        <v>383.21404298559241</v>
      </c>
      <c r="L1510" s="78">
        <v>393.21382797440998</v>
      </c>
      <c r="M1510" s="78">
        <v>1311979.9909569141</v>
      </c>
      <c r="N1510" s="78" t="s">
        <v>1501</v>
      </c>
      <c r="O1510" s="25">
        <f t="shared" si="43"/>
        <v>-1.601542225847119E-2</v>
      </c>
    </row>
    <row r="1511" spans="1:15">
      <c r="A1511" s="77">
        <v>330.6797096139781</v>
      </c>
      <c r="B1511" s="77">
        <v>335.16685804335469</v>
      </c>
      <c r="C1511" s="77">
        <v>330.6797096139781</v>
      </c>
      <c r="D1511" s="77">
        <v>333.72356906400881</v>
      </c>
      <c r="E1511" s="77">
        <v>4430445.7191227404</v>
      </c>
      <c r="F1511" s="77" t="s">
        <v>1502</v>
      </c>
      <c r="G1511" s="25">
        <f t="shared" si="42"/>
        <v>-9.1209004463418397E-3</v>
      </c>
      <c r="I1511" s="78">
        <v>395.34214483080001</v>
      </c>
      <c r="J1511" s="78">
        <v>409.67669900055</v>
      </c>
      <c r="K1511" s="78">
        <v>393.39847646879997</v>
      </c>
      <c r="L1511" s="78">
        <v>405.89626403646002</v>
      </c>
      <c r="M1511" s="78">
        <v>671717.4727568056</v>
      </c>
      <c r="N1511" s="78" t="s">
        <v>1502</v>
      </c>
      <c r="O1511" s="25">
        <f t="shared" si="43"/>
        <v>-2.6002011205286668E-2</v>
      </c>
    </row>
    <row r="1512" spans="1:15">
      <c r="A1512" s="77">
        <v>332.52082824788727</v>
      </c>
      <c r="B1512" s="77">
        <v>335.7867321562789</v>
      </c>
      <c r="C1512" s="77">
        <v>331.68816152903383</v>
      </c>
      <c r="D1512" s="77">
        <v>334.48222096340857</v>
      </c>
      <c r="E1512" s="77">
        <v>5355256.1895837104</v>
      </c>
      <c r="F1512" s="77" t="s">
        <v>1503</v>
      </c>
      <c r="G1512" s="25">
        <f t="shared" si="42"/>
        <v>-5.8639670290154822E-3</v>
      </c>
      <c r="I1512" s="78">
        <v>404.70090799383001</v>
      </c>
      <c r="J1512" s="78">
        <v>419.56997096313</v>
      </c>
      <c r="K1512" s="78">
        <v>404.49682281582</v>
      </c>
      <c r="L1512" s="78">
        <v>419.23954734158997</v>
      </c>
      <c r="M1512" s="78">
        <v>732175.31746807334</v>
      </c>
      <c r="N1512" s="78" t="s">
        <v>1503</v>
      </c>
      <c r="O1512" s="25">
        <f t="shared" si="43"/>
        <v>-3.4678597093117491E-2</v>
      </c>
    </row>
    <row r="1513" spans="1:15">
      <c r="A1513" s="77">
        <v>334.98182099472064</v>
      </c>
      <c r="B1513" s="77">
        <v>336.30483589245438</v>
      </c>
      <c r="C1513" s="77">
        <v>332.84464308299692</v>
      </c>
      <c r="D1513" s="77">
        <v>332.87239864029203</v>
      </c>
      <c r="E1513" s="77">
        <v>3694013.7396575385</v>
      </c>
      <c r="F1513" s="77" t="s">
        <v>1504</v>
      </c>
      <c r="G1513" s="25">
        <f t="shared" si="42"/>
        <v>6.3370299341283243E-3</v>
      </c>
      <c r="I1513" s="78">
        <v>417.81095109552001</v>
      </c>
      <c r="J1513" s="78">
        <v>419.00630713814996</v>
      </c>
      <c r="K1513" s="78">
        <v>404.51625949943997</v>
      </c>
      <c r="L1513" s="78">
        <v>404.51625949943997</v>
      </c>
      <c r="M1513" s="78">
        <v>1171972.5672007415</v>
      </c>
      <c r="N1513" s="78" t="s">
        <v>1504</v>
      </c>
      <c r="O1513" s="25">
        <f t="shared" si="43"/>
        <v>3.286565443013667E-2</v>
      </c>
    </row>
    <row r="1514" spans="1:15">
      <c r="A1514" s="77">
        <v>332.35429490411661</v>
      </c>
      <c r="B1514" s="77">
        <v>334.14915427586726</v>
      </c>
      <c r="C1514" s="77">
        <v>330.42065774589037</v>
      </c>
      <c r="D1514" s="77">
        <v>332.74287270624814</v>
      </c>
      <c r="E1514" s="77">
        <v>5818027.2974894224</v>
      </c>
      <c r="F1514" s="77" t="s">
        <v>1505</v>
      </c>
      <c r="G1514" s="25">
        <f t="shared" si="42"/>
        <v>-1.167802029750975E-3</v>
      </c>
      <c r="I1514" s="78">
        <v>404.18583587789999</v>
      </c>
      <c r="J1514" s="78">
        <v>406.226687658</v>
      </c>
      <c r="K1514" s="78">
        <v>395.54137083790499</v>
      </c>
      <c r="L1514" s="78">
        <v>399.17117150394</v>
      </c>
      <c r="M1514" s="78">
        <v>1261040.2308951099</v>
      </c>
      <c r="N1514" s="78" t="s">
        <v>1505</v>
      </c>
      <c r="O1514" s="25">
        <f t="shared" si="43"/>
        <v>1.2562691727126651E-2</v>
      </c>
    </row>
    <row r="1515" spans="1:15">
      <c r="A1515" s="77">
        <v>332.94641345974566</v>
      </c>
      <c r="B1515" s="77">
        <v>337.47056929884911</v>
      </c>
      <c r="C1515" s="77">
        <v>332.40055416627507</v>
      </c>
      <c r="D1515" s="77">
        <v>335.59244325521314</v>
      </c>
      <c r="E1515" s="77">
        <v>5484297.3744505187</v>
      </c>
      <c r="F1515" s="77" t="s">
        <v>1506</v>
      </c>
      <c r="G1515" s="25">
        <f t="shared" si="42"/>
        <v>-7.8846524963472886E-3</v>
      </c>
      <c r="I1515" s="78">
        <v>397.66482852338999</v>
      </c>
      <c r="J1515" s="78">
        <v>404.20527256152002</v>
      </c>
      <c r="K1515" s="78">
        <v>393.91354858472999</v>
      </c>
      <c r="L1515" s="78">
        <v>400.85244463706999</v>
      </c>
      <c r="M1515" s="78">
        <v>978212.14625502052</v>
      </c>
      <c r="N1515" s="78" t="s">
        <v>1506</v>
      </c>
      <c r="O1515" s="25">
        <f t="shared" si="43"/>
        <v>-7.9520934855868974E-3</v>
      </c>
    </row>
    <row r="1516" spans="1:15">
      <c r="A1516" s="77">
        <v>337.91465821557091</v>
      </c>
      <c r="B1516" s="77">
        <v>338.66405826253896</v>
      </c>
      <c r="C1516" s="77">
        <v>334.56548763529395</v>
      </c>
      <c r="D1516" s="77">
        <v>335.68496177953017</v>
      </c>
      <c r="E1516" s="77">
        <v>5416811.42992114</v>
      </c>
      <c r="F1516" s="77" t="s">
        <v>1507</v>
      </c>
      <c r="G1516" s="25">
        <f t="shared" si="42"/>
        <v>6.6422291431247338E-3</v>
      </c>
      <c r="I1516" s="78">
        <v>408.28697612171999</v>
      </c>
      <c r="J1516" s="78">
        <v>412.16459450391</v>
      </c>
      <c r="K1516" s="78">
        <v>397.14003806564995</v>
      </c>
      <c r="L1516" s="78">
        <v>402.31019590856999</v>
      </c>
      <c r="M1516" s="78">
        <v>913107.41827056604</v>
      </c>
      <c r="N1516" s="78" t="s">
        <v>1507</v>
      </c>
      <c r="O1516" s="25">
        <f t="shared" si="43"/>
        <v>1.4856148996304164E-2</v>
      </c>
    </row>
    <row r="1517" spans="1:15">
      <c r="A1517" s="77">
        <v>336.81368777619809</v>
      </c>
      <c r="B1517" s="77">
        <v>338.41425824688292</v>
      </c>
      <c r="C1517" s="77">
        <v>336.07353958166175</v>
      </c>
      <c r="D1517" s="77">
        <v>337.80363598639047</v>
      </c>
      <c r="E1517" s="77">
        <v>3997466.4828486443</v>
      </c>
      <c r="F1517" s="77" t="s">
        <v>1508</v>
      </c>
      <c r="G1517" s="25">
        <f t="shared" si="42"/>
        <v>-2.9305433829973637E-3</v>
      </c>
      <c r="I1517" s="78">
        <v>407.71359395492993</v>
      </c>
      <c r="J1517" s="78">
        <v>413.53225674683125</v>
      </c>
      <c r="K1517" s="78">
        <v>400.42483759742998</v>
      </c>
      <c r="L1517" s="78">
        <v>409.20050025185998</v>
      </c>
      <c r="M1517" s="78">
        <v>1118285.4248671462</v>
      </c>
      <c r="N1517" s="78" t="s">
        <v>1508</v>
      </c>
      <c r="O1517" s="25">
        <f t="shared" si="43"/>
        <v>-3.6336864104878908E-3</v>
      </c>
    </row>
    <row r="1518" spans="1:15">
      <c r="A1518" s="77">
        <v>337.19301372589797</v>
      </c>
      <c r="B1518" s="77">
        <v>337.46131744641741</v>
      </c>
      <c r="C1518" s="77">
        <v>333.48302090078448</v>
      </c>
      <c r="D1518" s="77">
        <v>335.53693214062292</v>
      </c>
      <c r="E1518" s="77">
        <v>3417986.855436089</v>
      </c>
      <c r="F1518" s="77" t="s">
        <v>1509</v>
      </c>
      <c r="G1518" s="25">
        <f t="shared" si="42"/>
        <v>4.935616400584486E-3</v>
      </c>
      <c r="I1518" s="78">
        <v>408.48134295791999</v>
      </c>
      <c r="J1518" s="78">
        <v>409.99740428027997</v>
      </c>
      <c r="K1518" s="78">
        <v>392.92227772011</v>
      </c>
      <c r="L1518" s="78">
        <v>392.92227772011</v>
      </c>
      <c r="M1518" s="78">
        <v>970834.34442403098</v>
      </c>
      <c r="N1518" s="78" t="s">
        <v>1509</v>
      </c>
      <c r="O1518" s="25">
        <f t="shared" si="43"/>
        <v>3.9598328015631568E-2</v>
      </c>
    </row>
    <row r="1519" spans="1:15">
      <c r="A1519" s="77">
        <v>335.25012471524008</v>
      </c>
      <c r="B1519" s="77">
        <v>335.3333913871254</v>
      </c>
      <c r="C1519" s="77">
        <v>332.75767567013889</v>
      </c>
      <c r="D1519" s="77">
        <v>333.52928016294305</v>
      </c>
      <c r="E1519" s="77">
        <v>5239314.0030952916</v>
      </c>
      <c r="F1519" s="77" t="s">
        <v>1510</v>
      </c>
      <c r="G1519" s="25">
        <f t="shared" si="42"/>
        <v>5.159500693481256E-3</v>
      </c>
      <c r="I1519" s="78">
        <v>393.70946340671998</v>
      </c>
      <c r="J1519" s="78">
        <v>394.31200059894002</v>
      </c>
      <c r="K1519" s="78">
        <v>382.70587089234749</v>
      </c>
      <c r="L1519" s="78">
        <v>391.07579277620999</v>
      </c>
      <c r="M1519" s="78">
        <v>707837.83226492628</v>
      </c>
      <c r="N1519" s="78" t="s">
        <v>1510</v>
      </c>
      <c r="O1519" s="25">
        <f t="shared" si="43"/>
        <v>6.7344250888397017E-3</v>
      </c>
    </row>
    <row r="1520" spans="1:15">
      <c r="A1520" s="77">
        <v>334.77828024122317</v>
      </c>
      <c r="B1520" s="77">
        <v>336.54538405567865</v>
      </c>
      <c r="C1520" s="77">
        <v>333.2151797728867</v>
      </c>
      <c r="D1520" s="77">
        <v>333.67730980185036</v>
      </c>
      <c r="E1520" s="77">
        <v>3610863.9049969912</v>
      </c>
      <c r="F1520" s="77" t="s">
        <v>1511</v>
      </c>
      <c r="G1520" s="25">
        <f t="shared" si="42"/>
        <v>3.2995064603782431E-3</v>
      </c>
      <c r="I1520" s="78">
        <v>401.26061499308997</v>
      </c>
      <c r="J1520" s="78">
        <v>406.63485801401998</v>
      </c>
      <c r="K1520" s="78">
        <v>393.20615048438009</v>
      </c>
      <c r="L1520" s="78">
        <v>395.11862296916996</v>
      </c>
      <c r="M1520" s="78">
        <v>689232.80647606694</v>
      </c>
      <c r="N1520" s="78" t="s">
        <v>1511</v>
      </c>
      <c r="O1520" s="25">
        <f t="shared" si="43"/>
        <v>1.554467865312259E-2</v>
      </c>
    </row>
    <row r="1521" spans="1:15">
      <c r="A1521" s="77">
        <v>331.28108002203885</v>
      </c>
      <c r="B1521" s="77">
        <v>332.91865790245055</v>
      </c>
      <c r="C1521" s="77">
        <v>330.18010958266603</v>
      </c>
      <c r="D1521" s="77">
        <v>331.49387262796807</v>
      </c>
      <c r="E1521" s="77">
        <v>7816172.0081259711</v>
      </c>
      <c r="F1521" s="77" t="s">
        <v>1512</v>
      </c>
      <c r="G1521" s="25">
        <f t="shared" si="42"/>
        <v>-6.4192017862130246E-4</v>
      </c>
      <c r="I1521" s="78">
        <v>388.19916360044999</v>
      </c>
      <c r="J1521" s="78">
        <v>405.52871634920575</v>
      </c>
      <c r="K1521" s="78">
        <v>387.92705002976999</v>
      </c>
      <c r="L1521" s="78">
        <v>396.37228906266</v>
      </c>
      <c r="M1521" s="78">
        <v>729966.09284727357</v>
      </c>
      <c r="N1521" s="78" t="s">
        <v>1512</v>
      </c>
      <c r="O1521" s="25">
        <f t="shared" si="43"/>
        <v>-2.0619820526651345E-2</v>
      </c>
    </row>
    <row r="1522" spans="1:15">
      <c r="A1522" s="77">
        <v>329.24567248706393</v>
      </c>
      <c r="B1522" s="77">
        <v>331.64190226687532</v>
      </c>
      <c r="C1522" s="77">
        <v>327.72836868826442</v>
      </c>
      <c r="D1522" s="77">
        <v>328.20946501471303</v>
      </c>
      <c r="E1522" s="77">
        <v>6566346.6260894984</v>
      </c>
      <c r="F1522" s="77" t="s">
        <v>1513</v>
      </c>
      <c r="G1522" s="25">
        <f t="shared" si="42"/>
        <v>3.1571529245948415E-3</v>
      </c>
      <c r="I1522" s="78">
        <v>389.56944979565998</v>
      </c>
      <c r="J1522" s="78">
        <v>394.47721240971003</v>
      </c>
      <c r="K1522" s="78">
        <v>380.1929020671177</v>
      </c>
      <c r="L1522" s="78">
        <v>380.1929020671177</v>
      </c>
      <c r="M1522" s="78">
        <v>993595.42901280196</v>
      </c>
      <c r="N1522" s="78" t="s">
        <v>1513</v>
      </c>
      <c r="O1522" s="25">
        <f t="shared" si="43"/>
        <v>2.4662605949668626E-2</v>
      </c>
    </row>
    <row r="1523" spans="1:15">
      <c r="A1523" s="77">
        <v>324.70301294309701</v>
      </c>
      <c r="B1523" s="77">
        <v>329.73602066594424</v>
      </c>
      <c r="C1523" s="77">
        <v>324.42545737014592</v>
      </c>
      <c r="D1523" s="77">
        <v>327.17325754236214</v>
      </c>
      <c r="E1523" s="77">
        <v>6121453.0190649284</v>
      </c>
      <c r="F1523" s="77" t="s">
        <v>1514</v>
      </c>
      <c r="G1523" s="25">
        <f t="shared" si="42"/>
        <v>-7.5502644006448794E-3</v>
      </c>
      <c r="I1523" s="78">
        <v>372.81502851521998</v>
      </c>
      <c r="J1523" s="78">
        <v>393.08263035997498</v>
      </c>
      <c r="K1523" s="78">
        <v>372.29995639928995</v>
      </c>
      <c r="L1523" s="78">
        <v>385.30309774107002</v>
      </c>
      <c r="M1523" s="78">
        <v>935095.73728401307</v>
      </c>
      <c r="N1523" s="78" t="s">
        <v>1514</v>
      </c>
      <c r="O1523" s="25">
        <f t="shared" si="43"/>
        <v>-3.2411027316064378E-2</v>
      </c>
    </row>
    <row r="1524" spans="1:15">
      <c r="A1524" s="77">
        <v>326.30358341378189</v>
      </c>
      <c r="B1524" s="77">
        <v>327.26577606667917</v>
      </c>
      <c r="C1524" s="77">
        <v>316.95921245776049</v>
      </c>
      <c r="D1524" s="77">
        <v>323.60204250372419</v>
      </c>
      <c r="E1524" s="77">
        <v>9426506.8151258454</v>
      </c>
      <c r="F1524" s="77" t="s">
        <v>1515</v>
      </c>
      <c r="G1524" s="25">
        <f t="shared" si="42"/>
        <v>8.3483431969579858E-3</v>
      </c>
      <c r="I1524" s="78">
        <v>387.61606309184998</v>
      </c>
      <c r="J1524" s="78">
        <v>392.11565534988</v>
      </c>
      <c r="K1524" s="78">
        <v>371.63910915621</v>
      </c>
      <c r="L1524" s="78">
        <v>390.91058096543998</v>
      </c>
      <c r="M1524" s="78">
        <v>1216015.0600835886</v>
      </c>
      <c r="N1524" s="78" t="s">
        <v>1515</v>
      </c>
      <c r="O1524" s="25">
        <f t="shared" si="43"/>
        <v>-8.427804295942698E-3</v>
      </c>
    </row>
    <row r="1525" spans="1:15">
      <c r="A1525" s="77">
        <v>320.42865711964959</v>
      </c>
      <c r="B1525" s="77">
        <v>326.60889454402815</v>
      </c>
      <c r="C1525" s="77">
        <v>316.33471241862048</v>
      </c>
      <c r="D1525" s="77">
        <v>324.26817587880697</v>
      </c>
      <c r="E1525" s="77">
        <v>7138533.6598838512</v>
      </c>
      <c r="F1525" s="77" t="s">
        <v>1516</v>
      </c>
      <c r="G1525" s="25">
        <f t="shared" si="42"/>
        <v>-1.1840566064652558E-2</v>
      </c>
      <c r="I1525" s="78">
        <v>388.35465706941</v>
      </c>
      <c r="J1525" s="78">
        <v>406.56682962135</v>
      </c>
      <c r="K1525" s="78">
        <v>384.54506707988998</v>
      </c>
      <c r="L1525" s="78">
        <v>401.70765871635001</v>
      </c>
      <c r="M1525" s="78">
        <v>1304788.4348904169</v>
      </c>
      <c r="N1525" s="78" t="s">
        <v>1516</v>
      </c>
      <c r="O1525" s="25">
        <f t="shared" si="43"/>
        <v>-3.3240595137292939E-2</v>
      </c>
    </row>
    <row r="1526" spans="1:15">
      <c r="A1526" s="77">
        <v>324.42545737014592</v>
      </c>
      <c r="B1526" s="77">
        <v>329.0328798811347</v>
      </c>
      <c r="C1526" s="77">
        <v>324.33293884582889</v>
      </c>
      <c r="D1526" s="77">
        <v>328.16320575255446</v>
      </c>
      <c r="E1526" s="77">
        <v>6828509.2597787576</v>
      </c>
      <c r="F1526" s="77" t="s">
        <v>1517</v>
      </c>
      <c r="G1526" s="25">
        <f t="shared" si="42"/>
        <v>-1.138990696363118E-2</v>
      </c>
      <c r="I1526" s="78">
        <v>404.68147131020999</v>
      </c>
      <c r="J1526" s="78">
        <v>424.79357968600499</v>
      </c>
      <c r="K1526" s="78">
        <v>404.44823110676998</v>
      </c>
      <c r="L1526" s="78">
        <v>424.26393005735997</v>
      </c>
      <c r="M1526" s="78">
        <v>1163603.8555840836</v>
      </c>
      <c r="N1526" s="78" t="s">
        <v>1517</v>
      </c>
      <c r="O1526" s="25">
        <f t="shared" si="43"/>
        <v>-4.6156312992486681E-2</v>
      </c>
    </row>
    <row r="1527" spans="1:15">
      <c r="A1527" s="77">
        <v>328.76457616061532</v>
      </c>
      <c r="B1527" s="77">
        <v>331.79918375821433</v>
      </c>
      <c r="C1527" s="77">
        <v>328.58879096441291</v>
      </c>
      <c r="D1527" s="77">
        <v>331.5678874474217</v>
      </c>
      <c r="E1527" s="77">
        <v>5904341.903769074</v>
      </c>
      <c r="F1527" s="77" t="s">
        <v>1518</v>
      </c>
      <c r="G1527" s="25">
        <f t="shared" si="42"/>
        <v>-8.4547128746021993E-3</v>
      </c>
      <c r="I1527" s="78">
        <v>428.58859216280996</v>
      </c>
      <c r="J1527" s="78">
        <v>435.72107758400517</v>
      </c>
      <c r="K1527" s="78">
        <v>425.73139967066999</v>
      </c>
      <c r="L1527" s="78">
        <v>432.08719521440997</v>
      </c>
      <c r="M1527" s="78">
        <v>774940.84353470593</v>
      </c>
      <c r="N1527" s="78" t="s">
        <v>1518</v>
      </c>
      <c r="O1527" s="25">
        <f t="shared" si="43"/>
        <v>-8.096983873507102E-3</v>
      </c>
    </row>
    <row r="1528" spans="1:15">
      <c r="A1528" s="77">
        <v>331.32733928419742</v>
      </c>
      <c r="B1528" s="77">
        <v>332.50232454302386</v>
      </c>
      <c r="C1528" s="77">
        <v>327.9781687039204</v>
      </c>
      <c r="D1528" s="77">
        <v>328.02442796607892</v>
      </c>
      <c r="E1528" s="77">
        <v>4026493.1023264616</v>
      </c>
      <c r="F1528" s="77" t="s">
        <v>1519</v>
      </c>
      <c r="G1528" s="25">
        <f t="shared" si="42"/>
        <v>1.0069101678183756E-2</v>
      </c>
      <c r="I1528" s="78">
        <v>433.92396181649997</v>
      </c>
      <c r="J1528" s="78">
        <v>439.01637292494001</v>
      </c>
      <c r="K1528" s="78">
        <v>430.65869615175808</v>
      </c>
      <c r="L1528" s="78">
        <v>436.35354726899999</v>
      </c>
      <c r="M1528" s="78">
        <v>890548.01417815126</v>
      </c>
      <c r="N1528" s="78" t="s">
        <v>1519</v>
      </c>
      <c r="O1528" s="25">
        <f t="shared" si="43"/>
        <v>-5.5679287305122616E-3</v>
      </c>
    </row>
    <row r="1529" spans="1:15">
      <c r="A1529" s="77">
        <v>323.43550915995354</v>
      </c>
      <c r="B1529" s="77">
        <v>327.94837773909035</v>
      </c>
      <c r="C1529" s="77">
        <v>321.69616090279311</v>
      </c>
      <c r="D1529" s="77">
        <v>327.02522790345489</v>
      </c>
      <c r="E1529" s="77">
        <v>8192383.1534823813</v>
      </c>
      <c r="F1529" s="77" t="s">
        <v>1520</v>
      </c>
      <c r="G1529" s="25">
        <f t="shared" si="42"/>
        <v>-1.0976886298695976E-2</v>
      </c>
      <c r="I1529" s="78">
        <v>427.03365747320998</v>
      </c>
      <c r="J1529" s="78">
        <v>433.41860804238001</v>
      </c>
      <c r="K1529" s="78">
        <v>419.89067624285997</v>
      </c>
      <c r="L1529" s="78">
        <v>432.32043541784998</v>
      </c>
      <c r="M1529" s="78">
        <v>1499775.4025282632</v>
      </c>
      <c r="N1529" s="78" t="s">
        <v>1520</v>
      </c>
      <c r="O1529" s="25">
        <f t="shared" si="43"/>
        <v>-1.2228841182421069E-2</v>
      </c>
    </row>
    <row r="1530" spans="1:15">
      <c r="A1530" s="77">
        <v>325.22111667927248</v>
      </c>
      <c r="B1530" s="77">
        <v>333.31648755701383</v>
      </c>
      <c r="C1530" s="77">
        <v>323.88884992910704</v>
      </c>
      <c r="D1530" s="77">
        <v>332.16925785548244</v>
      </c>
      <c r="E1530" s="77">
        <v>7619223.3415264189</v>
      </c>
      <c r="F1530" s="77" t="s">
        <v>1521</v>
      </c>
      <c r="G1530" s="25">
        <f t="shared" si="42"/>
        <v>-2.0917472077542132E-2</v>
      </c>
      <c r="I1530" s="78">
        <v>433.30198794066001</v>
      </c>
      <c r="J1530" s="78">
        <v>448.75415141855996</v>
      </c>
      <c r="K1530" s="78">
        <v>424.84703056595998</v>
      </c>
      <c r="L1530" s="78">
        <v>447.83090894661001</v>
      </c>
      <c r="M1530" s="78">
        <v>1332073.9538795869</v>
      </c>
      <c r="N1530" s="78" t="s">
        <v>1521</v>
      </c>
      <c r="O1530" s="25">
        <f t="shared" si="43"/>
        <v>-3.2442872333499739E-2</v>
      </c>
    </row>
    <row r="1531" spans="1:15">
      <c r="A1531" s="77">
        <v>333.2147171802651</v>
      </c>
      <c r="B1531" s="77">
        <v>333.60329498239668</v>
      </c>
      <c r="C1531" s="77">
        <v>327.70061313096926</v>
      </c>
      <c r="D1531" s="77">
        <v>328.57953911198115</v>
      </c>
      <c r="E1531" s="77">
        <v>3568171.9140778021</v>
      </c>
      <c r="F1531" s="77" t="s">
        <v>1522</v>
      </c>
      <c r="G1531" s="25">
        <f t="shared" si="42"/>
        <v>1.4106715472335773E-2</v>
      </c>
      <c r="I1531" s="78">
        <v>448.06414915005001</v>
      </c>
      <c r="J1531" s="78">
        <v>452.90874254233501</v>
      </c>
      <c r="K1531" s="78">
        <v>435.45945982247997</v>
      </c>
      <c r="L1531" s="78">
        <v>448.98739162199996</v>
      </c>
      <c r="M1531" s="78">
        <v>1168659.2447606039</v>
      </c>
      <c r="N1531" s="78" t="s">
        <v>1522</v>
      </c>
      <c r="O1531" s="25">
        <f t="shared" si="43"/>
        <v>-2.0562770562769783E-3</v>
      </c>
    </row>
    <row r="1532" spans="1:15">
      <c r="A1532" s="77">
        <v>329.56948732217359</v>
      </c>
      <c r="B1532" s="77">
        <v>330.80923554802195</v>
      </c>
      <c r="C1532" s="77">
        <v>323.37999804536332</v>
      </c>
      <c r="D1532" s="77">
        <v>327.22876865695235</v>
      </c>
      <c r="E1532" s="77">
        <v>5675679.5882364139</v>
      </c>
      <c r="F1532" s="77" t="s">
        <v>1523</v>
      </c>
      <c r="G1532" s="25">
        <f t="shared" ref="G1532:G1595" si="44">A1532/D1532-1</f>
        <v>7.1531567191609469E-3</v>
      </c>
      <c r="I1532" s="78">
        <v>451.45585044173998</v>
      </c>
      <c r="J1532" s="78">
        <v>456.38304973941001</v>
      </c>
      <c r="K1532" s="78">
        <v>437.48087491896001</v>
      </c>
      <c r="L1532" s="78">
        <v>450.23133937367993</v>
      </c>
      <c r="M1532" s="78">
        <v>1355373.1961193492</v>
      </c>
      <c r="N1532" s="78" t="s">
        <v>1523</v>
      </c>
      <c r="O1532" s="25">
        <f t="shared" ref="O1532:O1595" si="45">I1532/L1532-1</f>
        <v>2.7197375237437704E-3</v>
      </c>
    </row>
    <row r="1533" spans="1:15">
      <c r="A1533" s="77">
        <v>329.15315396274684</v>
      </c>
      <c r="B1533" s="77">
        <v>331.39210225121934</v>
      </c>
      <c r="C1533" s="77">
        <v>328.95886506168108</v>
      </c>
      <c r="D1533" s="77">
        <v>329.21791692976876</v>
      </c>
      <c r="E1533" s="77">
        <v>3557110.345515673</v>
      </c>
      <c r="F1533" s="77" t="s">
        <v>1524</v>
      </c>
      <c r="G1533" s="25">
        <f t="shared" si="44"/>
        <v>-1.9671762589923425E-4</v>
      </c>
      <c r="I1533" s="78">
        <v>457.30629221135996</v>
      </c>
      <c r="J1533" s="78">
        <v>469.23652861731597</v>
      </c>
      <c r="K1533" s="78">
        <v>455.28487711487998</v>
      </c>
      <c r="L1533" s="78">
        <v>466.48040687999998</v>
      </c>
      <c r="M1533" s="78">
        <v>1024331.1250646369</v>
      </c>
      <c r="N1533" s="78" t="s">
        <v>1524</v>
      </c>
      <c r="O1533" s="25">
        <f t="shared" si="45"/>
        <v>-1.9666666666666721E-2</v>
      </c>
    </row>
    <row r="1534" spans="1:15">
      <c r="A1534" s="77">
        <v>331.76217634848746</v>
      </c>
      <c r="B1534" s="77">
        <v>333.72356906400881</v>
      </c>
      <c r="C1534" s="77">
        <v>331.34584298906077</v>
      </c>
      <c r="D1534" s="77">
        <v>333.50152460564794</v>
      </c>
      <c r="E1534" s="77">
        <v>2688216.2446486675</v>
      </c>
      <c r="F1534" s="77" t="s">
        <v>1525</v>
      </c>
      <c r="G1534" s="25">
        <f t="shared" si="44"/>
        <v>-5.2154132105308726E-3</v>
      </c>
      <c r="I1534" s="78">
        <v>472.56408885305996</v>
      </c>
      <c r="J1534" s="78">
        <v>480.08608541399997</v>
      </c>
      <c r="K1534" s="78">
        <v>466.04308149855001</v>
      </c>
      <c r="L1534" s="78">
        <v>474.43001048057999</v>
      </c>
      <c r="M1534" s="78">
        <v>963156.07981275569</v>
      </c>
      <c r="N1534" s="78" t="s">
        <v>1525</v>
      </c>
      <c r="O1534" s="25">
        <f t="shared" si="45"/>
        <v>-3.9329755418083812E-3</v>
      </c>
    </row>
    <row r="1535" spans="1:15">
      <c r="A1535" s="77">
        <v>332.37279860897996</v>
      </c>
      <c r="B1535" s="77">
        <v>333.00192457433587</v>
      </c>
      <c r="C1535" s="77">
        <v>329.81928733782956</v>
      </c>
      <c r="D1535" s="77">
        <v>331.43836151337786</v>
      </c>
      <c r="E1535" s="77">
        <v>3261042.0694358107</v>
      </c>
      <c r="F1535" s="77" t="s">
        <v>1526</v>
      </c>
      <c r="G1535" s="25">
        <f t="shared" si="44"/>
        <v>2.8193389906208122E-3</v>
      </c>
      <c r="I1535" s="78">
        <v>472.10732678799002</v>
      </c>
      <c r="J1535" s="78">
        <v>476.24734039905002</v>
      </c>
      <c r="K1535" s="78">
        <v>462.2043364836</v>
      </c>
      <c r="L1535" s="78">
        <v>473.04028760174998</v>
      </c>
      <c r="M1535" s="78">
        <v>952949.606122158</v>
      </c>
      <c r="N1535" s="78" t="s">
        <v>1526</v>
      </c>
      <c r="O1535" s="25">
        <f t="shared" si="45"/>
        <v>-1.9722650231124295E-3</v>
      </c>
    </row>
    <row r="1536" spans="1:15">
      <c r="A1536" s="77">
        <v>333.79758388346249</v>
      </c>
      <c r="B1536" s="77">
        <v>333.96411722723315</v>
      </c>
      <c r="C1536" s="77">
        <v>331.14433764309825</v>
      </c>
      <c r="D1536" s="77">
        <v>332.16925785548244</v>
      </c>
      <c r="E1536" s="77">
        <v>3480484.6097256569</v>
      </c>
      <c r="F1536" s="77" t="s">
        <v>1527</v>
      </c>
      <c r="G1536" s="25">
        <f t="shared" si="44"/>
        <v>4.9020973177731353E-3</v>
      </c>
      <c r="I1536" s="78">
        <v>480.31932561743997</v>
      </c>
      <c r="J1536" s="78">
        <v>482.96271458975997</v>
      </c>
      <c r="K1536" s="78">
        <v>467.93825533491804</v>
      </c>
      <c r="L1536" s="78">
        <v>477.04638246266819</v>
      </c>
      <c r="M1536" s="78">
        <v>948334.62129482359</v>
      </c>
      <c r="N1536" s="78" t="s">
        <v>1527</v>
      </c>
      <c r="O1536" s="25">
        <f t="shared" si="45"/>
        <v>6.860848913423867E-3</v>
      </c>
    </row>
    <row r="1537" spans="1:15">
      <c r="A1537" s="77">
        <v>333.72356906400881</v>
      </c>
      <c r="B1537" s="77">
        <v>335.25937656767178</v>
      </c>
      <c r="C1537" s="77">
        <v>333.04818383649445</v>
      </c>
      <c r="D1537" s="77">
        <v>335.05583581417426</v>
      </c>
      <c r="E1537" s="77">
        <v>4764939.8134508198</v>
      </c>
      <c r="F1537" s="77" t="s">
        <v>1528</v>
      </c>
      <c r="G1537" s="25">
        <f t="shared" si="44"/>
        <v>-3.9762529338672747E-3</v>
      </c>
      <c r="I1537" s="78">
        <v>478.67692585154998</v>
      </c>
      <c r="J1537" s="78">
        <v>494.06067220310757</v>
      </c>
      <c r="K1537" s="78">
        <v>473.61366976853998</v>
      </c>
      <c r="L1537" s="78">
        <v>494.06067220310757</v>
      </c>
      <c r="M1537" s="78">
        <v>1556979.6057626009</v>
      </c>
      <c r="N1537" s="78" t="s">
        <v>1528</v>
      </c>
      <c r="O1537" s="25">
        <f t="shared" si="45"/>
        <v>-3.1137362710856209E-2</v>
      </c>
    </row>
    <row r="1538" spans="1:15">
      <c r="A1538" s="77">
        <v>334.03813204668677</v>
      </c>
      <c r="B1538" s="77">
        <v>334.16765798073061</v>
      </c>
      <c r="C1538" s="77">
        <v>331.54938374255829</v>
      </c>
      <c r="D1538" s="77">
        <v>331.63265041444362</v>
      </c>
      <c r="E1538" s="77">
        <v>2317882.8411176289</v>
      </c>
      <c r="F1538" s="77" t="s">
        <v>1529</v>
      </c>
      <c r="G1538" s="25">
        <f t="shared" si="44"/>
        <v>7.253452364346602E-3</v>
      </c>
      <c r="I1538" s="78">
        <v>490.54302120155995</v>
      </c>
      <c r="J1538" s="78">
        <v>540.11628277437001</v>
      </c>
      <c r="K1538" s="78">
        <v>439.58975509172996</v>
      </c>
      <c r="L1538" s="78">
        <v>440.54215258911</v>
      </c>
      <c r="M1538" s="78">
        <v>3476281.3101754859</v>
      </c>
      <c r="N1538" s="78" t="s">
        <v>1529</v>
      </c>
      <c r="O1538" s="25">
        <f t="shared" si="45"/>
        <v>0.11349848889281056</v>
      </c>
    </row>
    <row r="1539" spans="1:15">
      <c r="A1539" s="77">
        <v>332.34504305168491</v>
      </c>
      <c r="B1539" s="77">
        <v>333.15920606567488</v>
      </c>
      <c r="C1539" s="77">
        <v>330.14088172835562</v>
      </c>
      <c r="D1539" s="77">
        <v>332.79838382083835</v>
      </c>
      <c r="E1539" s="77">
        <v>2418110.3368375506</v>
      </c>
      <c r="F1539" s="77" t="s">
        <v>1530</v>
      </c>
      <c r="G1539" s="25">
        <f t="shared" si="44"/>
        <v>-1.3622084456921257E-3</v>
      </c>
      <c r="I1539" s="78">
        <v>438.51101915082</v>
      </c>
      <c r="J1539" s="78">
        <v>443.79779709546</v>
      </c>
      <c r="K1539" s="78">
        <v>432.96184597730996</v>
      </c>
      <c r="L1539" s="78">
        <v>441.33905661752999</v>
      </c>
      <c r="M1539" s="78">
        <v>927504.93615330046</v>
      </c>
      <c r="N1539" s="78" t="s">
        <v>1530</v>
      </c>
      <c r="O1539" s="25">
        <f t="shared" si="45"/>
        <v>-6.4078567810978981E-3</v>
      </c>
    </row>
    <row r="1540" spans="1:15">
      <c r="A1540" s="77">
        <v>331.80843561064603</v>
      </c>
      <c r="B1540" s="77">
        <v>333.63105053969178</v>
      </c>
      <c r="C1540" s="77">
        <v>329.64350214162721</v>
      </c>
      <c r="D1540" s="77">
        <v>333.5570357202381</v>
      </c>
      <c r="E1540" s="77">
        <v>2594086.9871374159</v>
      </c>
      <c r="F1540" s="77" t="s">
        <v>1531</v>
      </c>
      <c r="G1540" s="25">
        <f t="shared" si="44"/>
        <v>-5.242282195656256E-3</v>
      </c>
      <c r="I1540" s="78">
        <v>437.32538145000001</v>
      </c>
      <c r="J1540" s="78">
        <v>447.54907703411999</v>
      </c>
      <c r="K1540" s="78">
        <v>435.78016510220999</v>
      </c>
      <c r="L1540" s="78">
        <v>438.26806060556999</v>
      </c>
      <c r="M1540" s="78">
        <v>1043651.2934298614</v>
      </c>
      <c r="N1540" s="78" t="s">
        <v>1531</v>
      </c>
      <c r="O1540" s="25">
        <f t="shared" si="45"/>
        <v>-2.1509191298755281E-3</v>
      </c>
    </row>
    <row r="1541" spans="1:15">
      <c r="A1541" s="77">
        <v>331.93796154468987</v>
      </c>
      <c r="B1541" s="77">
        <v>332.44681342843359</v>
      </c>
      <c r="C1541" s="77">
        <v>331.00352444908771</v>
      </c>
      <c r="D1541" s="77">
        <v>331.41985780851445</v>
      </c>
      <c r="E1541" s="77">
        <v>2044174.4115146832</v>
      </c>
      <c r="F1541" s="77" t="s">
        <v>1532</v>
      </c>
      <c r="G1541" s="25">
        <f t="shared" si="44"/>
        <v>1.5632851320417362E-3</v>
      </c>
      <c r="I1541" s="78">
        <v>440.24088399300001</v>
      </c>
      <c r="J1541" s="78">
        <v>441.01835133779997</v>
      </c>
      <c r="K1541" s="78">
        <v>429.63817307828998</v>
      </c>
      <c r="L1541" s="78">
        <v>437.32538145000001</v>
      </c>
      <c r="M1541" s="78">
        <v>943703.17275350087</v>
      </c>
      <c r="N1541" s="78" t="s">
        <v>1532</v>
      </c>
      <c r="O1541" s="25">
        <f t="shared" si="45"/>
        <v>6.6666666666665986E-3</v>
      </c>
    </row>
    <row r="1542" spans="1:15">
      <c r="A1542" s="77">
        <v>332.20626526520931</v>
      </c>
      <c r="B1542" s="77">
        <v>332.20626526520931</v>
      </c>
      <c r="C1542" s="77">
        <v>330.34664292643674</v>
      </c>
      <c r="D1542" s="77">
        <v>331.14230223556331</v>
      </c>
      <c r="E1542" s="77">
        <v>3643670.3080649748</v>
      </c>
      <c r="F1542" s="77" t="s">
        <v>1533</v>
      </c>
      <c r="G1542" s="25">
        <f t="shared" si="44"/>
        <v>3.2130084935180214E-3</v>
      </c>
      <c r="I1542" s="78">
        <v>438.35552568186</v>
      </c>
      <c r="J1542" s="78">
        <v>438.64707593615998</v>
      </c>
      <c r="K1542" s="78">
        <v>418.87996869461995</v>
      </c>
      <c r="L1542" s="78">
        <v>420.25997323164</v>
      </c>
      <c r="M1542" s="78">
        <v>1161741.3979391614</v>
      </c>
      <c r="N1542" s="78" t="s">
        <v>1533</v>
      </c>
      <c r="O1542" s="25">
        <f t="shared" si="45"/>
        <v>4.3057996485061478E-2</v>
      </c>
    </row>
    <row r="1543" spans="1:15">
      <c r="A1543" s="77">
        <v>329.77302807567105</v>
      </c>
      <c r="B1543" s="77">
        <v>330.41251611575046</v>
      </c>
      <c r="C1543" s="77">
        <v>328.73311986234745</v>
      </c>
      <c r="D1543" s="77">
        <v>330.19861328752944</v>
      </c>
      <c r="E1543" s="77">
        <v>2260905.0624628854</v>
      </c>
      <c r="F1543" s="77" t="s">
        <v>1534</v>
      </c>
      <c r="G1543" s="25">
        <f t="shared" si="44"/>
        <v>-1.288876435976416E-3</v>
      </c>
      <c r="I1543" s="78">
        <v>416.82939857271003</v>
      </c>
      <c r="J1543" s="78">
        <v>420.29398742797503</v>
      </c>
      <c r="K1543" s="78">
        <v>410.64853318155002</v>
      </c>
      <c r="L1543" s="78">
        <v>419.73518277389996</v>
      </c>
      <c r="M1543" s="78">
        <v>815124.65345155424</v>
      </c>
      <c r="N1543" s="78" t="s">
        <v>1534</v>
      </c>
      <c r="O1543" s="25">
        <f t="shared" si="45"/>
        <v>-6.9228988191709639E-3</v>
      </c>
    </row>
    <row r="1544" spans="1:15">
      <c r="A1544" s="77">
        <v>328.45926503036901</v>
      </c>
      <c r="B1544" s="77">
        <v>328.47776873523247</v>
      </c>
      <c r="C1544" s="77">
        <v>325.59119077654071</v>
      </c>
      <c r="D1544" s="77">
        <v>325.77622782517477</v>
      </c>
      <c r="E1544" s="77">
        <v>2149128.5282354057</v>
      </c>
      <c r="F1544" s="77" t="s">
        <v>1535</v>
      </c>
      <c r="G1544" s="25">
        <f t="shared" si="44"/>
        <v>8.2358286947630255E-3</v>
      </c>
      <c r="I1544" s="78">
        <v>416.56700334383999</v>
      </c>
      <c r="J1544" s="78">
        <v>419.83236619199999</v>
      </c>
      <c r="K1544" s="78">
        <v>407.4900720933</v>
      </c>
      <c r="L1544" s="78">
        <v>413.40854225558996</v>
      </c>
      <c r="M1544" s="78">
        <v>805462.51130469353</v>
      </c>
      <c r="N1544" s="78" t="s">
        <v>1535</v>
      </c>
      <c r="O1544" s="25">
        <f t="shared" si="45"/>
        <v>7.6400479559932677E-3</v>
      </c>
    </row>
    <row r="1545" spans="1:15">
      <c r="A1545" s="77">
        <v>324.8232870247092</v>
      </c>
      <c r="B1545" s="77">
        <v>326.40535379053068</v>
      </c>
      <c r="C1545" s="77">
        <v>323.70381288047298</v>
      </c>
      <c r="D1545" s="77">
        <v>325.38765002304319</v>
      </c>
      <c r="E1545" s="77">
        <v>3667167.2241263515</v>
      </c>
      <c r="F1545" s="77" t="s">
        <v>1536</v>
      </c>
      <c r="G1545" s="25">
        <f t="shared" si="44"/>
        <v>-1.7344327551891414E-3</v>
      </c>
      <c r="I1545" s="78">
        <v>408.36472285619999</v>
      </c>
      <c r="J1545" s="78">
        <v>428.09295673049996</v>
      </c>
      <c r="K1545" s="78">
        <v>407.87880576569995</v>
      </c>
      <c r="L1545" s="78">
        <v>427.74309642533996</v>
      </c>
      <c r="M1545" s="78">
        <v>989215.05210980028</v>
      </c>
      <c r="N1545" s="78" t="s">
        <v>1536</v>
      </c>
      <c r="O1545" s="25">
        <f t="shared" si="45"/>
        <v>-4.5303766983232574E-2</v>
      </c>
    </row>
    <row r="1546" spans="1:15">
      <c r="A1546" s="77">
        <v>324.49947218959954</v>
      </c>
      <c r="B1546" s="77">
        <v>325.97976857867224</v>
      </c>
      <c r="C1546" s="77">
        <v>322.88964986648301</v>
      </c>
      <c r="D1546" s="77">
        <v>322.93590912864153</v>
      </c>
      <c r="E1546" s="77">
        <v>3194202.4819515906</v>
      </c>
      <c r="F1546" s="77" t="s">
        <v>1537</v>
      </c>
      <c r="G1546" s="25">
        <f t="shared" si="44"/>
        <v>4.8417132216014291E-3</v>
      </c>
      <c r="I1546" s="78">
        <v>427.84999818525</v>
      </c>
      <c r="J1546" s="78">
        <v>440.24088399300001</v>
      </c>
      <c r="K1546" s="78">
        <v>420.25997323164</v>
      </c>
      <c r="L1546" s="78">
        <v>432.31071707603996</v>
      </c>
      <c r="M1546" s="78">
        <v>956029.34962008707</v>
      </c>
      <c r="N1546" s="78" t="s">
        <v>1537</v>
      </c>
      <c r="O1546" s="25">
        <f t="shared" si="45"/>
        <v>-1.0318316698138541E-2</v>
      </c>
    </row>
    <row r="1547" spans="1:15">
      <c r="A1547" s="77">
        <v>319.90130153104246</v>
      </c>
      <c r="B1547" s="77">
        <v>320.90050159366655</v>
      </c>
      <c r="C1547" s="77">
        <v>315.85824201838761</v>
      </c>
      <c r="D1547" s="77">
        <v>317.92140511065776</v>
      </c>
      <c r="E1547" s="77">
        <v>3603612.384234501</v>
      </c>
      <c r="F1547" s="77" t="s">
        <v>1538</v>
      </c>
      <c r="G1547" s="25">
        <f t="shared" si="44"/>
        <v>6.2276285539677456E-3</v>
      </c>
      <c r="I1547" s="78">
        <v>430.89183917177996</v>
      </c>
      <c r="J1547" s="78">
        <v>437.57805833705999</v>
      </c>
      <c r="K1547" s="78">
        <v>415.10925207233998</v>
      </c>
      <c r="L1547" s="78">
        <v>415.10925207233998</v>
      </c>
      <c r="M1547" s="78">
        <v>1163063.6399688437</v>
      </c>
      <c r="N1547" s="78" t="s">
        <v>1538</v>
      </c>
      <c r="O1547" s="25">
        <f t="shared" si="45"/>
        <v>3.8020321206161833E-2</v>
      </c>
    </row>
    <row r="1548" spans="1:15">
      <c r="A1548" s="77">
        <v>314.72951602171975</v>
      </c>
      <c r="B1548" s="77">
        <v>320.31763489046921</v>
      </c>
      <c r="C1548" s="77">
        <v>313.2399677802153</v>
      </c>
      <c r="D1548" s="77">
        <v>319.47571631918407</v>
      </c>
      <c r="E1548" s="77">
        <v>6272956.7325479351</v>
      </c>
      <c r="F1548" s="77" t="s">
        <v>1539</v>
      </c>
      <c r="G1548" s="25">
        <f t="shared" si="44"/>
        <v>-1.4856216153600998E-2</v>
      </c>
      <c r="I1548" s="78">
        <v>414.42896814564</v>
      </c>
      <c r="J1548" s="78">
        <v>426.84900897882</v>
      </c>
      <c r="K1548" s="78">
        <v>413.72924753531998</v>
      </c>
      <c r="L1548" s="78">
        <v>423.45730768713003</v>
      </c>
      <c r="M1548" s="78">
        <v>1409342.2795549934</v>
      </c>
      <c r="N1548" s="78" t="s">
        <v>1539</v>
      </c>
      <c r="O1548" s="25">
        <f t="shared" si="45"/>
        <v>-2.1320542537810128E-2</v>
      </c>
    </row>
    <row r="1549" spans="1:15">
      <c r="A1549" s="77">
        <v>321.15955346175429</v>
      </c>
      <c r="B1549" s="77">
        <v>324.80543094951599</v>
      </c>
      <c r="C1549" s="77">
        <v>319.72551633484005</v>
      </c>
      <c r="D1549" s="77">
        <v>320.08633857967658</v>
      </c>
      <c r="E1549" s="77">
        <v>3709730.5921552833</v>
      </c>
      <c r="F1549" s="77" t="s">
        <v>1540</v>
      </c>
      <c r="G1549" s="25">
        <f t="shared" si="44"/>
        <v>3.3528918692371512E-3</v>
      </c>
      <c r="I1549" s="78">
        <v>425.87717479782003</v>
      </c>
      <c r="J1549" s="78">
        <v>440.90173123607997</v>
      </c>
      <c r="K1549" s="78">
        <v>420.76532700575996</v>
      </c>
      <c r="L1549" s="78">
        <v>421.2901174635</v>
      </c>
      <c r="M1549" s="78">
        <v>1544218.1694574498</v>
      </c>
      <c r="N1549" s="78" t="s">
        <v>1540</v>
      </c>
      <c r="O1549" s="25">
        <f t="shared" si="45"/>
        <v>1.0888119953863962E-2</v>
      </c>
    </row>
    <row r="1550" spans="1:15">
      <c r="A1550" s="77">
        <v>318.48576810899169</v>
      </c>
      <c r="B1550" s="77">
        <v>323.40775360265843</v>
      </c>
      <c r="C1550" s="77">
        <v>316.40410131185826</v>
      </c>
      <c r="D1550" s="77">
        <v>323.38924989779503</v>
      </c>
      <c r="E1550" s="77">
        <v>5415533.8479355592</v>
      </c>
      <c r="F1550" s="77" t="s">
        <v>1541</v>
      </c>
      <c r="G1550" s="25">
        <f t="shared" si="44"/>
        <v>-1.5162785375064436E-2</v>
      </c>
      <c r="I1550" s="78">
        <v>419.91011292648</v>
      </c>
      <c r="J1550" s="78">
        <v>422.68955868413997</v>
      </c>
      <c r="K1550" s="78">
        <v>395.38101819803995</v>
      </c>
      <c r="L1550" s="78">
        <v>402.84470470811999</v>
      </c>
      <c r="M1550" s="78">
        <v>2292696.6797023988</v>
      </c>
      <c r="N1550" s="78" t="s">
        <v>1541</v>
      </c>
      <c r="O1550" s="25">
        <f t="shared" si="45"/>
        <v>4.2362250313615846E-2</v>
      </c>
    </row>
    <row r="1551" spans="1:15">
      <c r="A1551" s="77">
        <v>326.40535379053068</v>
      </c>
      <c r="B1551" s="77">
        <v>328.1123205641801</v>
      </c>
      <c r="C1551" s="77">
        <v>326.22031674189657</v>
      </c>
      <c r="D1551" s="77">
        <v>327.72836868826442</v>
      </c>
      <c r="E1551" s="77">
        <v>2626764.7673151423</v>
      </c>
      <c r="F1551" s="77" t="s">
        <v>1542</v>
      </c>
      <c r="G1551" s="25">
        <f t="shared" si="44"/>
        <v>-4.0369251616182433E-3</v>
      </c>
      <c r="I1551" s="78">
        <v>408.70486481954998</v>
      </c>
      <c r="J1551" s="78">
        <v>413.92361437151999</v>
      </c>
      <c r="K1551" s="78">
        <v>404.56485120848998</v>
      </c>
      <c r="L1551" s="78">
        <v>407.14993012994995</v>
      </c>
      <c r="M1551" s="78">
        <v>1160699.0390472796</v>
      </c>
      <c r="N1551" s="78" t="s">
        <v>1542</v>
      </c>
      <c r="O1551" s="25">
        <f t="shared" si="45"/>
        <v>3.8190714882444521E-3</v>
      </c>
    </row>
    <row r="1552" spans="1:15">
      <c r="A1552" s="77">
        <v>326.89570196941099</v>
      </c>
      <c r="B1552" s="77">
        <v>327.2208120638611</v>
      </c>
      <c r="C1552" s="77">
        <v>321.93670906601744</v>
      </c>
      <c r="D1552" s="77">
        <v>326.3220871186453</v>
      </c>
      <c r="E1552" s="77">
        <v>3835985.3080213913</v>
      </c>
      <c r="F1552" s="77" t="s">
        <v>1543</v>
      </c>
      <c r="G1552" s="25">
        <f t="shared" si="44"/>
        <v>1.7578180374813179E-3</v>
      </c>
      <c r="I1552" s="78">
        <v>409.14219020100001</v>
      </c>
      <c r="J1552" s="78">
        <v>413.71952919350997</v>
      </c>
      <c r="K1552" s="78">
        <v>395.23524307088996</v>
      </c>
      <c r="L1552" s="78">
        <v>395.55594835061999</v>
      </c>
      <c r="M1552" s="78">
        <v>1749550.5233726699</v>
      </c>
      <c r="N1552" s="78" t="s">
        <v>1543</v>
      </c>
      <c r="O1552" s="25">
        <f t="shared" si="45"/>
        <v>3.4347206525477958E-2</v>
      </c>
    </row>
    <row r="1553" spans="1:15">
      <c r="A1553" s="77">
        <v>325.57268707167725</v>
      </c>
      <c r="B1553" s="77">
        <v>326.62739824889161</v>
      </c>
      <c r="C1553" s="77">
        <v>324.73076850039217</v>
      </c>
      <c r="D1553" s="77">
        <v>325.09159074522864</v>
      </c>
      <c r="E1553" s="77">
        <v>1958714.7691526245</v>
      </c>
      <c r="F1553" s="77" t="s">
        <v>1544</v>
      </c>
      <c r="G1553" s="25">
        <f t="shared" si="44"/>
        <v>1.4798793329158233E-3</v>
      </c>
      <c r="I1553" s="78">
        <v>394.80763603125001</v>
      </c>
      <c r="J1553" s="78">
        <v>397.29553153461001</v>
      </c>
      <c r="K1553" s="78">
        <v>387.03305976666809</v>
      </c>
      <c r="L1553" s="78">
        <v>389.37508295946003</v>
      </c>
      <c r="M1553" s="78">
        <v>826791.25277648575</v>
      </c>
      <c r="N1553" s="78" t="s">
        <v>1544</v>
      </c>
      <c r="O1553" s="25">
        <f t="shared" si="45"/>
        <v>1.3951979234263501E-2</v>
      </c>
    </row>
    <row r="1554" spans="1:15">
      <c r="A1554" s="77">
        <v>326.73842047807204</v>
      </c>
      <c r="B1554" s="77">
        <v>327.36292051721205</v>
      </c>
      <c r="C1554" s="77">
        <v>325.94461153943178</v>
      </c>
      <c r="D1554" s="77">
        <v>327.01597605102313</v>
      </c>
      <c r="E1554" s="77">
        <v>2791399.9051152593</v>
      </c>
      <c r="F1554" s="77" t="s">
        <v>1545</v>
      </c>
      <c r="G1554" s="25">
        <f t="shared" si="44"/>
        <v>-8.4875233406878081E-4</v>
      </c>
      <c r="I1554" s="78">
        <v>393.46650486147001</v>
      </c>
      <c r="J1554" s="78">
        <v>395.65799093962499</v>
      </c>
      <c r="K1554" s="78">
        <v>383.874501495</v>
      </c>
      <c r="L1554" s="78">
        <v>391.64917494299999</v>
      </c>
      <c r="M1554" s="78">
        <v>1100455.2226178595</v>
      </c>
      <c r="N1554" s="78" t="s">
        <v>1545</v>
      </c>
      <c r="O1554" s="25">
        <f t="shared" si="45"/>
        <v>4.6401985111663713E-3</v>
      </c>
    </row>
    <row r="1555" spans="1:15">
      <c r="A1555" s="77">
        <v>326.43310934782573</v>
      </c>
      <c r="B1555" s="77">
        <v>327.24727236181576</v>
      </c>
      <c r="C1555" s="77">
        <v>323.78707955235836</v>
      </c>
      <c r="D1555" s="77">
        <v>324.11089438746797</v>
      </c>
      <c r="E1555" s="77">
        <v>3156744.037541863</v>
      </c>
      <c r="F1555" s="77" t="s">
        <v>1546</v>
      </c>
      <c r="G1555" s="25">
        <f t="shared" si="44"/>
        <v>7.1648778259876256E-3</v>
      </c>
      <c r="I1555" s="78">
        <v>392.17396540074003</v>
      </c>
      <c r="J1555" s="78">
        <v>392.68903751667</v>
      </c>
      <c r="K1555" s="78">
        <v>378.96673888094995</v>
      </c>
      <c r="L1555" s="78">
        <v>378.96673888094995</v>
      </c>
      <c r="M1555" s="78">
        <v>1423415.6680685838</v>
      </c>
      <c r="N1555" s="78" t="s">
        <v>1546</v>
      </c>
      <c r="O1555" s="25">
        <f t="shared" si="45"/>
        <v>3.4850621874599641E-2</v>
      </c>
    </row>
    <row r="1556" spans="1:15">
      <c r="A1556" s="77">
        <v>322.05698314762964</v>
      </c>
      <c r="B1556" s="77">
        <v>322.50754836105358</v>
      </c>
      <c r="C1556" s="77">
        <v>320.44716082451305</v>
      </c>
      <c r="D1556" s="77">
        <v>321.77942757467849</v>
      </c>
      <c r="E1556" s="77">
        <v>3711462.1372829489</v>
      </c>
      <c r="F1556" s="77" t="s">
        <v>1547</v>
      </c>
      <c r="G1556" s="25">
        <f t="shared" si="44"/>
        <v>8.6256469235190814E-4</v>
      </c>
      <c r="I1556" s="78">
        <v>379.21941576800998</v>
      </c>
      <c r="J1556" s="78">
        <v>379.82195296022996</v>
      </c>
      <c r="K1556" s="78">
        <v>369.26783375457001</v>
      </c>
      <c r="L1556" s="78">
        <v>371.70713754887998</v>
      </c>
      <c r="M1556" s="78">
        <v>1175212.8319100561</v>
      </c>
      <c r="N1556" s="78" t="s">
        <v>1547</v>
      </c>
      <c r="O1556" s="25">
        <f t="shared" si="45"/>
        <v>2.0210207069650599E-2</v>
      </c>
    </row>
    <row r="1557" spans="1:15">
      <c r="A1557" s="77">
        <v>319.53122743377429</v>
      </c>
      <c r="B1557" s="77">
        <v>321.09479049473237</v>
      </c>
      <c r="C1557" s="77">
        <v>317.82888658634067</v>
      </c>
      <c r="D1557" s="77">
        <v>320.36389415262767</v>
      </c>
      <c r="E1557" s="77">
        <v>3915051.6361324247</v>
      </c>
      <c r="F1557" s="77" t="s">
        <v>1548</v>
      </c>
      <c r="G1557" s="25">
        <f t="shared" si="44"/>
        <v>-2.5991278482109248E-3</v>
      </c>
      <c r="I1557" s="78">
        <v>365.74979401935002</v>
      </c>
      <c r="J1557" s="78">
        <v>384.84633567599997</v>
      </c>
      <c r="K1557" s="78">
        <v>359.60780199542995</v>
      </c>
      <c r="L1557" s="78">
        <v>360.78372135443999</v>
      </c>
      <c r="M1557" s="78">
        <v>1927722.8941178804</v>
      </c>
      <c r="N1557" s="78" t="s">
        <v>1548</v>
      </c>
      <c r="O1557" s="25">
        <f t="shared" si="45"/>
        <v>1.3764680530115481E-2</v>
      </c>
    </row>
    <row r="1558" spans="1:15">
      <c r="A1558" s="77">
        <v>321.82568683683701</v>
      </c>
      <c r="B1558" s="77">
        <v>324.10932157255462</v>
      </c>
      <c r="C1558" s="77">
        <v>321.54813126388586</v>
      </c>
      <c r="D1558" s="77">
        <v>323.67605732317787</v>
      </c>
      <c r="E1558" s="77">
        <v>3780262.4131951253</v>
      </c>
      <c r="F1558" s="77" t="s">
        <v>1549</v>
      </c>
      <c r="G1558" s="25">
        <f t="shared" si="44"/>
        <v>-5.7167357438902E-3</v>
      </c>
      <c r="I1558" s="78">
        <v>360.58935451823999</v>
      </c>
      <c r="J1558" s="78">
        <v>361.81386558629998</v>
      </c>
      <c r="K1558" s="78">
        <v>351.82826937652499</v>
      </c>
      <c r="L1558" s="78">
        <v>353.76707856761999</v>
      </c>
      <c r="M1558" s="78">
        <v>885358.85732547625</v>
      </c>
      <c r="N1558" s="78" t="s">
        <v>1549</v>
      </c>
      <c r="O1558" s="25">
        <f t="shared" si="45"/>
        <v>1.9284654689302849E-2</v>
      </c>
    </row>
    <row r="1559" spans="1:15">
      <c r="A1559" s="77">
        <v>322.91740542377806</v>
      </c>
      <c r="B1559" s="77">
        <v>323.87034622424363</v>
      </c>
      <c r="C1559" s="77">
        <v>321.33533865795664</v>
      </c>
      <c r="D1559" s="77">
        <v>322.06623500006134</v>
      </c>
      <c r="E1559" s="77">
        <v>3285748.4730114555</v>
      </c>
      <c r="F1559" s="77" t="s">
        <v>1550</v>
      </c>
      <c r="G1559" s="25">
        <f t="shared" si="44"/>
        <v>2.6428427795808229E-3</v>
      </c>
      <c r="I1559" s="78">
        <v>351.80397352199998</v>
      </c>
      <c r="J1559" s="78">
        <v>353.06735795729998</v>
      </c>
      <c r="K1559" s="78">
        <v>349.19819453248465</v>
      </c>
      <c r="L1559" s="78">
        <v>351.67763507847002</v>
      </c>
      <c r="M1559" s="78">
        <v>1471672.8717324259</v>
      </c>
      <c r="N1559" s="78" t="s">
        <v>1550</v>
      </c>
      <c r="O1559" s="25">
        <f t="shared" si="45"/>
        <v>3.5924503274653574E-4</v>
      </c>
    </row>
    <row r="1560" spans="1:15">
      <c r="A1560" s="77">
        <v>322.11249426221985</v>
      </c>
      <c r="B1560" s="77">
        <v>323.02842765295856</v>
      </c>
      <c r="C1560" s="77">
        <v>320.08633857967658</v>
      </c>
      <c r="D1560" s="77">
        <v>322.2420201962637</v>
      </c>
      <c r="E1560" s="77">
        <v>2484246.2814515396</v>
      </c>
      <c r="F1560" s="77" t="s">
        <v>1551</v>
      </c>
      <c r="G1560" s="25">
        <f t="shared" si="44"/>
        <v>-4.0195233993678414E-4</v>
      </c>
      <c r="I1560" s="78">
        <v>351.10425291167996</v>
      </c>
      <c r="J1560" s="78">
        <v>362.25119096775001</v>
      </c>
      <c r="K1560" s="78">
        <v>348.90790766261995</v>
      </c>
      <c r="L1560" s="78">
        <v>360.40470602385</v>
      </c>
      <c r="M1560" s="78">
        <v>1307276.5136668929</v>
      </c>
      <c r="N1560" s="78" t="s">
        <v>1551</v>
      </c>
      <c r="O1560" s="25">
        <f t="shared" si="45"/>
        <v>-2.5805581771605857E-2</v>
      </c>
    </row>
    <row r="1561" spans="1:15">
      <c r="A1561" s="77">
        <v>322.08473870492469</v>
      </c>
      <c r="B1561" s="77">
        <v>323.64830176588276</v>
      </c>
      <c r="C1561" s="77">
        <v>321.22616679926256</v>
      </c>
      <c r="D1561" s="77">
        <v>321.37234606768351</v>
      </c>
      <c r="E1561" s="77">
        <v>3229470.0137684476</v>
      </c>
      <c r="F1561" s="77" t="s">
        <v>1552</v>
      </c>
      <c r="G1561" s="25">
        <f t="shared" si="44"/>
        <v>2.2167204053429312E-3</v>
      </c>
      <c r="I1561" s="78">
        <v>361.98879573888001</v>
      </c>
      <c r="J1561" s="78">
        <v>371.72657423250001</v>
      </c>
      <c r="K1561" s="78">
        <v>345.97296843599997</v>
      </c>
      <c r="L1561" s="78">
        <v>368.95684681664994</v>
      </c>
      <c r="M1561" s="78">
        <v>1989755.0814792756</v>
      </c>
      <c r="N1561" s="78" t="s">
        <v>1552</v>
      </c>
      <c r="O1561" s="25">
        <f t="shared" si="45"/>
        <v>-1.8885815883049939E-2</v>
      </c>
    </row>
    <row r="1562" spans="1:15">
      <c r="A1562" s="77">
        <v>324.20341291178505</v>
      </c>
      <c r="B1562" s="77">
        <v>324.38752477517596</v>
      </c>
      <c r="C1562" s="77">
        <v>320.70621269260073</v>
      </c>
      <c r="D1562" s="77">
        <v>323.70381288047298</v>
      </c>
      <c r="E1562" s="77">
        <v>4062388.6164898686</v>
      </c>
      <c r="F1562" s="77" t="s">
        <v>1553</v>
      </c>
      <c r="G1562" s="25">
        <f t="shared" si="44"/>
        <v>1.5433863038756268E-3</v>
      </c>
      <c r="I1562" s="78">
        <v>368.91797344941</v>
      </c>
      <c r="J1562" s="78">
        <v>376.24560317414995</v>
      </c>
      <c r="K1562" s="78">
        <v>364.43781787500001</v>
      </c>
      <c r="L1562" s="78">
        <v>373.73827098716998</v>
      </c>
      <c r="M1562" s="78">
        <v>1088475.812727151</v>
      </c>
      <c r="N1562" s="78" t="s">
        <v>1553</v>
      </c>
      <c r="O1562" s="25">
        <f t="shared" si="45"/>
        <v>-1.2897521907585086E-2</v>
      </c>
    </row>
    <row r="1563" spans="1:15">
      <c r="A1563" s="77">
        <v>322.39004983517094</v>
      </c>
      <c r="B1563" s="77">
        <v>323.07468691511707</v>
      </c>
      <c r="C1563" s="77">
        <v>319.6885089251133</v>
      </c>
      <c r="D1563" s="77">
        <v>319.87354597374735</v>
      </c>
      <c r="E1563" s="77">
        <v>3933111.8031350258</v>
      </c>
      <c r="F1563" s="77" t="s">
        <v>1554</v>
      </c>
      <c r="G1563" s="25">
        <f t="shared" si="44"/>
        <v>7.8671834326371481E-3</v>
      </c>
      <c r="I1563" s="78">
        <v>371.63910915621</v>
      </c>
      <c r="J1563" s="78">
        <v>373.44672073286995</v>
      </c>
      <c r="K1563" s="78">
        <v>366.04134427364994</v>
      </c>
      <c r="L1563" s="78">
        <v>366.07049929907998</v>
      </c>
      <c r="M1563" s="78">
        <v>827459.06217513466</v>
      </c>
      <c r="N1563" s="78" t="s">
        <v>1554</v>
      </c>
      <c r="O1563" s="25">
        <f t="shared" si="45"/>
        <v>1.5211850907932423E-2</v>
      </c>
    </row>
    <row r="1564" spans="1:15">
      <c r="A1564" s="77">
        <v>317.64384953770661</v>
      </c>
      <c r="B1564" s="77">
        <v>320.57668675855689</v>
      </c>
      <c r="C1564" s="77">
        <v>313.91535300772978</v>
      </c>
      <c r="D1564" s="77">
        <v>314.36869377688328</v>
      </c>
      <c r="E1564" s="77">
        <v>5193500.4751419583</v>
      </c>
      <c r="F1564" s="77" t="s">
        <v>1555</v>
      </c>
      <c r="G1564" s="25">
        <f t="shared" si="44"/>
        <v>1.0418199476146972E-2</v>
      </c>
      <c r="I1564" s="78">
        <v>365.94416085555002</v>
      </c>
      <c r="J1564" s="78">
        <v>369.84607509226498</v>
      </c>
      <c r="K1564" s="78">
        <v>354.71947606499998</v>
      </c>
      <c r="L1564" s="78">
        <v>357.08103312483001</v>
      </c>
      <c r="M1564" s="78">
        <v>1028749.5743062366</v>
      </c>
      <c r="N1564" s="78" t="s">
        <v>1555</v>
      </c>
      <c r="O1564" s="25">
        <f t="shared" si="45"/>
        <v>2.4821054350488536E-2</v>
      </c>
    </row>
    <row r="1565" spans="1:15">
      <c r="A1565" s="77">
        <v>315.72871608434377</v>
      </c>
      <c r="B1565" s="77">
        <v>316.77417540912637</v>
      </c>
      <c r="C1565" s="77">
        <v>313.07343443644464</v>
      </c>
      <c r="D1565" s="77">
        <v>313.08268628887635</v>
      </c>
      <c r="E1565" s="77">
        <v>3566546.2936832896</v>
      </c>
      <c r="F1565" s="77" t="s">
        <v>1556</v>
      </c>
      <c r="G1565" s="25">
        <f t="shared" si="44"/>
        <v>8.451536643026003E-3</v>
      </c>
      <c r="I1565" s="78">
        <v>364.34063445689998</v>
      </c>
      <c r="J1565" s="78">
        <v>364.36007114052001</v>
      </c>
      <c r="K1565" s="78">
        <v>353.52412002236997</v>
      </c>
      <c r="L1565" s="78">
        <v>354.98187129386997</v>
      </c>
      <c r="M1565" s="78">
        <v>845959.13178731885</v>
      </c>
      <c r="N1565" s="78" t="s">
        <v>1556</v>
      </c>
      <c r="O1565" s="25">
        <f t="shared" si="45"/>
        <v>2.6364059462863132E-2</v>
      </c>
    </row>
    <row r="1566" spans="1:15">
      <c r="A1566" s="77">
        <v>313.66555299207369</v>
      </c>
      <c r="B1566" s="77">
        <v>319.27217556568655</v>
      </c>
      <c r="C1566" s="77">
        <v>310.27937500206991</v>
      </c>
      <c r="D1566" s="77">
        <v>319.20741259866463</v>
      </c>
      <c r="E1566" s="77">
        <v>5839494.3497869065</v>
      </c>
      <c r="F1566" s="77" t="s">
        <v>1557</v>
      </c>
      <c r="G1566" s="25">
        <f t="shared" si="44"/>
        <v>-1.7361312387687788E-2</v>
      </c>
      <c r="I1566" s="78">
        <v>357.40173840455998</v>
      </c>
      <c r="J1566" s="78">
        <v>363.95190078449997</v>
      </c>
      <c r="K1566" s="78">
        <v>351.21115467158995</v>
      </c>
      <c r="L1566" s="78">
        <v>360.39498768203998</v>
      </c>
      <c r="M1566" s="78">
        <v>998252.60210723139</v>
      </c>
      <c r="N1566" s="78" t="s">
        <v>1557</v>
      </c>
      <c r="O1566" s="25">
        <f t="shared" si="45"/>
        <v>-8.3054686657318966E-3</v>
      </c>
    </row>
    <row r="1567" spans="1:15">
      <c r="A1567" s="77">
        <v>317.97691622524798</v>
      </c>
      <c r="B1567" s="77">
        <v>318.60604219060389</v>
      </c>
      <c r="C1567" s="77">
        <v>315.70096052704872</v>
      </c>
      <c r="D1567" s="77">
        <v>316.24681982051925</v>
      </c>
      <c r="E1567" s="77">
        <v>3790938.1130864825</v>
      </c>
      <c r="F1567" s="77" t="s">
        <v>1558</v>
      </c>
      <c r="G1567" s="25">
        <f t="shared" si="44"/>
        <v>5.4707155813000785E-3</v>
      </c>
      <c r="I1567" s="78">
        <v>359.57864696999997</v>
      </c>
      <c r="J1567" s="78">
        <v>359.99653566783002</v>
      </c>
      <c r="K1567" s="78">
        <v>350.73009675199495</v>
      </c>
      <c r="L1567" s="78">
        <v>356.04117055116001</v>
      </c>
      <c r="M1567" s="78">
        <v>528470.81327344256</v>
      </c>
      <c r="N1567" s="78" t="s">
        <v>1558</v>
      </c>
      <c r="O1567" s="25">
        <f t="shared" si="45"/>
        <v>9.9355824871709686E-3</v>
      </c>
    </row>
    <row r="1568" spans="1:15">
      <c r="A1568" s="77">
        <v>316.27457537781436</v>
      </c>
      <c r="B1568" s="77">
        <v>317.25527173557504</v>
      </c>
      <c r="C1568" s="77">
        <v>316.01089758351077</v>
      </c>
      <c r="D1568" s="77">
        <v>316.67240503237764</v>
      </c>
      <c r="E1568" s="77">
        <v>2171602.9463624675</v>
      </c>
      <c r="F1568" s="77" t="s">
        <v>1559</v>
      </c>
      <c r="G1568" s="25">
        <f t="shared" si="44"/>
        <v>-1.2562814070351536E-3</v>
      </c>
      <c r="I1568" s="78">
        <v>353.83510696028998</v>
      </c>
      <c r="J1568" s="78">
        <v>359.90421142063497</v>
      </c>
      <c r="K1568" s="78">
        <v>350.59889913755995</v>
      </c>
      <c r="L1568" s="78">
        <v>357.84878212782002</v>
      </c>
      <c r="M1568" s="78">
        <v>597100.83401563345</v>
      </c>
      <c r="N1568" s="78" t="s">
        <v>1559</v>
      </c>
      <c r="O1568" s="25">
        <f t="shared" si="45"/>
        <v>-1.1216120797349571E-2</v>
      </c>
    </row>
    <row r="1569" spans="1:15">
      <c r="A1569" s="77">
        <v>315.84899016595597</v>
      </c>
      <c r="B1569" s="77">
        <v>318.0509310447016</v>
      </c>
      <c r="C1569" s="77">
        <v>315.36789383950736</v>
      </c>
      <c r="D1569" s="77">
        <v>317.92140511065776</v>
      </c>
      <c r="E1569" s="77">
        <v>2762194.9429744808</v>
      </c>
      <c r="F1569" s="77" t="s">
        <v>1560</v>
      </c>
      <c r="G1569" s="25">
        <f t="shared" si="44"/>
        <v>-6.5186392340599308E-3</v>
      </c>
      <c r="I1569" s="78">
        <v>355.79821200590999</v>
      </c>
      <c r="J1569" s="78">
        <v>362.30950101860998</v>
      </c>
      <c r="K1569" s="78">
        <v>352.88270946290999</v>
      </c>
      <c r="L1569" s="78">
        <v>360.62822788547999</v>
      </c>
      <c r="M1569" s="78">
        <v>465184.29670256679</v>
      </c>
      <c r="N1569" s="78" t="s">
        <v>1560</v>
      </c>
      <c r="O1569" s="25">
        <f t="shared" si="45"/>
        <v>-1.3393338363695162E-2</v>
      </c>
    </row>
    <row r="1570" spans="1:15">
      <c r="A1570" s="77">
        <v>316.51512354103869</v>
      </c>
      <c r="B1570" s="77">
        <v>316.83893837614829</v>
      </c>
      <c r="C1570" s="77">
        <v>315.57143459300482</v>
      </c>
      <c r="D1570" s="77">
        <v>316.17280500106563</v>
      </c>
      <c r="E1570" s="77">
        <v>3025172.5485902443</v>
      </c>
      <c r="F1570" s="77" t="s">
        <v>1561</v>
      </c>
      <c r="G1570" s="25">
        <f t="shared" si="44"/>
        <v>1.0826944460700094E-3</v>
      </c>
      <c r="I1570" s="78">
        <v>356.44934090717999</v>
      </c>
      <c r="J1570" s="78">
        <v>362.68851634919997</v>
      </c>
      <c r="K1570" s="78">
        <v>355.53581677703994</v>
      </c>
      <c r="L1570" s="78">
        <v>362.23175428412998</v>
      </c>
      <c r="M1570" s="78">
        <v>555055.59543598723</v>
      </c>
      <c r="N1570" s="78" t="s">
        <v>1561</v>
      </c>
      <c r="O1570" s="25">
        <f t="shared" si="45"/>
        <v>-1.59632978295281E-2</v>
      </c>
    </row>
    <row r="1571" spans="1:15">
      <c r="A1571" s="77">
        <v>313.78582707368588</v>
      </c>
      <c r="B1571" s="77">
        <v>313.80433077854929</v>
      </c>
      <c r="C1571" s="77">
        <v>312.49981958567895</v>
      </c>
      <c r="D1571" s="77">
        <v>313.05493073158124</v>
      </c>
      <c r="E1571" s="77">
        <v>1564732.0476482238</v>
      </c>
      <c r="F1571" s="77" t="s">
        <v>1562</v>
      </c>
      <c r="G1571" s="25">
        <f t="shared" si="44"/>
        <v>2.334722345361584E-3</v>
      </c>
      <c r="I1571" s="78">
        <v>356.94497633948998</v>
      </c>
      <c r="J1571" s="78">
        <v>358.66706650822198</v>
      </c>
      <c r="K1571" s="78">
        <v>351.81369186380999</v>
      </c>
      <c r="L1571" s="78">
        <v>353.21313308444996</v>
      </c>
      <c r="M1571" s="78">
        <v>277045.20510171272</v>
      </c>
      <c r="N1571" s="78" t="s">
        <v>1562</v>
      </c>
      <c r="O1571" s="25">
        <f t="shared" si="45"/>
        <v>1.0565414775072224E-2</v>
      </c>
    </row>
    <row r="1572" spans="1:15">
      <c r="A1572" s="77">
        <v>312.53682699540582</v>
      </c>
      <c r="B1572" s="77">
        <v>314.33168636715646</v>
      </c>
      <c r="C1572" s="77">
        <v>312.42580476622533</v>
      </c>
      <c r="D1572" s="77">
        <v>313.21221222292024</v>
      </c>
      <c r="E1572" s="77">
        <v>3979924.0500009446</v>
      </c>
      <c r="F1572" s="77" t="s">
        <v>1563</v>
      </c>
      <c r="G1572" s="25">
        <f t="shared" si="44"/>
        <v>-2.1563183080286485E-3</v>
      </c>
      <c r="I1572" s="78">
        <v>356.19666402011995</v>
      </c>
      <c r="J1572" s="78">
        <v>363.64091384658002</v>
      </c>
      <c r="K1572" s="78">
        <v>355.74962029685997</v>
      </c>
      <c r="L1572" s="78">
        <v>359.58836531180998</v>
      </c>
      <c r="M1572" s="78">
        <v>769215.58699528803</v>
      </c>
      <c r="N1572" s="78" t="s">
        <v>1563</v>
      </c>
      <c r="O1572" s="25">
        <f t="shared" si="45"/>
        <v>-9.4321775087160553E-3</v>
      </c>
    </row>
    <row r="1573" spans="1:15">
      <c r="A1573" s="77">
        <v>312.28702697974978</v>
      </c>
      <c r="B1573" s="77">
        <v>313.22146407535195</v>
      </c>
      <c r="C1573" s="77">
        <v>311.2970787695574</v>
      </c>
      <c r="D1573" s="77">
        <v>313.14744925589832</v>
      </c>
      <c r="E1573" s="77">
        <v>2573889.9507731451</v>
      </c>
      <c r="F1573" s="77" t="s">
        <v>1564</v>
      </c>
      <c r="G1573" s="25">
        <f t="shared" si="44"/>
        <v>-2.7476585812628018E-3</v>
      </c>
      <c r="I1573" s="78">
        <v>360.51160778375998</v>
      </c>
      <c r="J1573" s="78">
        <v>367.67402569772997</v>
      </c>
      <c r="K1573" s="78">
        <v>355.48722506798998</v>
      </c>
      <c r="L1573" s="78">
        <v>357.71758451338496</v>
      </c>
      <c r="M1573" s="78">
        <v>1218901.3549421555</v>
      </c>
      <c r="N1573" s="78" t="s">
        <v>1564</v>
      </c>
      <c r="O1573" s="25">
        <f t="shared" si="45"/>
        <v>7.8106958990451503E-3</v>
      </c>
    </row>
    <row r="1574" spans="1:15">
      <c r="A1574" s="77">
        <v>312.90421805546868</v>
      </c>
      <c r="B1574" s="77">
        <v>313.63213799499522</v>
      </c>
      <c r="C1574" s="77">
        <v>307.85484936103137</v>
      </c>
      <c r="D1574" s="77">
        <v>310.36110535535062</v>
      </c>
      <c r="E1574" s="77">
        <v>4252235.6950590359</v>
      </c>
      <c r="F1574" s="77" t="s">
        <v>1565</v>
      </c>
      <c r="G1574" s="25">
        <f t="shared" si="44"/>
        <v>8.194044473473161E-3</v>
      </c>
      <c r="I1574" s="78">
        <v>352.41622905602998</v>
      </c>
      <c r="J1574" s="78">
        <v>354.08292467644503</v>
      </c>
      <c r="K1574" s="78">
        <v>346.84761919889996</v>
      </c>
      <c r="L1574" s="78">
        <v>350.54058908669998</v>
      </c>
      <c r="M1574" s="78">
        <v>1104219.2392284255</v>
      </c>
      <c r="N1574" s="78" t="s">
        <v>1565</v>
      </c>
      <c r="O1574" s="25">
        <f t="shared" si="45"/>
        <v>5.3507069586913314E-3</v>
      </c>
    </row>
    <row r="1575" spans="1:15">
      <c r="A1575" s="77">
        <v>313.87170658268752</v>
      </c>
      <c r="B1575" s="77">
        <v>315.58554340233229</v>
      </c>
      <c r="C1575" s="77">
        <v>312.08415635144513</v>
      </c>
      <c r="D1575" s="77">
        <v>315.48418746138555</v>
      </c>
      <c r="E1575" s="77">
        <v>6539542.6632991573</v>
      </c>
      <c r="F1575" s="77" t="s">
        <v>1566</v>
      </c>
      <c r="G1575" s="25">
        <f t="shared" si="44"/>
        <v>-5.1111305820846775E-3</v>
      </c>
      <c r="I1575" s="78">
        <v>355.74962029685997</v>
      </c>
      <c r="J1575" s="78">
        <v>356.36187583088997</v>
      </c>
      <c r="K1575" s="78">
        <v>349.81171345094998</v>
      </c>
      <c r="L1575" s="78">
        <v>354.99158963567999</v>
      </c>
      <c r="M1575" s="78">
        <v>1978451.71284421</v>
      </c>
      <c r="N1575" s="78" t="s">
        <v>1566</v>
      </c>
      <c r="O1575" s="25">
        <f t="shared" si="45"/>
        <v>2.1353482260184631E-3</v>
      </c>
    </row>
    <row r="1576" spans="1:15">
      <c r="A1576" s="77">
        <v>315.13404875629686</v>
      </c>
      <c r="B1576" s="77">
        <v>315.35518899108973</v>
      </c>
      <c r="C1576" s="77">
        <v>314.16656022907802</v>
      </c>
      <c r="D1576" s="77">
        <v>314.91290852150394</v>
      </c>
      <c r="E1576" s="77">
        <v>2851036.1336575421</v>
      </c>
      <c r="F1576" s="77" t="s">
        <v>1567</v>
      </c>
      <c r="G1576" s="25">
        <f t="shared" si="44"/>
        <v>7.0222664364938403E-4</v>
      </c>
      <c r="I1576" s="78">
        <v>351.12368959529999</v>
      </c>
      <c r="J1576" s="78">
        <v>351.71650844571002</v>
      </c>
      <c r="K1576" s="78">
        <v>346.23536366486996</v>
      </c>
      <c r="L1576" s="78">
        <v>348.34424383763997</v>
      </c>
      <c r="M1576" s="78">
        <v>1388938.5930129166</v>
      </c>
      <c r="N1576" s="78" t="s">
        <v>1567</v>
      </c>
      <c r="O1576" s="25">
        <f t="shared" si="45"/>
        <v>7.9790201986387199E-3</v>
      </c>
    </row>
    <row r="1577" spans="1:15">
      <c r="A1577" s="77">
        <v>313.42942611310178</v>
      </c>
      <c r="B1577" s="77">
        <v>314.2402736406757</v>
      </c>
      <c r="C1577" s="77">
        <v>312.32372493913738</v>
      </c>
      <c r="D1577" s="77">
        <v>313.12535829026154</v>
      </c>
      <c r="E1577" s="77">
        <v>3194158.4970351029</v>
      </c>
      <c r="F1577" s="77" t="s">
        <v>1568</v>
      </c>
      <c r="G1577" s="25">
        <f t="shared" si="44"/>
        <v>9.7107377218041968E-4</v>
      </c>
      <c r="I1577" s="78">
        <v>343.36845283091998</v>
      </c>
      <c r="J1577" s="78">
        <v>344.60268224078999</v>
      </c>
      <c r="K1577" s="78">
        <v>340.18083671724003</v>
      </c>
      <c r="L1577" s="78">
        <v>343.53366464169</v>
      </c>
      <c r="M1577" s="78">
        <v>781058.14226346917</v>
      </c>
      <c r="N1577" s="78" t="s">
        <v>1568</v>
      </c>
      <c r="O1577" s="25">
        <f t="shared" si="45"/>
        <v>-4.8091883787382272E-4</v>
      </c>
    </row>
    <row r="1578" spans="1:15">
      <c r="A1578" s="77">
        <v>312.95028893771718</v>
      </c>
      <c r="B1578" s="77">
        <v>312.95028893771718</v>
      </c>
      <c r="C1578" s="77">
        <v>309.81746894481813</v>
      </c>
      <c r="D1578" s="77">
        <v>311.10745364777659</v>
      </c>
      <c r="E1578" s="77">
        <v>2998207.1811626819</v>
      </c>
      <c r="F1578" s="77" t="s">
        <v>1569</v>
      </c>
      <c r="G1578" s="25">
        <f t="shared" si="44"/>
        <v>5.9234687833193966E-3</v>
      </c>
      <c r="I1578" s="78">
        <v>342.68816890421999</v>
      </c>
      <c r="J1578" s="78">
        <v>343.20324102014996</v>
      </c>
      <c r="K1578" s="78">
        <v>337.01265728717993</v>
      </c>
      <c r="L1578" s="78">
        <v>339.01463570003995</v>
      </c>
      <c r="M1578" s="78">
        <v>972681.36733708903</v>
      </c>
      <c r="N1578" s="78" t="s">
        <v>1569</v>
      </c>
      <c r="O1578" s="25">
        <f t="shared" si="45"/>
        <v>1.0835913312693624E-2</v>
      </c>
    </row>
    <row r="1579" spans="1:15">
      <c r="A1579" s="77">
        <v>308.68412524150466</v>
      </c>
      <c r="B1579" s="77">
        <v>313.08850158446279</v>
      </c>
      <c r="C1579" s="77">
        <v>308.57355512410822</v>
      </c>
      <c r="D1579" s="77">
        <v>312.13944141014332</v>
      </c>
      <c r="E1579" s="77">
        <v>2881032.3033107622</v>
      </c>
      <c r="F1579" s="77" t="s">
        <v>1570</v>
      </c>
      <c r="G1579" s="25">
        <f t="shared" si="44"/>
        <v>-1.1069783917817877E-2</v>
      </c>
      <c r="I1579" s="78">
        <v>337.33336256691001</v>
      </c>
      <c r="J1579" s="78">
        <v>341.42478446892</v>
      </c>
      <c r="K1579" s="78">
        <v>334.50493636652755</v>
      </c>
      <c r="L1579" s="78">
        <v>335.28279244499998</v>
      </c>
      <c r="M1579" s="78">
        <v>1021238.0047990924</v>
      </c>
      <c r="N1579" s="78" t="s">
        <v>1570</v>
      </c>
      <c r="O1579" s="25">
        <f t="shared" si="45"/>
        <v>6.115942028985577E-3</v>
      </c>
    </row>
    <row r="1580" spans="1:15">
      <c r="A1580" s="77">
        <v>310.10310841475894</v>
      </c>
      <c r="B1580" s="77">
        <v>310.33346282600155</v>
      </c>
      <c r="C1580" s="77">
        <v>307.54156736174144</v>
      </c>
      <c r="D1580" s="77">
        <v>308.96055053499578</v>
      </c>
      <c r="E1580" s="77">
        <v>2591538.1727652224</v>
      </c>
      <c r="F1580" s="77" t="s">
        <v>1571</v>
      </c>
      <c r="G1580" s="25">
        <f t="shared" si="44"/>
        <v>3.6980704422771016E-3</v>
      </c>
      <c r="I1580" s="78">
        <v>332.37700824381</v>
      </c>
      <c r="J1580" s="78">
        <v>335.55335108099035</v>
      </c>
      <c r="K1580" s="78">
        <v>329.42263233356999</v>
      </c>
      <c r="L1580" s="78">
        <v>332.25066980027998</v>
      </c>
      <c r="M1580" s="78">
        <v>821627.82047691743</v>
      </c>
      <c r="N1580" s="78" t="s">
        <v>1571</v>
      </c>
      <c r="O1580" s="25">
        <f t="shared" si="45"/>
        <v>3.8025038025035762E-4</v>
      </c>
    </row>
    <row r="1581" spans="1:15">
      <c r="A1581" s="77">
        <v>310.49931800209617</v>
      </c>
      <c r="B1581" s="77">
        <v>311.43907185820143</v>
      </c>
      <c r="C1581" s="77">
        <v>308.52932707714962</v>
      </c>
      <c r="D1581" s="77">
        <v>309.35676012233301</v>
      </c>
      <c r="E1581" s="77">
        <v>2972114.7787312367</v>
      </c>
      <c r="F1581" s="77" t="s">
        <v>1572</v>
      </c>
      <c r="G1581" s="25">
        <f t="shared" si="44"/>
        <v>3.6933341275986464E-3</v>
      </c>
      <c r="I1581" s="78">
        <v>334.02912635150994</v>
      </c>
      <c r="J1581" s="78">
        <v>339.10210077633002</v>
      </c>
      <c r="K1581" s="78">
        <v>327.07565278645501</v>
      </c>
      <c r="L1581" s="78">
        <v>328.62572830514995</v>
      </c>
      <c r="M1581" s="78">
        <v>807516.35962472903</v>
      </c>
      <c r="N1581" s="78" t="s">
        <v>1572</v>
      </c>
      <c r="O1581" s="25">
        <f t="shared" si="45"/>
        <v>1.6442407215732757E-2</v>
      </c>
    </row>
    <row r="1582" spans="1:15">
      <c r="A1582" s="77">
        <v>310.64674482529142</v>
      </c>
      <c r="B1582" s="77">
        <v>314.14158981089935</v>
      </c>
      <c r="C1582" s="77">
        <v>309.83589729771757</v>
      </c>
      <c r="D1582" s="77">
        <v>314.00991922943308</v>
      </c>
      <c r="E1582" s="77">
        <v>2762903.4606581922</v>
      </c>
      <c r="F1582" s="77" t="s">
        <v>1573</v>
      </c>
      <c r="G1582" s="25">
        <f t="shared" si="44"/>
        <v>-1.0710408169253838E-2</v>
      </c>
      <c r="I1582" s="78">
        <v>328.24671297455996</v>
      </c>
      <c r="J1582" s="78">
        <v>336.79885376736001</v>
      </c>
      <c r="K1582" s="78">
        <v>326.53628481599998</v>
      </c>
      <c r="L1582" s="78">
        <v>333.59180097005998</v>
      </c>
      <c r="M1582" s="78">
        <v>1465056.5166733933</v>
      </c>
      <c r="N1582" s="78" t="s">
        <v>1573</v>
      </c>
      <c r="O1582" s="25">
        <f t="shared" si="45"/>
        <v>-1.6022839829866631E-2</v>
      </c>
    </row>
    <row r="1583" spans="1:15">
      <c r="A1583" s="77">
        <v>313.42942611310178</v>
      </c>
      <c r="B1583" s="77">
        <v>313.92699164138571</v>
      </c>
      <c r="C1583" s="77">
        <v>311.3009513532204</v>
      </c>
      <c r="D1583" s="77">
        <v>311.33780805901915</v>
      </c>
      <c r="E1583" s="77">
        <v>2114344.1420234228</v>
      </c>
      <c r="F1583" s="77" t="s">
        <v>1574</v>
      </c>
      <c r="G1583" s="25">
        <f t="shared" si="44"/>
        <v>6.7181627156767121E-3</v>
      </c>
      <c r="I1583" s="78">
        <v>333.06701051232</v>
      </c>
      <c r="J1583" s="78">
        <v>333.72785775539995</v>
      </c>
      <c r="K1583" s="78">
        <v>326.22529787807997</v>
      </c>
      <c r="L1583" s="78">
        <v>331.58010421539001</v>
      </c>
      <c r="M1583" s="78">
        <v>986365.80060770677</v>
      </c>
      <c r="N1583" s="78" t="s">
        <v>1574</v>
      </c>
      <c r="O1583" s="25">
        <f t="shared" si="45"/>
        <v>4.484304932735439E-3</v>
      </c>
    </row>
    <row r="1584" spans="1:15">
      <c r="A1584" s="77">
        <v>312.52643682103087</v>
      </c>
      <c r="B1584" s="77">
        <v>312.94107476126749</v>
      </c>
      <c r="C1584" s="77">
        <v>311.35623641191859</v>
      </c>
      <c r="D1584" s="77">
        <v>312.42508088008412</v>
      </c>
      <c r="E1584" s="77">
        <v>2108795.0839736774</v>
      </c>
      <c r="F1584" s="77" t="s">
        <v>1575</v>
      </c>
      <c r="G1584" s="25">
        <f t="shared" si="44"/>
        <v>3.2441678709416166E-4</v>
      </c>
      <c r="I1584" s="78">
        <v>333.16419393041997</v>
      </c>
      <c r="J1584" s="78">
        <v>341.01661411289996</v>
      </c>
      <c r="K1584" s="78">
        <v>331.92996452055002</v>
      </c>
      <c r="L1584" s="78">
        <v>338.22745001342997</v>
      </c>
      <c r="M1584" s="78">
        <v>980331.84943100915</v>
      </c>
      <c r="N1584" s="78" t="s">
        <v>1575</v>
      </c>
      <c r="O1584" s="25">
        <f t="shared" si="45"/>
        <v>-1.4969973852828833E-2</v>
      </c>
    </row>
    <row r="1585" spans="1:15">
      <c r="A1585" s="77">
        <v>313.10692993736217</v>
      </c>
      <c r="B1585" s="77">
        <v>313.13457246671123</v>
      </c>
      <c r="C1585" s="77">
        <v>310.93238429523223</v>
      </c>
      <c r="D1585" s="77">
        <v>310.98260155688314</v>
      </c>
      <c r="E1585" s="77">
        <v>3155230.4385202741</v>
      </c>
      <c r="F1585" s="77" t="s">
        <v>1576</v>
      </c>
      <c r="G1585" s="25">
        <f t="shared" si="44"/>
        <v>6.831020030843904E-3</v>
      </c>
      <c r="I1585" s="78">
        <v>340.78337390946001</v>
      </c>
      <c r="J1585" s="78">
        <v>341.10407918918997</v>
      </c>
      <c r="K1585" s="78">
        <v>333.72785775539995</v>
      </c>
      <c r="L1585" s="78">
        <v>335.35082083766997</v>
      </c>
      <c r="M1585" s="78">
        <v>1206912.6842123286</v>
      </c>
      <c r="N1585" s="78" t="s">
        <v>1576</v>
      </c>
      <c r="O1585" s="25">
        <f t="shared" si="45"/>
        <v>1.6199611672994108E-2</v>
      </c>
    </row>
    <row r="1586" spans="1:15">
      <c r="A1586" s="77">
        <v>310.4348187669483</v>
      </c>
      <c r="B1586" s="77">
        <v>311.71558929345701</v>
      </c>
      <c r="C1586" s="77">
        <v>309.48575859262883</v>
      </c>
      <c r="D1586" s="77">
        <v>310.4348187669483</v>
      </c>
      <c r="E1586" s="77">
        <v>3094238.5524773165</v>
      </c>
      <c r="F1586" s="77" t="s">
        <v>1577</v>
      </c>
      <c r="G1586" s="25">
        <f t="shared" si="44"/>
        <v>0</v>
      </c>
      <c r="I1586" s="78">
        <v>336.254626626</v>
      </c>
      <c r="J1586" s="78">
        <v>336.83772713460002</v>
      </c>
      <c r="K1586" s="78">
        <v>327.52269650971499</v>
      </c>
      <c r="L1586" s="78">
        <v>331.40517406280998</v>
      </c>
      <c r="M1586" s="78">
        <v>1770356.5419253351</v>
      </c>
      <c r="N1586" s="78" t="s">
        <v>1577</v>
      </c>
      <c r="O1586" s="25">
        <f t="shared" si="45"/>
        <v>1.4633001964751813E-2</v>
      </c>
    </row>
    <row r="1587" spans="1:15">
      <c r="A1587" s="77">
        <v>310.5269605314453</v>
      </c>
      <c r="B1587" s="77">
        <v>310.61910229594235</v>
      </c>
      <c r="C1587" s="77">
        <v>308.35241488931536</v>
      </c>
      <c r="D1587" s="77">
        <v>308.87762294694846</v>
      </c>
      <c r="E1587" s="77">
        <v>2463959.7606936935</v>
      </c>
      <c r="F1587" s="77" t="s">
        <v>1578</v>
      </c>
      <c r="G1587" s="25">
        <f t="shared" si="44"/>
        <v>5.3397768629555031E-3</v>
      </c>
      <c r="I1587" s="78">
        <v>331.22052556841999</v>
      </c>
      <c r="J1587" s="78">
        <v>331.99799291322</v>
      </c>
      <c r="K1587" s="78">
        <v>322.94049834629999</v>
      </c>
      <c r="L1587" s="78">
        <v>324.93275841734999</v>
      </c>
      <c r="M1587" s="78">
        <v>1530881.5321448341</v>
      </c>
      <c r="N1587" s="78" t="s">
        <v>1578</v>
      </c>
      <c r="O1587" s="25">
        <f t="shared" si="45"/>
        <v>1.9350979512486877E-2</v>
      </c>
    </row>
    <row r="1588" spans="1:15">
      <c r="A1588" s="77">
        <v>309.87275400351638</v>
      </c>
      <c r="B1588" s="77">
        <v>311.25488047097184</v>
      </c>
      <c r="C1588" s="77">
        <v>308.96976471144546</v>
      </c>
      <c r="D1588" s="77">
        <v>309.52261529842764</v>
      </c>
      <c r="E1588" s="77">
        <v>3513222.280548248</v>
      </c>
      <c r="F1588" s="77" t="s">
        <v>1579</v>
      </c>
      <c r="G1588" s="25">
        <f t="shared" si="44"/>
        <v>1.1312217194570096E-3</v>
      </c>
      <c r="I1588" s="78">
        <v>324.92304007553997</v>
      </c>
      <c r="J1588" s="78">
        <v>327.06107527374002</v>
      </c>
      <c r="K1588" s="78">
        <v>313.50884761969502</v>
      </c>
      <c r="L1588" s="78">
        <v>314.73821785865999</v>
      </c>
      <c r="M1588" s="78">
        <v>2180814.4243487976</v>
      </c>
      <c r="N1588" s="78" t="s">
        <v>1579</v>
      </c>
      <c r="O1588" s="25">
        <f t="shared" si="45"/>
        <v>3.2359661582165078E-2</v>
      </c>
    </row>
    <row r="1589" spans="1:15">
      <c r="A1589" s="77">
        <v>306.50036542292503</v>
      </c>
      <c r="B1589" s="77">
        <v>307.41256889144563</v>
      </c>
      <c r="C1589" s="77">
        <v>304.10467954600222</v>
      </c>
      <c r="D1589" s="77">
        <v>307.20064283310245</v>
      </c>
      <c r="E1589" s="77">
        <v>4531828.7779636942</v>
      </c>
      <c r="F1589" s="77" t="s">
        <v>1580</v>
      </c>
      <c r="G1589" s="25">
        <f t="shared" si="44"/>
        <v>-2.2795440911816955E-3</v>
      </c>
      <c r="I1589" s="78">
        <v>313.01807135828994</v>
      </c>
      <c r="J1589" s="78">
        <v>313.46511508154998</v>
      </c>
      <c r="K1589" s="78">
        <v>302.25986697461997</v>
      </c>
      <c r="L1589" s="78">
        <v>308.38242231492001</v>
      </c>
      <c r="M1589" s="78">
        <v>1649951.2276364358</v>
      </c>
      <c r="N1589" s="78" t="s">
        <v>1580</v>
      </c>
      <c r="O1589" s="25">
        <f t="shared" si="45"/>
        <v>1.5032144207739684E-2</v>
      </c>
    </row>
    <row r="1590" spans="1:15">
      <c r="A1590" s="77">
        <v>307.88249189038049</v>
      </c>
      <c r="B1590" s="77">
        <v>308.31555818351654</v>
      </c>
      <c r="C1590" s="77">
        <v>306.99793095120901</v>
      </c>
      <c r="D1590" s="77">
        <v>308.01609744890123</v>
      </c>
      <c r="E1590" s="77">
        <v>1068690.1920916936</v>
      </c>
      <c r="F1590" s="77" t="s">
        <v>1581</v>
      </c>
      <c r="G1590" s="25">
        <f t="shared" si="44"/>
        <v>-4.3376161060193485E-4</v>
      </c>
      <c r="I1590" s="78">
        <v>308.10059040242999</v>
      </c>
      <c r="J1590" s="78">
        <v>310.33580901872995</v>
      </c>
      <c r="K1590" s="78">
        <v>295.44730936580999</v>
      </c>
      <c r="L1590" s="78">
        <v>296.40942520499999</v>
      </c>
      <c r="M1590" s="78">
        <v>1010136.316660383</v>
      </c>
      <c r="N1590" s="78" t="s">
        <v>1581</v>
      </c>
      <c r="O1590" s="25">
        <f t="shared" si="45"/>
        <v>3.9442622950819572E-2</v>
      </c>
    </row>
    <row r="1591" spans="1:15">
      <c r="A1591" s="77">
        <v>307.0071451276587</v>
      </c>
      <c r="B1591" s="77">
        <v>307.44942559724444</v>
      </c>
      <c r="C1591" s="77">
        <v>306.04887077688954</v>
      </c>
      <c r="D1591" s="77">
        <v>307.44942559724444</v>
      </c>
      <c r="E1591" s="77">
        <v>2449334.4709854266</v>
      </c>
      <c r="F1591" s="77" t="s">
        <v>1582</v>
      </c>
      <c r="G1591" s="25">
        <f t="shared" si="44"/>
        <v>-1.4385470674618261E-3</v>
      </c>
      <c r="I1591" s="78">
        <v>295.41815434038</v>
      </c>
      <c r="J1591" s="78">
        <v>300.68549560139996</v>
      </c>
      <c r="K1591" s="78">
        <v>293.22666826222502</v>
      </c>
      <c r="L1591" s="78">
        <v>300.53000213244002</v>
      </c>
      <c r="M1591" s="78">
        <v>556936.57475914608</v>
      </c>
      <c r="N1591" s="78" t="s">
        <v>1582</v>
      </c>
      <c r="O1591" s="25">
        <f t="shared" si="45"/>
        <v>-1.7009442504203887E-2</v>
      </c>
    </row>
    <row r="1592" spans="1:15">
      <c r="A1592" s="77">
        <v>307.51392483239238</v>
      </c>
      <c r="B1592" s="77">
        <v>307.98384783132724</v>
      </c>
      <c r="C1592" s="77">
        <v>304.15996460470046</v>
      </c>
      <c r="D1592" s="77">
        <v>305.00766883807307</v>
      </c>
      <c r="E1592" s="77">
        <v>2886563.9968135105</v>
      </c>
      <c r="F1592" s="77" t="s">
        <v>1583</v>
      </c>
      <c r="G1592" s="25">
        <f t="shared" si="44"/>
        <v>8.2170261615615026E-3</v>
      </c>
      <c r="I1592" s="78">
        <v>297.02168073902999</v>
      </c>
      <c r="J1592" s="78">
        <v>301.04507424836999</v>
      </c>
      <c r="K1592" s="78">
        <v>294.71843373005999</v>
      </c>
      <c r="L1592" s="78">
        <v>296.22477671061</v>
      </c>
      <c r="M1592" s="78">
        <v>1006686.1395977181</v>
      </c>
      <c r="N1592" s="78" t="s">
        <v>1583</v>
      </c>
      <c r="O1592" s="25">
        <f t="shared" si="45"/>
        <v>2.6902004527409318E-3</v>
      </c>
    </row>
    <row r="1593" spans="1:15">
      <c r="A1593" s="77">
        <v>302.61198296115032</v>
      </c>
      <c r="B1593" s="77">
        <v>303.69925578221529</v>
      </c>
      <c r="C1593" s="77">
        <v>300.43743731902038</v>
      </c>
      <c r="D1593" s="77">
        <v>302.48298449085445</v>
      </c>
      <c r="E1593" s="77">
        <v>2412190.6196745452</v>
      </c>
      <c r="F1593" s="77" t="s">
        <v>1584</v>
      </c>
      <c r="G1593" s="25">
        <f t="shared" si="44"/>
        <v>4.2646521262335035E-4</v>
      </c>
      <c r="I1593" s="78">
        <v>293.34814753485</v>
      </c>
      <c r="J1593" s="78">
        <v>297.38125938600001</v>
      </c>
      <c r="K1593" s="78">
        <v>289.18869724016997</v>
      </c>
      <c r="L1593" s="78">
        <v>292.52208848099997</v>
      </c>
      <c r="M1593" s="78">
        <v>902348.38117923739</v>
      </c>
      <c r="N1593" s="78" t="s">
        <v>1584</v>
      </c>
      <c r="O1593" s="25">
        <f t="shared" si="45"/>
        <v>2.8239202657809326E-3</v>
      </c>
    </row>
    <row r="1594" spans="1:15">
      <c r="A1594" s="77">
        <v>300.83364690635761</v>
      </c>
      <c r="B1594" s="77">
        <v>302.83128036065324</v>
      </c>
      <c r="C1594" s="77">
        <v>300.75071931831025</v>
      </c>
      <c r="D1594" s="77">
        <v>302.60276878470063</v>
      </c>
      <c r="E1594" s="77">
        <v>3817548.9900818323</v>
      </c>
      <c r="F1594" s="77" t="s">
        <v>1585</v>
      </c>
      <c r="G1594" s="25">
        <f t="shared" si="44"/>
        <v>-5.8463505983374908E-3</v>
      </c>
      <c r="I1594" s="78">
        <v>292.32772164480002</v>
      </c>
      <c r="J1594" s="78">
        <v>298.04920101860131</v>
      </c>
      <c r="K1594" s="78">
        <v>288.83883693500997</v>
      </c>
      <c r="L1594" s="78">
        <v>291.81264952887</v>
      </c>
      <c r="M1594" s="78">
        <v>904273.60673373973</v>
      </c>
      <c r="N1594" s="78" t="s">
        <v>1585</v>
      </c>
      <c r="O1594" s="25">
        <f t="shared" si="45"/>
        <v>1.7650780963800461E-3</v>
      </c>
    </row>
    <row r="1595" spans="1:15">
      <c r="A1595" s="77">
        <v>302.86076572529225</v>
      </c>
      <c r="B1595" s="77">
        <v>303.22933278328037</v>
      </c>
      <c r="C1595" s="77">
        <v>299.8385158497897</v>
      </c>
      <c r="D1595" s="77">
        <v>301.08242967049955</v>
      </c>
      <c r="E1595" s="77">
        <v>3214786.4935834133</v>
      </c>
      <c r="F1595" s="77" t="s">
        <v>1586</v>
      </c>
      <c r="G1595" s="25">
        <f t="shared" si="44"/>
        <v>5.9064757008202573E-3</v>
      </c>
      <c r="I1595" s="78">
        <v>290.57842011899999</v>
      </c>
      <c r="J1595" s="78">
        <v>292.35687667022995</v>
      </c>
      <c r="K1595" s="78">
        <v>284.40727306964999</v>
      </c>
      <c r="L1595" s="78">
        <v>287.38108566350996</v>
      </c>
      <c r="M1595" s="78">
        <v>1013253.1035147858</v>
      </c>
      <c r="N1595" s="78" t="s">
        <v>1586</v>
      </c>
      <c r="O1595" s="25">
        <f t="shared" si="45"/>
        <v>1.112576510770702E-2</v>
      </c>
    </row>
    <row r="1596" spans="1:15">
      <c r="A1596" s="77">
        <v>301.59842355168297</v>
      </c>
      <c r="B1596" s="77">
        <v>306.03965660043986</v>
      </c>
      <c r="C1596" s="77">
        <v>301.57078102233385</v>
      </c>
      <c r="D1596" s="77">
        <v>305.56973360150499</v>
      </c>
      <c r="E1596" s="77">
        <v>2873644.7738477038</v>
      </c>
      <c r="F1596" s="77" t="s">
        <v>1587</v>
      </c>
      <c r="G1596" s="25">
        <f t="shared" ref="G1596:G1659" si="46">A1596/D1596-1</f>
        <v>-1.2996411663600882E-2</v>
      </c>
      <c r="I1596" s="78">
        <v>286.91460525663001</v>
      </c>
      <c r="J1596" s="78">
        <v>292.6192718991</v>
      </c>
      <c r="K1596" s="78">
        <v>286.69108339499996</v>
      </c>
      <c r="L1596" s="78">
        <v>288.62503341518999</v>
      </c>
      <c r="M1596" s="78">
        <v>1110207.9151916555</v>
      </c>
      <c r="N1596" s="78" t="s">
        <v>1587</v>
      </c>
      <c r="O1596" s="25">
        <f t="shared" ref="O1596:O1659" si="47">I1596/L1596-1</f>
        <v>-5.9261254587695822E-3</v>
      </c>
    </row>
    <row r="1597" spans="1:15">
      <c r="A1597" s="77">
        <v>305.30252248446357</v>
      </c>
      <c r="B1597" s="77">
        <v>306.37136695262916</v>
      </c>
      <c r="C1597" s="77">
        <v>303.37675960647567</v>
      </c>
      <c r="D1597" s="77">
        <v>304.74045772103176</v>
      </c>
      <c r="E1597" s="77">
        <v>3312434.9383371482</v>
      </c>
      <c r="F1597" s="77" t="s">
        <v>1588</v>
      </c>
      <c r="G1597" s="25">
        <f t="shared" si="46"/>
        <v>1.8444048014993886E-3</v>
      </c>
      <c r="I1597" s="78">
        <v>289.55799422894995</v>
      </c>
      <c r="J1597" s="78">
        <v>290.93313959506497</v>
      </c>
      <c r="K1597" s="78">
        <v>285.70953087218999</v>
      </c>
      <c r="L1597" s="78">
        <v>288.37235652813001</v>
      </c>
      <c r="M1597" s="78">
        <v>1316249.2377904952</v>
      </c>
      <c r="N1597" s="78" t="s">
        <v>1588</v>
      </c>
      <c r="O1597" s="25">
        <f t="shared" si="47"/>
        <v>4.111481818487972E-3</v>
      </c>
    </row>
    <row r="1598" spans="1:15">
      <c r="A1598" s="77">
        <v>306.83207577511433</v>
      </c>
      <c r="B1598" s="77">
        <v>306.94264589251077</v>
      </c>
      <c r="C1598" s="77">
        <v>304.44099698641634</v>
      </c>
      <c r="D1598" s="77">
        <v>305.58816195440437</v>
      </c>
      <c r="E1598" s="77">
        <v>3276207.0668803612</v>
      </c>
      <c r="F1598" s="77" t="s">
        <v>1589</v>
      </c>
      <c r="G1598" s="25">
        <f t="shared" si="46"/>
        <v>4.070556309362372E-3</v>
      </c>
      <c r="I1598" s="78">
        <v>288.37235652813001</v>
      </c>
      <c r="J1598" s="78">
        <v>300.36479032167</v>
      </c>
      <c r="K1598" s="78">
        <v>287.45883239799002</v>
      </c>
      <c r="L1598" s="78">
        <v>300.29676192900001</v>
      </c>
      <c r="M1598" s="78">
        <v>1701280.9719233369</v>
      </c>
      <c r="N1598" s="78" t="s">
        <v>1589</v>
      </c>
      <c r="O1598" s="25">
        <f t="shared" si="47"/>
        <v>-3.9708737864077692E-2</v>
      </c>
    </row>
    <row r="1599" spans="1:15">
      <c r="A1599" s="77">
        <v>303.15561937168275</v>
      </c>
      <c r="B1599" s="77">
        <v>303.81904007606141</v>
      </c>
      <c r="C1599" s="77">
        <v>300.28079631937538</v>
      </c>
      <c r="D1599" s="77">
        <v>300.79679020055875</v>
      </c>
      <c r="E1599" s="77">
        <v>2168881.8430044139</v>
      </c>
      <c r="F1599" s="77" t="s">
        <v>1590</v>
      </c>
      <c r="G1599" s="25">
        <f t="shared" si="46"/>
        <v>7.8419359779444697E-3</v>
      </c>
      <c r="I1599" s="78">
        <v>300.16070514365998</v>
      </c>
      <c r="J1599" s="78">
        <v>301.27831445180999</v>
      </c>
      <c r="K1599" s="78">
        <v>295.54449278391002</v>
      </c>
      <c r="L1599" s="78">
        <v>297.03139908084</v>
      </c>
      <c r="M1599" s="78">
        <v>895775.24336942413</v>
      </c>
      <c r="N1599" s="78" t="s">
        <v>1590</v>
      </c>
      <c r="O1599" s="25">
        <f t="shared" si="47"/>
        <v>1.0535270252584716E-2</v>
      </c>
    </row>
    <row r="1600" spans="1:15">
      <c r="A1600" s="77">
        <v>299.09216755736372</v>
      </c>
      <c r="B1600" s="77">
        <v>301.7089936690794</v>
      </c>
      <c r="C1600" s="77">
        <v>297.36911656126921</v>
      </c>
      <c r="D1600" s="77">
        <v>301.06400131760017</v>
      </c>
      <c r="E1600" s="77">
        <v>2756386.329113361</v>
      </c>
      <c r="F1600" s="77" t="s">
        <v>1591</v>
      </c>
      <c r="G1600" s="25">
        <f t="shared" si="46"/>
        <v>-6.5495501009976698E-3</v>
      </c>
      <c r="I1600" s="78">
        <v>295.73885962010996</v>
      </c>
      <c r="J1600" s="78">
        <v>298.97506744283999</v>
      </c>
      <c r="K1600" s="78">
        <v>291.24898570389001</v>
      </c>
      <c r="L1600" s="78">
        <v>293.66885281458002</v>
      </c>
      <c r="M1600" s="78">
        <v>999896.91554180894</v>
      </c>
      <c r="N1600" s="78" t="s">
        <v>1591</v>
      </c>
      <c r="O1600" s="25">
        <f t="shared" si="47"/>
        <v>7.0487788735189572E-3</v>
      </c>
    </row>
    <row r="1601" spans="1:15">
      <c r="A1601" s="77">
        <v>301.88406302162372</v>
      </c>
      <c r="B1601" s="77">
        <v>302.68569637274794</v>
      </c>
      <c r="C1601" s="77">
        <v>300.53879325996712</v>
      </c>
      <c r="D1601" s="77">
        <v>301.69056531617997</v>
      </c>
      <c r="E1601" s="77">
        <v>3010016.1584048648</v>
      </c>
      <c r="F1601" s="77" t="s">
        <v>1592</v>
      </c>
      <c r="G1601" s="25">
        <f t="shared" si="46"/>
        <v>6.4137804654573749E-4</v>
      </c>
      <c r="I1601" s="78">
        <v>293.83406462535004</v>
      </c>
      <c r="J1601" s="78">
        <v>299.21802598808995</v>
      </c>
      <c r="K1601" s="78">
        <v>290.88940705691999</v>
      </c>
      <c r="L1601" s="78">
        <v>294.74758875549003</v>
      </c>
      <c r="M1601" s="78">
        <v>1010179.5339096022</v>
      </c>
      <c r="N1601" s="78" t="s">
        <v>1592</v>
      </c>
      <c r="O1601" s="25">
        <f t="shared" si="47"/>
        <v>-3.0993438623099223E-3</v>
      </c>
    </row>
    <row r="1602" spans="1:15">
      <c r="A1602" s="77">
        <v>299.77401661464171</v>
      </c>
      <c r="B1602" s="77">
        <v>300.65857755381325</v>
      </c>
      <c r="C1602" s="77">
        <v>296.7517667391391</v>
      </c>
      <c r="D1602" s="77">
        <v>299.24880855700866</v>
      </c>
      <c r="E1602" s="77">
        <v>4472261.8700586818</v>
      </c>
      <c r="F1602" s="77" t="s">
        <v>1593</v>
      </c>
      <c r="G1602" s="25">
        <f t="shared" si="46"/>
        <v>1.7550882162760129E-3</v>
      </c>
      <c r="I1602" s="78">
        <v>293.06631562235998</v>
      </c>
      <c r="J1602" s="78">
        <v>299.32483056458193</v>
      </c>
      <c r="K1602" s="78">
        <v>290.76306861338998</v>
      </c>
      <c r="L1602" s="78">
        <v>293.11490733141</v>
      </c>
      <c r="M1602" s="78">
        <v>1665831.5087602378</v>
      </c>
      <c r="N1602" s="78" t="s">
        <v>1593</v>
      </c>
      <c r="O1602" s="25">
        <f t="shared" si="47"/>
        <v>-1.6577699678399505E-4</v>
      </c>
    </row>
    <row r="1603" spans="1:15">
      <c r="A1603" s="77">
        <v>300.16101202552926</v>
      </c>
      <c r="B1603" s="77">
        <v>308.85919459404903</v>
      </c>
      <c r="C1603" s="77">
        <v>299.71873155594346</v>
      </c>
      <c r="D1603" s="77">
        <v>308.08520377227399</v>
      </c>
      <c r="E1603" s="77">
        <v>8787851.0295522753</v>
      </c>
      <c r="F1603" s="77" t="s">
        <v>1594</v>
      </c>
      <c r="G1603" s="25">
        <f t="shared" si="46"/>
        <v>-2.5720779997607468E-2</v>
      </c>
      <c r="I1603" s="78">
        <v>297.07999078988996</v>
      </c>
      <c r="J1603" s="78">
        <v>310.06369544805</v>
      </c>
      <c r="K1603" s="78">
        <v>296.58435535758002</v>
      </c>
      <c r="L1603" s="78">
        <v>307.91594190803994</v>
      </c>
      <c r="M1603" s="78">
        <v>1642197.847330089</v>
      </c>
      <c r="N1603" s="78" t="s">
        <v>1594</v>
      </c>
      <c r="O1603" s="25">
        <f t="shared" si="47"/>
        <v>-3.5191263729327016E-2</v>
      </c>
    </row>
    <row r="1604" spans="1:15">
      <c r="A1604" s="77">
        <v>296.4661272691983</v>
      </c>
      <c r="B1604" s="77">
        <v>297.54418591381358</v>
      </c>
      <c r="C1604" s="77">
        <v>294.32383124464235</v>
      </c>
      <c r="D1604" s="77">
        <v>296.18048779925749</v>
      </c>
      <c r="E1604" s="77">
        <v>3951106.2327412833</v>
      </c>
      <c r="F1604" s="77" t="s">
        <v>1595</v>
      </c>
      <c r="G1604" s="25">
        <f t="shared" si="46"/>
        <v>9.6441015430559496E-4</v>
      </c>
      <c r="I1604" s="78">
        <v>299.48042121696</v>
      </c>
      <c r="J1604" s="78">
        <v>302.47959868294413</v>
      </c>
      <c r="K1604" s="78">
        <v>293.89237467621001</v>
      </c>
      <c r="L1604" s="78">
        <v>301.36577952810001</v>
      </c>
      <c r="M1604" s="78">
        <v>906525.01962163439</v>
      </c>
      <c r="N1604" s="78" t="s">
        <v>1595</v>
      </c>
      <c r="O1604" s="25">
        <f t="shared" si="47"/>
        <v>-6.2560464366333557E-3</v>
      </c>
    </row>
    <row r="1605" spans="1:15">
      <c r="A1605" s="77">
        <v>296.50298397499716</v>
      </c>
      <c r="B1605" s="77">
        <v>298.12467903014488</v>
      </c>
      <c r="C1605" s="77">
        <v>295.33278356588482</v>
      </c>
      <c r="D1605" s="77">
        <v>295.71977897677237</v>
      </c>
      <c r="E1605" s="77">
        <v>4287177.5047538532</v>
      </c>
      <c r="F1605" s="77" t="s">
        <v>1596</v>
      </c>
      <c r="G1605" s="25">
        <f t="shared" si="46"/>
        <v>2.64847011902547E-3</v>
      </c>
      <c r="I1605" s="78">
        <v>302.94015090132001</v>
      </c>
      <c r="J1605" s="78">
        <v>310.54961253854998</v>
      </c>
      <c r="K1605" s="78">
        <v>299.02365915189</v>
      </c>
      <c r="L1605" s="78">
        <v>310.53017585492995</v>
      </c>
      <c r="M1605" s="78">
        <v>725946.8886698893</v>
      </c>
      <c r="N1605" s="78" t="s">
        <v>1596</v>
      </c>
      <c r="O1605" s="25">
        <f t="shared" si="47"/>
        <v>-2.4442149406941227E-2</v>
      </c>
    </row>
    <row r="1606" spans="1:15">
      <c r="A1606" s="77">
        <v>290.80862292908057</v>
      </c>
      <c r="B1606" s="77">
        <v>294.5311502147606</v>
      </c>
      <c r="C1606" s="77">
        <v>287.48230523073778</v>
      </c>
      <c r="D1606" s="77">
        <v>288.57879222825244</v>
      </c>
      <c r="E1606" s="77">
        <v>6240571.8312299764</v>
      </c>
      <c r="F1606" s="77" t="s">
        <v>1597</v>
      </c>
      <c r="G1606" s="25">
        <f t="shared" si="46"/>
        <v>7.726938918866999E-3</v>
      </c>
      <c r="I1606" s="78">
        <v>302.56113557072996</v>
      </c>
      <c r="J1606" s="78">
        <v>303.15395442113999</v>
      </c>
      <c r="K1606" s="78">
        <v>291.25870404569997</v>
      </c>
      <c r="L1606" s="78">
        <v>299.81084483849997</v>
      </c>
      <c r="M1606" s="78">
        <v>1692985.3180375018</v>
      </c>
      <c r="N1606" s="78" t="s">
        <v>1597</v>
      </c>
      <c r="O1606" s="25">
        <f t="shared" si="47"/>
        <v>9.1734197730954925E-3</v>
      </c>
    </row>
    <row r="1607" spans="1:15">
      <c r="A1607" s="77">
        <v>284.40477029653692</v>
      </c>
      <c r="B1607" s="77">
        <v>286.32131899807518</v>
      </c>
      <c r="C1607" s="77">
        <v>282.03672694896318</v>
      </c>
      <c r="D1607" s="77">
        <v>282.47900741854892</v>
      </c>
      <c r="E1607" s="77">
        <v>3666462.2372288574</v>
      </c>
      <c r="F1607" s="77" t="s">
        <v>1598</v>
      </c>
      <c r="G1607" s="25">
        <f t="shared" si="46"/>
        <v>6.8173663437389731E-3</v>
      </c>
      <c r="I1607" s="78">
        <v>288.27517311002998</v>
      </c>
      <c r="J1607" s="78">
        <v>293.10052418553119</v>
      </c>
      <c r="K1607" s="78">
        <v>285.49572735236995</v>
      </c>
      <c r="L1607" s="78">
        <v>288.634751757</v>
      </c>
      <c r="M1607" s="78">
        <v>1233743.393102573</v>
      </c>
      <c r="N1607" s="78" t="s">
        <v>1598</v>
      </c>
      <c r="O1607" s="25">
        <f t="shared" si="47"/>
        <v>-1.2457912457912723E-3</v>
      </c>
    </row>
    <row r="1608" spans="1:15">
      <c r="A1608" s="77">
        <v>279.47518589594574</v>
      </c>
      <c r="B1608" s="77">
        <v>281.31802118588638</v>
      </c>
      <c r="C1608" s="77">
        <v>277.00578660742531</v>
      </c>
      <c r="D1608" s="77">
        <v>279.53047095464393</v>
      </c>
      <c r="E1608" s="77">
        <v>4428389.2567864424</v>
      </c>
      <c r="F1608" s="77" t="s">
        <v>1599</v>
      </c>
      <c r="G1608" s="25">
        <f t="shared" si="46"/>
        <v>-1.9777829053624352E-4</v>
      </c>
      <c r="I1608" s="78">
        <v>284.63079493127998</v>
      </c>
      <c r="J1608" s="78">
        <v>295.31125258047001</v>
      </c>
      <c r="K1608" s="78">
        <v>280.74345820727996</v>
      </c>
      <c r="L1608" s="78">
        <v>289.60658593799997</v>
      </c>
      <c r="M1608" s="78">
        <v>1617631.9280953549</v>
      </c>
      <c r="N1608" s="78" t="s">
        <v>1599</v>
      </c>
      <c r="O1608" s="25">
        <f t="shared" si="47"/>
        <v>-1.7181208053691277E-2</v>
      </c>
    </row>
    <row r="1609" spans="1:15">
      <c r="A1609" s="77">
        <v>276.25943831499933</v>
      </c>
      <c r="B1609" s="77">
        <v>279.06054795570913</v>
      </c>
      <c r="C1609" s="77">
        <v>273.08054743985178</v>
      </c>
      <c r="D1609" s="77">
        <v>277.86270501724766</v>
      </c>
      <c r="E1609" s="77">
        <v>6394963.2744333278</v>
      </c>
      <c r="F1609" s="77" t="s">
        <v>1600</v>
      </c>
      <c r="G1609" s="25">
        <f t="shared" si="46"/>
        <v>-5.7699960206923917E-3</v>
      </c>
      <c r="I1609" s="78">
        <v>284.4558647787</v>
      </c>
      <c r="J1609" s="78">
        <v>302.98874261036997</v>
      </c>
      <c r="K1609" s="78">
        <v>279.89796246980995</v>
      </c>
      <c r="L1609" s="78">
        <v>299.89830991478999</v>
      </c>
      <c r="M1609" s="78">
        <v>2805761.5726113259</v>
      </c>
      <c r="N1609" s="78" t="s">
        <v>1600</v>
      </c>
      <c r="O1609" s="25">
        <f t="shared" si="47"/>
        <v>-5.1492271298486658E-2</v>
      </c>
    </row>
    <row r="1610" spans="1:15">
      <c r="A1610" s="77">
        <v>279.40147248434812</v>
      </c>
      <c r="B1610" s="77">
        <v>282.18415377215842</v>
      </c>
      <c r="C1610" s="77">
        <v>275.21823637618286</v>
      </c>
      <c r="D1610" s="77">
        <v>276.7201471374845</v>
      </c>
      <c r="E1610" s="77">
        <v>5822735.2485450367</v>
      </c>
      <c r="F1610" s="77" t="s">
        <v>1601</v>
      </c>
      <c r="G1610" s="25">
        <f t="shared" si="46"/>
        <v>9.6896643580182129E-3</v>
      </c>
      <c r="I1610" s="78">
        <v>306.03058359689999</v>
      </c>
      <c r="J1610" s="78">
        <v>310.16087886614997</v>
      </c>
      <c r="K1610" s="78">
        <v>296.65238375025001</v>
      </c>
      <c r="L1610" s="78">
        <v>301.12282098284999</v>
      </c>
      <c r="M1610" s="78">
        <v>1511271.1908205666</v>
      </c>
      <c r="N1610" s="78" t="s">
        <v>1601</v>
      </c>
      <c r="O1610" s="25">
        <f t="shared" si="47"/>
        <v>1.6298208810714865E-2</v>
      </c>
    </row>
    <row r="1611" spans="1:15">
      <c r="A1611" s="77">
        <v>276.48979272624189</v>
      </c>
      <c r="B1611" s="77">
        <v>281.71423077322362</v>
      </c>
      <c r="C1611" s="77">
        <v>276.07054769778046</v>
      </c>
      <c r="D1611" s="77">
        <v>281.1521660097917</v>
      </c>
      <c r="E1611" s="77">
        <v>6132348.3773550363</v>
      </c>
      <c r="F1611" s="77" t="s">
        <v>1602</v>
      </c>
      <c r="G1611" s="25">
        <f t="shared" si="46"/>
        <v>-1.6583095729689079E-2</v>
      </c>
      <c r="I1611" s="78">
        <v>300.96732751388998</v>
      </c>
      <c r="J1611" s="78">
        <v>310.98693792</v>
      </c>
      <c r="K1611" s="78">
        <v>300.93817248846</v>
      </c>
      <c r="L1611" s="78">
        <v>308.42129568216001</v>
      </c>
      <c r="M1611" s="78">
        <v>1284620.3852547968</v>
      </c>
      <c r="N1611" s="78" t="s">
        <v>1602</v>
      </c>
      <c r="O1611" s="25">
        <f t="shared" si="47"/>
        <v>-2.4168137131333589E-2</v>
      </c>
    </row>
    <row r="1612" spans="1:15">
      <c r="A1612" s="77">
        <v>286.34896152742425</v>
      </c>
      <c r="B1612" s="77">
        <v>287.91537152387383</v>
      </c>
      <c r="C1612" s="77">
        <v>286.15389741198402</v>
      </c>
      <c r="D1612" s="77">
        <v>287.6481604068324</v>
      </c>
      <c r="E1612" s="77">
        <v>2383400.2007534327</v>
      </c>
      <c r="F1612" s="77" t="s">
        <v>1603</v>
      </c>
      <c r="G1612" s="25">
        <f t="shared" si="46"/>
        <v>-4.516625024024612E-3</v>
      </c>
      <c r="I1612" s="78">
        <v>312.67792939494001</v>
      </c>
      <c r="J1612" s="78">
        <v>318.75675219709501</v>
      </c>
      <c r="K1612" s="78">
        <v>309.46601742673499</v>
      </c>
      <c r="L1612" s="78">
        <v>312.38637914063997</v>
      </c>
      <c r="M1612" s="78">
        <v>1262812.1381130966</v>
      </c>
      <c r="N1612" s="78" t="s">
        <v>1603</v>
      </c>
      <c r="O1612" s="25">
        <f t="shared" si="47"/>
        <v>9.3330014932813121E-4</v>
      </c>
    </row>
    <row r="1613" spans="1:15">
      <c r="A1613" s="77">
        <v>287.29802170174372</v>
      </c>
      <c r="B1613" s="77">
        <v>290.32027157724633</v>
      </c>
      <c r="C1613" s="77">
        <v>284.12834500304581</v>
      </c>
      <c r="D1613" s="77">
        <v>289.61077999061916</v>
      </c>
      <c r="E1613" s="77">
        <v>3620314.8683000044</v>
      </c>
      <c r="F1613" s="77" t="s">
        <v>1604</v>
      </c>
      <c r="G1613" s="25">
        <f t="shared" si="46"/>
        <v>-7.9857465559477481E-3</v>
      </c>
      <c r="I1613" s="78">
        <v>310.07341378986001</v>
      </c>
      <c r="J1613" s="78">
        <v>314.38835755349999</v>
      </c>
      <c r="K1613" s="78">
        <v>304.48536724910997</v>
      </c>
      <c r="L1613" s="78">
        <v>312.24060401348999</v>
      </c>
      <c r="M1613" s="78">
        <v>952839.5050348615</v>
      </c>
      <c r="N1613" s="78" t="s">
        <v>1604</v>
      </c>
      <c r="O1613" s="25">
        <f t="shared" si="47"/>
        <v>-6.9407700208533596E-3</v>
      </c>
    </row>
    <row r="1614" spans="1:15">
      <c r="A1614" s="77">
        <v>292.68831492482002</v>
      </c>
      <c r="B1614" s="77">
        <v>292.86338427736433</v>
      </c>
      <c r="C1614" s="77">
        <v>290.46769840044158</v>
      </c>
      <c r="D1614" s="77">
        <v>292.86338427736433</v>
      </c>
      <c r="E1614" s="77">
        <v>1551363.8226952502</v>
      </c>
      <c r="F1614" s="77" t="s">
        <v>1605</v>
      </c>
      <c r="G1614" s="25">
        <f t="shared" si="46"/>
        <v>-5.9778504908114538E-4</v>
      </c>
      <c r="I1614" s="78">
        <v>314.43694926255</v>
      </c>
      <c r="J1614" s="78">
        <v>318.64499126627999</v>
      </c>
      <c r="K1614" s="78">
        <v>310.98693792</v>
      </c>
      <c r="L1614" s="78">
        <v>318.64499126627999</v>
      </c>
      <c r="M1614" s="78">
        <v>782688.04994830699</v>
      </c>
      <c r="N1614" s="78" t="s">
        <v>1605</v>
      </c>
      <c r="O1614" s="25">
        <f t="shared" si="47"/>
        <v>-1.3206050994266194E-2</v>
      </c>
    </row>
    <row r="1615" spans="1:15">
      <c r="A1615" s="77">
        <v>291.69318386825211</v>
      </c>
      <c r="B1615" s="77">
        <v>292.23682027878459</v>
      </c>
      <c r="C1615" s="77">
        <v>288.39450869925838</v>
      </c>
      <c r="D1615" s="77">
        <v>290.3018432243469</v>
      </c>
      <c r="E1615" s="77">
        <v>2563875.3641147311</v>
      </c>
      <c r="F1615" s="77" t="s">
        <v>1606</v>
      </c>
      <c r="G1615" s="25">
        <f t="shared" si="46"/>
        <v>4.7927378911953866E-3</v>
      </c>
      <c r="I1615" s="78">
        <v>316.74019627152001</v>
      </c>
      <c r="J1615" s="78">
        <v>317.67315708527997</v>
      </c>
      <c r="K1615" s="78">
        <v>309.85961027003998</v>
      </c>
      <c r="L1615" s="78">
        <v>309.85961027003998</v>
      </c>
      <c r="M1615" s="78">
        <v>842453.3896899434</v>
      </c>
      <c r="N1615" s="78" t="s">
        <v>1606</v>
      </c>
      <c r="O1615" s="25">
        <f t="shared" si="47"/>
        <v>2.2205494919081747E-2</v>
      </c>
    </row>
    <row r="1616" spans="1:15">
      <c r="A1616" s="77">
        <v>290.0991313424534</v>
      </c>
      <c r="B1616" s="77">
        <v>292.57074203332184</v>
      </c>
      <c r="C1616" s="77">
        <v>289.86877693121085</v>
      </c>
      <c r="D1616" s="77">
        <v>290.62433940008657</v>
      </c>
      <c r="E1616" s="77">
        <v>2830127.0485047172</v>
      </c>
      <c r="F1616" s="77" t="s">
        <v>1607</v>
      </c>
      <c r="G1616" s="25">
        <f t="shared" si="46"/>
        <v>-1.8071716178944541E-3</v>
      </c>
      <c r="I1616" s="78">
        <v>308.89749443085003</v>
      </c>
      <c r="J1616" s="78">
        <v>314.28145579359</v>
      </c>
      <c r="K1616" s="78">
        <v>307.50291238111498</v>
      </c>
      <c r="L1616" s="78">
        <v>311.48257335231</v>
      </c>
      <c r="M1616" s="78">
        <v>569174.25916304544</v>
      </c>
      <c r="N1616" s="78" t="s">
        <v>1607</v>
      </c>
      <c r="O1616" s="25">
        <f t="shared" si="47"/>
        <v>-8.2992730336025611E-3</v>
      </c>
    </row>
    <row r="1617" spans="1:15">
      <c r="A1617" s="77">
        <v>290.62433940008657</v>
      </c>
      <c r="B1617" s="77">
        <v>293.62816092268974</v>
      </c>
      <c r="C1617" s="77">
        <v>290.04310914963924</v>
      </c>
      <c r="D1617" s="77">
        <v>290.68883863523445</v>
      </c>
      <c r="E1617" s="77">
        <v>3328090.1627391777</v>
      </c>
      <c r="F1617" s="77" t="s">
        <v>1608</v>
      </c>
      <c r="G1617" s="25">
        <f t="shared" si="46"/>
        <v>-2.2188411309731482E-4</v>
      </c>
      <c r="I1617" s="78">
        <v>311.41454495964001</v>
      </c>
      <c r="J1617" s="78">
        <v>316.08906737025001</v>
      </c>
      <c r="K1617" s="78">
        <v>309.64580675022</v>
      </c>
      <c r="L1617" s="78">
        <v>311.91018039194995</v>
      </c>
      <c r="M1617" s="78">
        <v>705401.2025946636</v>
      </c>
      <c r="N1617" s="78" t="s">
        <v>1608</v>
      </c>
      <c r="O1617" s="25">
        <f t="shared" si="47"/>
        <v>-1.5890325595885324E-3</v>
      </c>
    </row>
    <row r="1618" spans="1:15">
      <c r="A1618" s="77">
        <v>289.48178152032335</v>
      </c>
      <c r="B1618" s="77">
        <v>295.67370809452382</v>
      </c>
      <c r="C1618" s="77">
        <v>288.70779069854825</v>
      </c>
      <c r="D1618" s="77">
        <v>295.13007168399139</v>
      </c>
      <c r="E1618" s="77">
        <v>2419731.1742080147</v>
      </c>
      <c r="F1618" s="77" t="s">
        <v>1609</v>
      </c>
      <c r="G1618" s="25">
        <f t="shared" si="46"/>
        <v>-1.9138307836403468E-2</v>
      </c>
      <c r="I1618" s="78">
        <v>312.21144898806</v>
      </c>
      <c r="J1618" s="78">
        <v>320.00555911967996</v>
      </c>
      <c r="K1618" s="78">
        <v>309.69362099192517</v>
      </c>
      <c r="L1618" s="78">
        <v>319.096894160445</v>
      </c>
      <c r="M1618" s="78">
        <v>1041819.7052486674</v>
      </c>
      <c r="N1618" s="78" t="s">
        <v>1609</v>
      </c>
      <c r="O1618" s="25">
        <f t="shared" si="47"/>
        <v>-2.1577913475155697E-2</v>
      </c>
    </row>
    <row r="1619" spans="1:15">
      <c r="A1619" s="77">
        <v>293.92301456908024</v>
      </c>
      <c r="B1619" s="77">
        <v>296.88997938588466</v>
      </c>
      <c r="C1619" s="77">
        <v>293.84008698103287</v>
      </c>
      <c r="D1619" s="77">
        <v>295.45256785973095</v>
      </c>
      <c r="E1619" s="77">
        <v>1812349.70820838</v>
      </c>
      <c r="F1619" s="77" t="s">
        <v>1610</v>
      </c>
      <c r="G1619" s="25">
        <f t="shared" si="46"/>
        <v>-5.1769842507406461E-3</v>
      </c>
      <c r="I1619" s="78">
        <v>317.11921160211</v>
      </c>
      <c r="J1619" s="78">
        <v>323.35838704412998</v>
      </c>
      <c r="K1619" s="78">
        <v>316.40005430816996</v>
      </c>
      <c r="L1619" s="78">
        <v>317.01230984219995</v>
      </c>
      <c r="M1619" s="78">
        <v>1601205.2574635672</v>
      </c>
      <c r="N1619" s="78" t="s">
        <v>1610</v>
      </c>
      <c r="O1619" s="25">
        <f t="shared" si="47"/>
        <v>3.3721643163708848E-4</v>
      </c>
    </row>
    <row r="1620" spans="1:15">
      <c r="A1620" s="77">
        <v>294.17179733322223</v>
      </c>
      <c r="B1620" s="77">
        <v>294.57722109700916</v>
      </c>
      <c r="C1620" s="77">
        <v>290.45406141929595</v>
      </c>
      <c r="D1620" s="77">
        <v>290.90076469357757</v>
      </c>
      <c r="E1620" s="77">
        <v>2699205.9611362559</v>
      </c>
      <c r="F1620" s="77" t="s">
        <v>1611</v>
      </c>
      <c r="G1620" s="25">
        <f t="shared" si="46"/>
        <v>1.1244496531627179E-2</v>
      </c>
      <c r="I1620" s="78">
        <v>314.66047112417994</v>
      </c>
      <c r="J1620" s="78">
        <v>321.39528199850997</v>
      </c>
      <c r="K1620" s="78">
        <v>311.13271304714999</v>
      </c>
      <c r="L1620" s="78">
        <v>318.69358297533</v>
      </c>
      <c r="M1620" s="78">
        <v>1277538.9302755962</v>
      </c>
      <c r="N1620" s="78" t="s">
        <v>1611</v>
      </c>
      <c r="O1620" s="25">
        <f t="shared" si="47"/>
        <v>-1.265513981642441E-2</v>
      </c>
    </row>
    <row r="1621" spans="1:15">
      <c r="A1621" s="77">
        <v>294.52193603831091</v>
      </c>
      <c r="B1621" s="77">
        <v>297.89432461890232</v>
      </c>
      <c r="C1621" s="77">
        <v>293.86772951038205</v>
      </c>
      <c r="D1621" s="77">
        <v>296.8991935623344</v>
      </c>
      <c r="E1621" s="77">
        <v>2070495.4050033046</v>
      </c>
      <c r="F1621" s="77" t="s">
        <v>1612</v>
      </c>
      <c r="G1621" s="25">
        <f t="shared" si="46"/>
        <v>-8.0069517720814387E-3</v>
      </c>
      <c r="I1621" s="78">
        <v>320.82189983171997</v>
      </c>
      <c r="J1621" s="78">
        <v>337.64434950483002</v>
      </c>
      <c r="K1621" s="78">
        <v>317.05118320944001</v>
      </c>
      <c r="L1621" s="78">
        <v>335.76870953549997</v>
      </c>
      <c r="M1621" s="78">
        <v>1701485.7393660659</v>
      </c>
      <c r="N1621" s="78" t="s">
        <v>1612</v>
      </c>
      <c r="O1621" s="25">
        <f t="shared" si="47"/>
        <v>-4.4515195369030369E-2</v>
      </c>
    </row>
    <row r="1622" spans="1:15">
      <c r="A1622" s="77">
        <v>296.37398550470124</v>
      </c>
      <c r="B1622" s="77">
        <v>298.29053420623956</v>
      </c>
      <c r="C1622" s="77">
        <v>295.50508866549427</v>
      </c>
      <c r="D1622" s="77">
        <v>298.20760661819219</v>
      </c>
      <c r="E1622" s="77">
        <v>2419900.4785412359</v>
      </c>
      <c r="F1622" s="77" t="s">
        <v>1613</v>
      </c>
      <c r="G1622" s="25">
        <f t="shared" si="46"/>
        <v>-6.1488073167718094E-3</v>
      </c>
      <c r="I1622" s="78">
        <v>335.41884923033996</v>
      </c>
      <c r="J1622" s="78">
        <v>336.74054371649999</v>
      </c>
      <c r="K1622" s="78">
        <v>328.02319111292996</v>
      </c>
      <c r="L1622" s="78">
        <v>332.24095145846997</v>
      </c>
      <c r="M1622" s="78">
        <v>1781853.3591997626</v>
      </c>
      <c r="N1622" s="78" t="s">
        <v>1613</v>
      </c>
      <c r="O1622" s="25">
        <f t="shared" si="47"/>
        <v>9.5650393424400182E-3</v>
      </c>
    </row>
    <row r="1623" spans="1:15">
      <c r="A1623" s="77">
        <v>298.28132002978987</v>
      </c>
      <c r="B1623" s="77">
        <v>299.66528933253522</v>
      </c>
      <c r="C1623" s="77">
        <v>295.46178203618069</v>
      </c>
      <c r="D1623" s="77">
        <v>295.90406250576638</v>
      </c>
      <c r="E1623" s="77">
        <v>2381420.6423957688</v>
      </c>
      <c r="F1623" s="77" t="s">
        <v>1614</v>
      </c>
      <c r="G1623" s="25">
        <f t="shared" si="46"/>
        <v>8.0338793049763435E-3</v>
      </c>
      <c r="I1623" s="78">
        <v>342.39661864991996</v>
      </c>
      <c r="J1623" s="78">
        <v>345.97296843599997</v>
      </c>
      <c r="K1623" s="78">
        <v>330.06404289302998</v>
      </c>
      <c r="L1623" s="78">
        <v>331.45376577185999</v>
      </c>
      <c r="M1623" s="78">
        <v>1721588.9631278568</v>
      </c>
      <c r="N1623" s="78" t="s">
        <v>1614</v>
      </c>
      <c r="O1623" s="25">
        <f t="shared" si="47"/>
        <v>3.3014718817803157E-2</v>
      </c>
    </row>
    <row r="1624" spans="1:15">
      <c r="A1624" s="77">
        <v>293.54523333464238</v>
      </c>
      <c r="B1624" s="77">
        <v>294.02427836826246</v>
      </c>
      <c r="C1624" s="77">
        <v>291.95118080884379</v>
      </c>
      <c r="D1624" s="77">
        <v>292.5224597487254</v>
      </c>
      <c r="E1624" s="77">
        <v>3032367.5862426325</v>
      </c>
      <c r="F1624" s="77" t="s">
        <v>1615</v>
      </c>
      <c r="G1624" s="25">
        <f t="shared" si="46"/>
        <v>3.4963933600022923E-3</v>
      </c>
      <c r="I1624" s="78">
        <v>329.49066072623998</v>
      </c>
      <c r="J1624" s="78">
        <v>330.03488786759999</v>
      </c>
      <c r="K1624" s="78">
        <v>324.56074029286316</v>
      </c>
      <c r="L1624" s="78">
        <v>328.47023483619</v>
      </c>
      <c r="M1624" s="78">
        <v>1461653.6727884447</v>
      </c>
      <c r="N1624" s="78" t="s">
        <v>1615</v>
      </c>
      <c r="O1624" s="25">
        <f t="shared" si="47"/>
        <v>3.1066007870055312E-3</v>
      </c>
    </row>
    <row r="1625" spans="1:15">
      <c r="A1625" s="77">
        <v>290.95604975227582</v>
      </c>
      <c r="B1625" s="77">
        <v>291.0297631638735</v>
      </c>
      <c r="C1625" s="77">
        <v>289.37121140292692</v>
      </c>
      <c r="D1625" s="77">
        <v>290.20970145984984</v>
      </c>
      <c r="E1625" s="77">
        <v>1879398.5653007471</v>
      </c>
      <c r="F1625" s="77" t="s">
        <v>1616</v>
      </c>
      <c r="G1625" s="25">
        <f t="shared" si="46"/>
        <v>2.5717551435102681E-3</v>
      </c>
      <c r="I1625" s="78">
        <v>324.37881293417996</v>
      </c>
      <c r="J1625" s="78">
        <v>324.59261645399999</v>
      </c>
      <c r="K1625" s="78">
        <v>313.55258015784</v>
      </c>
      <c r="L1625" s="78">
        <v>318.54780784817996</v>
      </c>
      <c r="M1625" s="78">
        <v>1403290.8356821833</v>
      </c>
      <c r="N1625" s="78" t="s">
        <v>1616</v>
      </c>
      <c r="O1625" s="25">
        <f t="shared" si="47"/>
        <v>1.8304960644334622E-2</v>
      </c>
    </row>
    <row r="1626" spans="1:15">
      <c r="A1626" s="77">
        <v>288.40372287570807</v>
      </c>
      <c r="B1626" s="77">
        <v>289.15007116813405</v>
      </c>
      <c r="C1626" s="77">
        <v>286.19232052777932</v>
      </c>
      <c r="D1626" s="77">
        <v>286.19895473482308</v>
      </c>
      <c r="E1626" s="77">
        <v>1853481.9789076471</v>
      </c>
      <c r="F1626" s="77" t="s">
        <v>1617</v>
      </c>
      <c r="G1626" s="25">
        <f t="shared" si="46"/>
        <v>7.703620521353205E-3</v>
      </c>
      <c r="I1626" s="78">
        <v>315.20469826553995</v>
      </c>
      <c r="J1626" s="78">
        <v>316.15709576291999</v>
      </c>
      <c r="K1626" s="78">
        <v>305.68927543253284</v>
      </c>
      <c r="L1626" s="78">
        <v>310.32609067691999</v>
      </c>
      <c r="M1626" s="78">
        <v>1190367.6806362504</v>
      </c>
      <c r="N1626" s="78" t="s">
        <v>1617</v>
      </c>
      <c r="O1626" s="25">
        <f t="shared" si="47"/>
        <v>1.5720906927220168E-2</v>
      </c>
    </row>
    <row r="1627" spans="1:15">
      <c r="A1627" s="77">
        <v>283.53863771026482</v>
      </c>
      <c r="B1627" s="77">
        <v>289.61999416706885</v>
      </c>
      <c r="C1627" s="77">
        <v>283.04162503256782</v>
      </c>
      <c r="D1627" s="77">
        <v>287.71265964198034</v>
      </c>
      <c r="E1627" s="77">
        <v>3678905.0204364327</v>
      </c>
      <c r="F1627" s="77" t="s">
        <v>1618</v>
      </c>
      <c r="G1627" s="25">
        <f t="shared" si="46"/>
        <v>-1.4507606084867897E-2</v>
      </c>
      <c r="I1627" s="78">
        <v>308.34354894767995</v>
      </c>
      <c r="J1627" s="78">
        <v>314.80624625132998</v>
      </c>
      <c r="K1627" s="78">
        <v>306.22495043309999</v>
      </c>
      <c r="L1627" s="78">
        <v>308.83918437999</v>
      </c>
      <c r="M1627" s="78">
        <v>1365563.2060959586</v>
      </c>
      <c r="N1627" s="78" t="s">
        <v>1618</v>
      </c>
      <c r="O1627" s="25">
        <f t="shared" si="47"/>
        <v>-1.6048333805345205E-3</v>
      </c>
    </row>
    <row r="1628" spans="1:15">
      <c r="A1628" s="77">
        <v>287.55601864233535</v>
      </c>
      <c r="B1628" s="77">
        <v>287.74951634777915</v>
      </c>
      <c r="C1628" s="77">
        <v>284.43241282588599</v>
      </c>
      <c r="D1628" s="77">
        <v>284.43241282588599</v>
      </c>
      <c r="E1628" s="77">
        <v>2566104.5378354774</v>
      </c>
      <c r="F1628" s="77" t="s">
        <v>1619</v>
      </c>
      <c r="G1628" s="25">
        <f t="shared" si="46"/>
        <v>1.0981891217726414E-2</v>
      </c>
      <c r="I1628" s="78">
        <v>307.26481300677</v>
      </c>
      <c r="J1628" s="78">
        <v>311.58947511221999</v>
      </c>
      <c r="K1628" s="78">
        <v>301.34634284447998</v>
      </c>
      <c r="L1628" s="78">
        <v>301.98775340394002</v>
      </c>
      <c r="M1628" s="78">
        <v>1472463.1300038623</v>
      </c>
      <c r="N1628" s="78" t="s">
        <v>1619</v>
      </c>
      <c r="O1628" s="25">
        <f t="shared" si="47"/>
        <v>1.7474415910407437E-2</v>
      </c>
    </row>
    <row r="1629" spans="1:15">
      <c r="A1629" s="77">
        <v>282.61722006529453</v>
      </c>
      <c r="B1629" s="77">
        <v>284.33105688493924</v>
      </c>
      <c r="C1629" s="77">
        <v>280.30906886464385</v>
      </c>
      <c r="D1629" s="77">
        <v>280.77438477535389</v>
      </c>
      <c r="E1629" s="77">
        <v>3391609.6756543941</v>
      </c>
      <c r="F1629" s="77" t="s">
        <v>1620</v>
      </c>
      <c r="G1629" s="25">
        <f t="shared" si="46"/>
        <v>6.5634024678393743E-3</v>
      </c>
      <c r="I1629" s="78">
        <v>299.74281644582999</v>
      </c>
      <c r="J1629" s="78">
        <v>302.99846095217998</v>
      </c>
      <c r="K1629" s="78">
        <v>296.40942520499999</v>
      </c>
      <c r="L1629" s="78">
        <v>297.52703451314994</v>
      </c>
      <c r="M1629" s="78">
        <v>1600875.9831838021</v>
      </c>
      <c r="N1629" s="78" t="s">
        <v>1620</v>
      </c>
      <c r="O1629" s="25">
        <f t="shared" si="47"/>
        <v>7.4473297403234717E-3</v>
      </c>
    </row>
    <row r="1630" spans="1:15">
      <c r="A1630" s="77">
        <v>285.27090288280903</v>
      </c>
      <c r="B1630" s="77">
        <v>286.66224352671418</v>
      </c>
      <c r="C1630" s="77">
        <v>283.57549441606363</v>
      </c>
      <c r="D1630" s="77">
        <v>285.78689676399239</v>
      </c>
      <c r="E1630" s="77">
        <v>3261984.4176055882</v>
      </c>
      <c r="F1630" s="77" t="s">
        <v>1621</v>
      </c>
      <c r="G1630" s="25">
        <f t="shared" si="46"/>
        <v>-1.8055197317513594E-3</v>
      </c>
      <c r="I1630" s="78">
        <v>300.88958077940998</v>
      </c>
      <c r="J1630" s="78">
        <v>304.31772585288746</v>
      </c>
      <c r="K1630" s="78">
        <v>297.52703451314994</v>
      </c>
      <c r="L1630" s="78">
        <v>303.96543596227497</v>
      </c>
      <c r="M1630" s="78">
        <v>1835325.4442693861</v>
      </c>
      <c r="N1630" s="78" t="s">
        <v>1621</v>
      </c>
      <c r="O1630" s="25">
        <f t="shared" si="47"/>
        <v>-1.0119095196227224E-2</v>
      </c>
    </row>
    <row r="1631" spans="1:15">
      <c r="A1631" s="77">
        <v>283.47413847511689</v>
      </c>
      <c r="B1631" s="77">
        <v>286.3304410327604</v>
      </c>
      <c r="C1631" s="77">
        <v>281.81558671417037</v>
      </c>
      <c r="D1631" s="77">
        <v>281.99065606671468</v>
      </c>
      <c r="E1631" s="77">
        <v>4671610.1254374012</v>
      </c>
      <c r="F1631" s="77" t="s">
        <v>1622</v>
      </c>
      <c r="G1631" s="25">
        <f t="shared" si="46"/>
        <v>5.2607502287282948E-3</v>
      </c>
      <c r="I1631" s="78">
        <v>300.37450866347996</v>
      </c>
      <c r="J1631" s="78">
        <v>301.86141496041</v>
      </c>
      <c r="K1631" s="78">
        <v>295.05857569340998</v>
      </c>
      <c r="L1631" s="78">
        <v>296.58435535758002</v>
      </c>
      <c r="M1631" s="78">
        <v>1621674.7988615972</v>
      </c>
      <c r="N1631" s="78" t="s">
        <v>1622</v>
      </c>
      <c r="O1631" s="25">
        <f t="shared" si="47"/>
        <v>1.2779343338357396E-2</v>
      </c>
    </row>
    <row r="1632" spans="1:15">
      <c r="A1632" s="77">
        <v>281.30880700943669</v>
      </c>
      <c r="B1632" s="77">
        <v>283.34514000482102</v>
      </c>
      <c r="C1632" s="77">
        <v>280.7098855402059</v>
      </c>
      <c r="D1632" s="77">
        <v>282.72779018269091</v>
      </c>
      <c r="E1632" s="77">
        <v>2504109.8492034399</v>
      </c>
      <c r="F1632" s="77" t="s">
        <v>1623</v>
      </c>
      <c r="G1632" s="25">
        <f t="shared" si="46"/>
        <v>-5.0189023595357263E-3</v>
      </c>
      <c r="I1632" s="78">
        <v>296.89534229549997</v>
      </c>
      <c r="J1632" s="78">
        <v>300.9770458557</v>
      </c>
      <c r="K1632" s="78">
        <v>293.85350130897001</v>
      </c>
      <c r="L1632" s="78">
        <v>296.02069153259998</v>
      </c>
      <c r="M1632" s="78">
        <v>1657881.5928681563</v>
      </c>
      <c r="N1632" s="78" t="s">
        <v>1623</v>
      </c>
      <c r="O1632" s="25">
        <f t="shared" si="47"/>
        <v>2.954694681549519E-3</v>
      </c>
    </row>
    <row r="1633" spans="1:15">
      <c r="A1633" s="77">
        <v>282.92267001460226</v>
      </c>
      <c r="B1633" s="77">
        <v>283.52822508727581</v>
      </c>
      <c r="C1633" s="77">
        <v>281.15188018087485</v>
      </c>
      <c r="D1633" s="77">
        <v>282.06021278988527</v>
      </c>
      <c r="E1633" s="77">
        <v>2657103.6270836848</v>
      </c>
      <c r="F1633" s="77" t="s">
        <v>1624</v>
      </c>
      <c r="G1633" s="25">
        <f t="shared" si="46"/>
        <v>3.0577060698719905E-3</v>
      </c>
      <c r="I1633" s="78">
        <v>296.85646892825997</v>
      </c>
      <c r="J1633" s="78">
        <v>298.94591241741</v>
      </c>
      <c r="K1633" s="78">
        <v>289.28588065827</v>
      </c>
      <c r="L1633" s="78">
        <v>298.59605211224999</v>
      </c>
      <c r="M1633" s="78">
        <v>1962731.9529317934</v>
      </c>
      <c r="N1633" s="78" t="s">
        <v>1624</v>
      </c>
      <c r="O1633" s="25">
        <f t="shared" si="47"/>
        <v>-5.8258746948739448E-3</v>
      </c>
    </row>
    <row r="1634" spans="1:15">
      <c r="A1634" s="77">
        <v>278.26173097038708</v>
      </c>
      <c r="B1634" s="77">
        <v>278.95903681164765</v>
      </c>
      <c r="C1634" s="77">
        <v>272.2428805510857</v>
      </c>
      <c r="D1634" s="77">
        <v>273.02734962250372</v>
      </c>
      <c r="E1634" s="77">
        <v>2925282.3069896959</v>
      </c>
      <c r="F1634" s="77" t="s">
        <v>1625</v>
      </c>
      <c r="G1634" s="25">
        <f t="shared" si="46"/>
        <v>1.9171637402335628E-2</v>
      </c>
      <c r="I1634" s="78">
        <v>291.44335254008996</v>
      </c>
      <c r="J1634" s="78">
        <v>293.71744452362998</v>
      </c>
      <c r="K1634" s="78">
        <v>271.99695057828001</v>
      </c>
      <c r="L1634" s="78">
        <v>276.41879610182997</v>
      </c>
      <c r="M1634" s="78">
        <v>4462622.4152122103</v>
      </c>
      <c r="N1634" s="78" t="s">
        <v>1625</v>
      </c>
      <c r="O1634" s="25">
        <f t="shared" si="47"/>
        <v>5.4354322680448597E-2</v>
      </c>
    </row>
    <row r="1635" spans="1:15">
      <c r="A1635" s="77">
        <v>273.87604423193267</v>
      </c>
      <c r="B1635" s="77">
        <v>276.59186698210527</v>
      </c>
      <c r="C1635" s="77">
        <v>270.70146763882553</v>
      </c>
      <c r="D1635" s="77">
        <v>271.86670239987933</v>
      </c>
      <c r="E1635" s="77">
        <v>3412139.2640263685</v>
      </c>
      <c r="F1635" s="77" t="s">
        <v>1626</v>
      </c>
      <c r="G1635" s="25">
        <f t="shared" si="46"/>
        <v>7.3909081704970347E-3</v>
      </c>
      <c r="I1635" s="78">
        <v>278.24584436211001</v>
      </c>
      <c r="J1635" s="78">
        <v>279.38774952478502</v>
      </c>
      <c r="K1635" s="78">
        <v>259.57690974510001</v>
      </c>
      <c r="L1635" s="78">
        <v>265.98129699789001</v>
      </c>
      <c r="M1635" s="78">
        <v>2618298.5222661151</v>
      </c>
      <c r="N1635" s="78" t="s">
        <v>1626</v>
      </c>
      <c r="O1635" s="25">
        <f t="shared" si="47"/>
        <v>4.611056304578165E-2</v>
      </c>
    </row>
    <row r="1636" spans="1:15">
      <c r="A1636" s="77">
        <v>273.12368792952003</v>
      </c>
      <c r="B1636" s="77">
        <v>280.34447341730998</v>
      </c>
      <c r="C1636" s="77">
        <v>272.65575900972675</v>
      </c>
      <c r="D1636" s="77">
        <v>280.0967463421253</v>
      </c>
      <c r="E1636" s="77">
        <v>3003554.1308730808</v>
      </c>
      <c r="F1636" s="77" t="s">
        <v>1627</v>
      </c>
      <c r="G1636" s="25">
        <f t="shared" si="46"/>
        <v>-2.4895178197064771E-2</v>
      </c>
      <c r="I1636" s="78">
        <v>265.31073141299998</v>
      </c>
      <c r="J1636" s="78">
        <v>270.32539578696003</v>
      </c>
      <c r="K1636" s="78">
        <v>263.50311983633998</v>
      </c>
      <c r="L1636" s="78">
        <v>266.96284952069999</v>
      </c>
      <c r="M1636" s="78">
        <v>2236269.3579718824</v>
      </c>
      <c r="N1636" s="78" t="s">
        <v>1627</v>
      </c>
      <c r="O1636" s="25">
        <f t="shared" si="47"/>
        <v>-6.1885693483800797E-3</v>
      </c>
    </row>
    <row r="1637" spans="1:15">
      <c r="A1637" s="77">
        <v>279.60129219175599</v>
      </c>
      <c r="B1637" s="77">
        <v>280.06004603469057</v>
      </c>
      <c r="C1637" s="77">
        <v>275.86703591026867</v>
      </c>
      <c r="D1637" s="77">
        <v>278.10575466378936</v>
      </c>
      <c r="E1637" s="77">
        <v>2988021.8359185155</v>
      </c>
      <c r="F1637" s="77" t="s">
        <v>1628</v>
      </c>
      <c r="G1637" s="25">
        <f t="shared" si="46"/>
        <v>5.3775856949620504E-3</v>
      </c>
      <c r="I1637" s="78">
        <v>260.94719594031</v>
      </c>
      <c r="J1637" s="78">
        <v>267.50688229522376</v>
      </c>
      <c r="K1637" s="78">
        <v>253.88682061534499</v>
      </c>
      <c r="L1637" s="78">
        <v>261.23874619460997</v>
      </c>
      <c r="M1637" s="78">
        <v>4355427.1734346421</v>
      </c>
      <c r="N1637" s="78" t="s">
        <v>1628</v>
      </c>
      <c r="O1637" s="25">
        <f t="shared" si="47"/>
        <v>-1.1160299096014681E-3</v>
      </c>
    </row>
    <row r="1638" spans="1:15">
      <c r="A1638" s="77">
        <v>276.80289374985517</v>
      </c>
      <c r="B1638" s="77">
        <v>276.85794421100735</v>
      </c>
      <c r="C1638" s="77">
        <v>272.34380639653125</v>
      </c>
      <c r="D1638" s="77">
        <v>275.68353437309486</v>
      </c>
      <c r="E1638" s="77">
        <v>4944740.0494551947</v>
      </c>
      <c r="F1638" s="77" t="s">
        <v>1629</v>
      </c>
      <c r="G1638" s="25">
        <f t="shared" si="46"/>
        <v>4.0603055213497274E-3</v>
      </c>
      <c r="I1638" s="78">
        <v>262.52156731353</v>
      </c>
      <c r="J1638" s="78">
        <v>275.26231342644002</v>
      </c>
      <c r="K1638" s="78">
        <v>253.08505741601999</v>
      </c>
      <c r="L1638" s="78">
        <v>259.35338788347002</v>
      </c>
      <c r="M1638" s="78">
        <v>7556291.1282290043</v>
      </c>
      <c r="N1638" s="78" t="s">
        <v>1629</v>
      </c>
      <c r="O1638" s="25">
        <f t="shared" si="47"/>
        <v>1.2215685539775922E-2</v>
      </c>
    </row>
    <row r="1639" spans="1:15">
      <c r="A1639" s="77">
        <v>279.83984419008198</v>
      </c>
      <c r="B1639" s="77">
        <v>283.95027862277567</v>
      </c>
      <c r="C1639" s="77">
        <v>277.59195035970265</v>
      </c>
      <c r="D1639" s="77">
        <v>283.91357831534089</v>
      </c>
      <c r="E1639" s="77">
        <v>3728595.4686683617</v>
      </c>
      <c r="F1639" s="77" t="s">
        <v>1630</v>
      </c>
      <c r="G1639" s="25">
        <f t="shared" si="46"/>
        <v>-1.4348500517063156E-2</v>
      </c>
      <c r="I1639" s="78">
        <v>287.1770004855</v>
      </c>
      <c r="J1639" s="78">
        <v>292.44434174652002</v>
      </c>
      <c r="K1639" s="78">
        <v>282.63853486022998</v>
      </c>
      <c r="L1639" s="78">
        <v>289.95644624316003</v>
      </c>
      <c r="M1639" s="78">
        <v>4466074.650239124</v>
      </c>
      <c r="N1639" s="78" t="s">
        <v>1630</v>
      </c>
      <c r="O1639" s="25">
        <f t="shared" si="47"/>
        <v>-9.5857353532645684E-3</v>
      </c>
    </row>
    <row r="1640" spans="1:15">
      <c r="A1640" s="77">
        <v>283.1336967823521</v>
      </c>
      <c r="B1640" s="77">
        <v>284.67510969461222</v>
      </c>
      <c r="C1640" s="77">
        <v>280.7206515685163</v>
      </c>
      <c r="D1640" s="77">
        <v>281.19775556516828</v>
      </c>
      <c r="E1640" s="77">
        <v>3104413.2314836015</v>
      </c>
      <c r="F1640" s="77" t="s">
        <v>1631</v>
      </c>
      <c r="G1640" s="25">
        <f t="shared" si="46"/>
        <v>6.8846254241712312E-3</v>
      </c>
      <c r="I1640" s="78">
        <v>289.62602262162</v>
      </c>
      <c r="J1640" s="78">
        <v>307.88678688261001</v>
      </c>
      <c r="K1640" s="78">
        <v>285.22361378169001</v>
      </c>
      <c r="L1640" s="78">
        <v>307.01213611971002</v>
      </c>
      <c r="M1640" s="78">
        <v>5521383.2821547985</v>
      </c>
      <c r="N1640" s="78" t="s">
        <v>1631</v>
      </c>
      <c r="O1640" s="25">
        <f t="shared" si="47"/>
        <v>-5.6630052863157254E-2</v>
      </c>
    </row>
    <row r="1641" spans="1:15">
      <c r="A1641" s="77">
        <v>285.62931768791611</v>
      </c>
      <c r="B1641" s="77">
        <v>289.18007243222962</v>
      </c>
      <c r="C1641" s="77">
        <v>285.38159061273149</v>
      </c>
      <c r="D1641" s="77">
        <v>287.92308690258892</v>
      </c>
      <c r="E1641" s="77">
        <v>2524471.4956321353</v>
      </c>
      <c r="F1641" s="77" t="s">
        <v>1632</v>
      </c>
      <c r="G1641" s="25">
        <f t="shared" si="46"/>
        <v>-7.966603996048538E-3</v>
      </c>
      <c r="I1641" s="78">
        <v>313.38736834707004</v>
      </c>
      <c r="J1641" s="78">
        <v>366.06078095727003</v>
      </c>
      <c r="K1641" s="78">
        <v>311.22017812344001</v>
      </c>
      <c r="L1641" s="78">
        <v>345.18578274939</v>
      </c>
      <c r="M1641" s="78">
        <v>3509522.577699909</v>
      </c>
      <c r="N1641" s="78" t="s">
        <v>1632</v>
      </c>
      <c r="O1641" s="25">
        <f t="shared" si="47"/>
        <v>-9.2119710577437286E-2</v>
      </c>
    </row>
    <row r="1642" spans="1:15">
      <c r="A1642" s="77">
        <v>286.78537737211121</v>
      </c>
      <c r="B1642" s="77">
        <v>288.33596536123002</v>
      </c>
      <c r="C1642" s="77">
        <v>285.82199430194862</v>
      </c>
      <c r="D1642" s="77">
        <v>287.61113428939348</v>
      </c>
      <c r="E1642" s="77">
        <v>2802077.8894780097</v>
      </c>
      <c r="F1642" s="77" t="s">
        <v>1633</v>
      </c>
      <c r="G1642" s="25">
        <f t="shared" si="46"/>
        <v>-2.8710881424061085E-3</v>
      </c>
      <c r="I1642" s="78">
        <v>342.27028020639</v>
      </c>
      <c r="J1642" s="78">
        <v>348.27621544496998</v>
      </c>
      <c r="K1642" s="78">
        <v>341.44927469028119</v>
      </c>
      <c r="L1642" s="78">
        <v>345.21493777481999</v>
      </c>
      <c r="M1642" s="78">
        <v>796076.13636713615</v>
      </c>
      <c r="N1642" s="78" t="s">
        <v>1633</v>
      </c>
      <c r="O1642" s="25">
        <f t="shared" si="47"/>
        <v>-8.5299251168289292E-3</v>
      </c>
    </row>
    <row r="1643" spans="1:15">
      <c r="A1643" s="77">
        <v>285.31736507472067</v>
      </c>
      <c r="B1643" s="77">
        <v>286.95052875556769</v>
      </c>
      <c r="C1643" s="77">
        <v>284.06955462193866</v>
      </c>
      <c r="D1643" s="77">
        <v>284.5007832342971</v>
      </c>
      <c r="E1643" s="77">
        <v>3330863.6505917395</v>
      </c>
      <c r="F1643" s="77" t="s">
        <v>1634</v>
      </c>
      <c r="G1643" s="25">
        <f t="shared" si="46"/>
        <v>2.870227038183959E-3</v>
      </c>
      <c r="I1643" s="78">
        <v>343.68915811064994</v>
      </c>
      <c r="J1643" s="78">
        <v>348.84959761175998</v>
      </c>
      <c r="K1643" s="78">
        <v>342.24112518096001</v>
      </c>
      <c r="L1643" s="78">
        <v>344.69986565888996</v>
      </c>
      <c r="M1643" s="78">
        <v>773625.80437989347</v>
      </c>
      <c r="N1643" s="78" t="s">
        <v>1634</v>
      </c>
      <c r="O1643" s="25">
        <f t="shared" si="47"/>
        <v>-2.9321379232569722E-3</v>
      </c>
    </row>
    <row r="1644" spans="1:15">
      <c r="A1644" s="77">
        <v>281.65650940810286</v>
      </c>
      <c r="B1644" s="77">
        <v>284.05120446822121</v>
      </c>
      <c r="C1644" s="77">
        <v>279.07831281081064</v>
      </c>
      <c r="D1644" s="77">
        <v>283.09699647491738</v>
      </c>
      <c r="E1644" s="77">
        <v>4022041.5118423323</v>
      </c>
      <c r="F1644" s="77" t="s">
        <v>1635</v>
      </c>
      <c r="G1644" s="25">
        <f t="shared" si="46"/>
        <v>-5.0883163182627866E-3</v>
      </c>
      <c r="I1644" s="78">
        <v>340.07393495732998</v>
      </c>
      <c r="J1644" s="78">
        <v>340.97774074566001</v>
      </c>
      <c r="K1644" s="78">
        <v>335.30222912861996</v>
      </c>
      <c r="L1644" s="78">
        <v>339.27703092890999</v>
      </c>
      <c r="M1644" s="78">
        <v>703750.71526734042</v>
      </c>
      <c r="N1644" s="78" t="s">
        <v>1635</v>
      </c>
      <c r="O1644" s="25">
        <f t="shared" si="47"/>
        <v>2.3488298816991549E-3</v>
      </c>
    </row>
    <row r="1645" spans="1:15">
      <c r="A1645" s="77">
        <v>281.44548264035296</v>
      </c>
      <c r="B1645" s="77">
        <v>288.74884381987113</v>
      </c>
      <c r="C1645" s="77">
        <v>280.59220049249467</v>
      </c>
      <c r="D1645" s="77">
        <v>288.14328874719752</v>
      </c>
      <c r="E1645" s="77">
        <v>3911666.4146527424</v>
      </c>
      <c r="F1645" s="77" t="s">
        <v>1636</v>
      </c>
      <c r="G1645" s="25">
        <f t="shared" si="46"/>
        <v>-2.3244706256965286E-2</v>
      </c>
      <c r="I1645" s="78">
        <v>336.36152838590999</v>
      </c>
      <c r="J1645" s="78">
        <v>343.72025680444199</v>
      </c>
      <c r="K1645" s="78">
        <v>333.88335122436001</v>
      </c>
      <c r="L1645" s="78">
        <v>337.06124899622995</v>
      </c>
      <c r="M1645" s="78">
        <v>615457.87511254451</v>
      </c>
      <c r="N1645" s="78" t="s">
        <v>1636</v>
      </c>
      <c r="O1645" s="25">
        <f t="shared" si="47"/>
        <v>-2.0759449874576674E-3</v>
      </c>
    </row>
    <row r="1646" spans="1:15">
      <c r="A1646" s="77">
        <v>286.45507460519832</v>
      </c>
      <c r="B1646" s="77">
        <v>288.7029684355777</v>
      </c>
      <c r="C1646" s="77">
        <v>283.7759521624605</v>
      </c>
      <c r="D1646" s="77">
        <v>284.56042123387857</v>
      </c>
      <c r="E1646" s="77">
        <v>3640116.6458200263</v>
      </c>
      <c r="F1646" s="77" t="s">
        <v>1637</v>
      </c>
      <c r="G1646" s="25">
        <f t="shared" si="46"/>
        <v>6.6581760144448499E-3</v>
      </c>
      <c r="I1646" s="78">
        <v>337.22646080699997</v>
      </c>
      <c r="J1646" s="78">
        <v>341.6968980396</v>
      </c>
      <c r="K1646" s="78">
        <v>331.39545572099996</v>
      </c>
      <c r="L1646" s="78">
        <v>333.30025071575994</v>
      </c>
      <c r="M1646" s="78">
        <v>704246.68465123686</v>
      </c>
      <c r="N1646" s="78" t="s">
        <v>1637</v>
      </c>
      <c r="O1646" s="25">
        <f t="shared" si="47"/>
        <v>1.1779799393515367E-2</v>
      </c>
    </row>
    <row r="1647" spans="1:15">
      <c r="A1647" s="77">
        <v>280.91332818254887</v>
      </c>
      <c r="B1647" s="77">
        <v>284.96871215409033</v>
      </c>
      <c r="C1647" s="77">
        <v>280.61972572307076</v>
      </c>
      <c r="D1647" s="77">
        <v>283.83100262361268</v>
      </c>
      <c r="E1647" s="77">
        <v>4662914.6173825907</v>
      </c>
      <c r="F1647" s="77" t="s">
        <v>1638</v>
      </c>
      <c r="G1647" s="25">
        <f t="shared" si="46"/>
        <v>-1.0279618555034786E-2</v>
      </c>
      <c r="I1647" s="78">
        <v>331.34686401195</v>
      </c>
      <c r="J1647" s="78">
        <v>336.41012009496001</v>
      </c>
      <c r="K1647" s="78">
        <v>324.31185355910907</v>
      </c>
      <c r="L1647" s="78">
        <v>326.53628481599998</v>
      </c>
      <c r="M1647" s="78">
        <v>1127196.4100632926</v>
      </c>
      <c r="N1647" s="78" t="s">
        <v>1638</v>
      </c>
      <c r="O1647" s="25">
        <f t="shared" si="47"/>
        <v>1.4732142857142971E-2</v>
      </c>
    </row>
    <row r="1648" spans="1:15">
      <c r="A1648" s="77">
        <v>288.84976966531673</v>
      </c>
      <c r="B1648" s="77">
        <v>293.2354564037712</v>
      </c>
      <c r="C1648" s="77">
        <v>281.58310879323329</v>
      </c>
      <c r="D1648" s="77">
        <v>291.55641733863064</v>
      </c>
      <c r="E1648" s="77">
        <v>5595522.608769007</v>
      </c>
      <c r="F1648" s="77" t="s">
        <v>1639</v>
      </c>
      <c r="G1648" s="25">
        <f t="shared" si="46"/>
        <v>-9.2834440003776164E-3</v>
      </c>
      <c r="I1648" s="78">
        <v>332.74630523258998</v>
      </c>
      <c r="J1648" s="78">
        <v>336.31293667685998</v>
      </c>
      <c r="K1648" s="78">
        <v>323.27092196783997</v>
      </c>
      <c r="L1648" s="78">
        <v>336.31293667685998</v>
      </c>
      <c r="M1648" s="78">
        <v>869766.69119646866</v>
      </c>
      <c r="N1648" s="78" t="s">
        <v>1639</v>
      </c>
      <c r="O1648" s="25">
        <f t="shared" si="47"/>
        <v>-1.0605097381956918E-2</v>
      </c>
    </row>
    <row r="1649" spans="1:15">
      <c r="A1649" s="77">
        <v>291.18023918742432</v>
      </c>
      <c r="B1649" s="77">
        <v>300.49294219899588</v>
      </c>
      <c r="C1649" s="77">
        <v>288.84059458845803</v>
      </c>
      <c r="D1649" s="77">
        <v>300.03418835606135</v>
      </c>
      <c r="E1649" s="77">
        <v>7511617.7293615732</v>
      </c>
      <c r="F1649" s="77" t="s">
        <v>1640</v>
      </c>
      <c r="G1649" s="25">
        <f t="shared" si="46"/>
        <v>-2.950980092351918E-2</v>
      </c>
      <c r="I1649" s="78">
        <v>336.75998040011996</v>
      </c>
      <c r="J1649" s="78">
        <v>356.41046753993999</v>
      </c>
      <c r="K1649" s="78">
        <v>332.96010875241001</v>
      </c>
      <c r="L1649" s="78">
        <v>356.41046753993999</v>
      </c>
      <c r="M1649" s="78">
        <v>985391.3545360266</v>
      </c>
      <c r="N1649" s="78" t="s">
        <v>1640</v>
      </c>
      <c r="O1649" s="25">
        <f t="shared" si="47"/>
        <v>-5.5134427659922602E-2</v>
      </c>
    </row>
    <row r="1650" spans="1:15">
      <c r="A1650" s="77">
        <v>301.62147665261494</v>
      </c>
      <c r="B1650" s="77">
        <v>302.47475880047324</v>
      </c>
      <c r="C1650" s="77">
        <v>297.98814621657317</v>
      </c>
      <c r="D1650" s="77">
        <v>299.05245513218136</v>
      </c>
      <c r="E1650" s="77">
        <v>5747171.4746509306</v>
      </c>
      <c r="F1650" s="77" t="s">
        <v>1641</v>
      </c>
      <c r="G1650" s="25">
        <f t="shared" si="46"/>
        <v>8.5905381358533095E-3</v>
      </c>
      <c r="I1650" s="78">
        <v>354.26271399992999</v>
      </c>
      <c r="J1650" s="78">
        <v>357.92652886230002</v>
      </c>
      <c r="K1650" s="78">
        <v>338.18857664618997</v>
      </c>
      <c r="L1650" s="78">
        <v>339.60745455044997</v>
      </c>
      <c r="M1650" s="78">
        <v>1159192.6092173539</v>
      </c>
      <c r="N1650" s="78" t="s">
        <v>1641</v>
      </c>
      <c r="O1650" s="25">
        <f t="shared" si="47"/>
        <v>4.3153526970954426E-2</v>
      </c>
    </row>
    <row r="1651" spans="1:15">
      <c r="A1651" s="77">
        <v>297.29084037531265</v>
      </c>
      <c r="B1651" s="77">
        <v>297.36424099018222</v>
      </c>
      <c r="C1651" s="77">
        <v>294.46491670283575</v>
      </c>
      <c r="D1651" s="77">
        <v>295.26314838954193</v>
      </c>
      <c r="E1651" s="77">
        <v>3281479.8680928717</v>
      </c>
      <c r="F1651" s="77" t="s">
        <v>1642</v>
      </c>
      <c r="G1651" s="25">
        <f t="shared" si="46"/>
        <v>6.8674062334916908E-3</v>
      </c>
      <c r="I1651" s="78">
        <v>338.04280151903998</v>
      </c>
      <c r="J1651" s="78">
        <v>346.62409733727003</v>
      </c>
      <c r="K1651" s="78">
        <v>337.13899573071001</v>
      </c>
      <c r="L1651" s="78">
        <v>345.34127621835</v>
      </c>
      <c r="M1651" s="78">
        <v>990324.29483975936</v>
      </c>
      <c r="N1651" s="78" t="s">
        <v>1642</v>
      </c>
      <c r="O1651" s="25">
        <f t="shared" si="47"/>
        <v>-2.1134093147601063E-2</v>
      </c>
    </row>
    <row r="1652" spans="1:15">
      <c r="A1652" s="77">
        <v>294.53831731770526</v>
      </c>
      <c r="B1652" s="77">
        <v>296.19900622912837</v>
      </c>
      <c r="C1652" s="77">
        <v>294.33646562681412</v>
      </c>
      <c r="D1652" s="77">
        <v>295.41912469613965</v>
      </c>
      <c r="E1652" s="77">
        <v>5523637.6523639569</v>
      </c>
      <c r="F1652" s="77" t="s">
        <v>1643</v>
      </c>
      <c r="G1652" s="25">
        <f t="shared" si="46"/>
        <v>-2.9815516491707994E-3</v>
      </c>
      <c r="I1652" s="78">
        <v>347.15860613682003</v>
      </c>
      <c r="J1652" s="78">
        <v>349.23055661071197</v>
      </c>
      <c r="K1652" s="78">
        <v>341.12351587281</v>
      </c>
      <c r="L1652" s="78">
        <v>342.26056186457998</v>
      </c>
      <c r="M1652" s="78">
        <v>825885.74850713136</v>
      </c>
      <c r="N1652" s="78" t="s">
        <v>1643</v>
      </c>
      <c r="O1652" s="25">
        <f t="shared" si="47"/>
        <v>1.4310863762848625E-2</v>
      </c>
    </row>
    <row r="1653" spans="1:15">
      <c r="A1653" s="77">
        <v>295.57510100273737</v>
      </c>
      <c r="B1653" s="77">
        <v>295.69437700190036</v>
      </c>
      <c r="C1653" s="77">
        <v>293.55658409382534</v>
      </c>
      <c r="D1653" s="77">
        <v>294.64841824000956</v>
      </c>
      <c r="E1653" s="77">
        <v>3856910.4700718415</v>
      </c>
      <c r="F1653" s="77" t="s">
        <v>1644</v>
      </c>
      <c r="G1653" s="25">
        <f t="shared" si="46"/>
        <v>3.1450457744286453E-3</v>
      </c>
      <c r="I1653" s="78">
        <v>344.02930007399999</v>
      </c>
      <c r="J1653" s="78">
        <v>344.30316294620576</v>
      </c>
      <c r="K1653" s="78">
        <v>340.71534551678997</v>
      </c>
      <c r="L1653" s="78">
        <v>341.67746135597997</v>
      </c>
      <c r="M1653" s="78">
        <v>522666.32511045627</v>
      </c>
      <c r="N1653" s="78" t="s">
        <v>1644</v>
      </c>
      <c r="O1653" s="25">
        <f t="shared" si="47"/>
        <v>6.8832129245122164E-3</v>
      </c>
    </row>
    <row r="1654" spans="1:15">
      <c r="A1654" s="77">
        <v>293.66668501612963</v>
      </c>
      <c r="B1654" s="77">
        <v>294.98156528074867</v>
      </c>
      <c r="C1654" s="77">
        <v>292.19821396489607</v>
      </c>
      <c r="D1654" s="77">
        <v>293.80431116901002</v>
      </c>
      <c r="E1654" s="77">
        <v>2502351.7899200516</v>
      </c>
      <c r="F1654" s="77" t="s">
        <v>1645</v>
      </c>
      <c r="G1654" s="25">
        <f t="shared" si="46"/>
        <v>-4.6842795578050378E-4</v>
      </c>
      <c r="I1654" s="78">
        <v>341.22069929090998</v>
      </c>
      <c r="J1654" s="78">
        <v>343.18380433652999</v>
      </c>
      <c r="K1654" s="78">
        <v>335.37997586310001</v>
      </c>
      <c r="L1654" s="78">
        <v>343.18380433652999</v>
      </c>
      <c r="M1654" s="78">
        <v>880019.4690826583</v>
      </c>
      <c r="N1654" s="78" t="s">
        <v>1645</v>
      </c>
      <c r="O1654" s="25">
        <f t="shared" si="47"/>
        <v>-5.7202729872851688E-3</v>
      </c>
    </row>
    <row r="1655" spans="1:15">
      <c r="A1655" s="77">
        <v>293.07948009717342</v>
      </c>
      <c r="B1655" s="77">
        <v>293.26298163434723</v>
      </c>
      <c r="C1655" s="77">
        <v>290.16180565610961</v>
      </c>
      <c r="D1655" s="77">
        <v>290.62055949904413</v>
      </c>
      <c r="E1655" s="77">
        <v>2840284.6538897911</v>
      </c>
      <c r="F1655" s="77" t="s">
        <v>1646</v>
      </c>
      <c r="G1655" s="25">
        <f t="shared" si="46"/>
        <v>8.4609313338597225E-3</v>
      </c>
      <c r="I1655" s="78">
        <v>343.60169303435998</v>
      </c>
      <c r="J1655" s="78">
        <v>345.21493777481999</v>
      </c>
      <c r="K1655" s="78">
        <v>338.40238016600995</v>
      </c>
      <c r="L1655" s="78">
        <v>341.37619275986998</v>
      </c>
      <c r="M1655" s="78">
        <v>617206.11574167304</v>
      </c>
      <c r="N1655" s="78" t="s">
        <v>1646</v>
      </c>
      <c r="O1655" s="25">
        <f t="shared" si="47"/>
        <v>6.5192017536368496E-3</v>
      </c>
    </row>
    <row r="1656" spans="1:15">
      <c r="A1656" s="77">
        <v>290.11593027181613</v>
      </c>
      <c r="B1656" s="77">
        <v>290.17098073296825</v>
      </c>
      <c r="C1656" s="77">
        <v>288.55616720583862</v>
      </c>
      <c r="D1656" s="77">
        <v>289.6480013520229</v>
      </c>
      <c r="E1656" s="77">
        <v>3150745.2684296812</v>
      </c>
      <c r="F1656" s="77" t="s">
        <v>1647</v>
      </c>
      <c r="G1656" s="25">
        <f t="shared" si="46"/>
        <v>1.615508885298711E-3</v>
      </c>
      <c r="I1656" s="78">
        <v>341.06520582194997</v>
      </c>
      <c r="J1656" s="78">
        <v>342.74647895508002</v>
      </c>
      <c r="K1656" s="78">
        <v>338.74252212936</v>
      </c>
      <c r="L1656" s="78">
        <v>339.97675153922995</v>
      </c>
      <c r="M1656" s="78">
        <v>467646.65092593612</v>
      </c>
      <c r="N1656" s="78" t="s">
        <v>1647</v>
      </c>
      <c r="O1656" s="25">
        <f t="shared" si="47"/>
        <v>3.2015550410200433E-3</v>
      </c>
    </row>
    <row r="1657" spans="1:15">
      <c r="A1657" s="77">
        <v>289.10667181736011</v>
      </c>
      <c r="B1657" s="77">
        <v>289.17089735537098</v>
      </c>
      <c r="C1657" s="77">
        <v>287.51938352080651</v>
      </c>
      <c r="D1657" s="77">
        <v>288.42312859138764</v>
      </c>
      <c r="E1657" s="77">
        <v>2560802.5264380779</v>
      </c>
      <c r="F1657" s="77" t="s">
        <v>1648</v>
      </c>
      <c r="G1657" s="25">
        <f t="shared" si="46"/>
        <v>2.3699320831542803E-3</v>
      </c>
      <c r="I1657" s="78">
        <v>339.04379072546999</v>
      </c>
      <c r="J1657" s="78">
        <v>345.14690938214994</v>
      </c>
      <c r="K1657" s="78">
        <v>334.68997359458996</v>
      </c>
      <c r="L1657" s="78">
        <v>345.00113425500001</v>
      </c>
      <c r="M1657" s="78">
        <v>608374.3621690952</v>
      </c>
      <c r="N1657" s="78" t="s">
        <v>1648</v>
      </c>
      <c r="O1657" s="25">
        <f t="shared" si="47"/>
        <v>-1.7267605633802918E-2</v>
      </c>
    </row>
    <row r="1658" spans="1:15">
      <c r="A1658" s="77">
        <v>286.198172453155</v>
      </c>
      <c r="B1658" s="77">
        <v>286.35414875975277</v>
      </c>
      <c r="C1658" s="77">
        <v>284.58335892602537</v>
      </c>
      <c r="D1658" s="77">
        <v>284.86796981018193</v>
      </c>
      <c r="E1658" s="77">
        <v>2524472.5855412614</v>
      </c>
      <c r="F1658" s="77" t="s">
        <v>1649</v>
      </c>
      <c r="G1658" s="25">
        <f t="shared" si="46"/>
        <v>4.6695409240267161E-3</v>
      </c>
      <c r="I1658" s="78">
        <v>343.12549428566996</v>
      </c>
      <c r="J1658" s="78">
        <v>344.33056867010998</v>
      </c>
      <c r="K1658" s="78">
        <v>338.60646534402002</v>
      </c>
      <c r="L1658" s="78">
        <v>343.72803147789</v>
      </c>
      <c r="M1658" s="78">
        <v>605812.19667967211</v>
      </c>
      <c r="N1658" s="78" t="s">
        <v>1649</v>
      </c>
      <c r="O1658" s="25">
        <f t="shared" si="47"/>
        <v>-1.7529474963953184E-3</v>
      </c>
    </row>
    <row r="1659" spans="1:15">
      <c r="A1659" s="77">
        <v>285.17973892184028</v>
      </c>
      <c r="B1659" s="77">
        <v>285.59261738048133</v>
      </c>
      <c r="C1659" s="77">
        <v>282.6107174014067</v>
      </c>
      <c r="D1659" s="77">
        <v>282.69329309313497</v>
      </c>
      <c r="E1659" s="77">
        <v>2625884.2700786623</v>
      </c>
      <c r="F1659" s="77" t="s">
        <v>1650</v>
      </c>
      <c r="G1659" s="25">
        <f t="shared" si="46"/>
        <v>8.7955600272628942E-3</v>
      </c>
      <c r="I1659" s="78">
        <v>344.6124005826</v>
      </c>
      <c r="J1659" s="78">
        <v>345.22465611663</v>
      </c>
      <c r="K1659" s="78">
        <v>337.20702412337999</v>
      </c>
      <c r="L1659" s="78">
        <v>341.12351587281</v>
      </c>
      <c r="M1659" s="78">
        <v>679362.80994010437</v>
      </c>
      <c r="N1659" s="78" t="s">
        <v>1650</v>
      </c>
      <c r="O1659" s="25">
        <f t="shared" si="47"/>
        <v>1.0227628842483183E-2</v>
      </c>
    </row>
    <row r="1660" spans="1:15">
      <c r="A1660" s="77">
        <v>284.28058138968851</v>
      </c>
      <c r="B1660" s="77">
        <v>286.51930014320914</v>
      </c>
      <c r="C1660" s="77">
        <v>283.79430231617789</v>
      </c>
      <c r="D1660" s="77">
        <v>285.84951953252471</v>
      </c>
      <c r="E1660" s="77">
        <v>2722917.7896569381</v>
      </c>
      <c r="F1660" s="77" t="s">
        <v>1651</v>
      </c>
      <c r="G1660" s="25">
        <f t="shared" ref="G1660:G1692" si="48">A1660/D1660-1</f>
        <v>-5.4886856042368759E-3</v>
      </c>
      <c r="I1660" s="78">
        <v>343.39760785635002</v>
      </c>
      <c r="J1660" s="78">
        <v>348.32480715401999</v>
      </c>
      <c r="K1660" s="78">
        <v>341.86210985036996</v>
      </c>
      <c r="L1660" s="78">
        <v>348.32480715401999</v>
      </c>
      <c r="M1660" s="78">
        <v>632460.77573392121</v>
      </c>
      <c r="N1660" s="78" t="s">
        <v>1651</v>
      </c>
      <c r="O1660" s="25">
        <f t="shared" ref="O1660:O1692" si="49">I1660/L1660-1</f>
        <v>-1.4145415992411037E-2</v>
      </c>
    </row>
    <row r="1661" spans="1:15">
      <c r="A1661" s="77">
        <v>285.49169153503578</v>
      </c>
      <c r="B1661" s="77">
        <v>285.84951953252471</v>
      </c>
      <c r="C1661" s="77">
        <v>283.7667770856018</v>
      </c>
      <c r="D1661" s="77">
        <v>285.28066476728588</v>
      </c>
      <c r="E1661" s="77">
        <v>2633023.1748539344</v>
      </c>
      <c r="F1661" s="77" t="s">
        <v>1652</v>
      </c>
      <c r="G1661" s="25">
        <f t="shared" si="48"/>
        <v>7.3971633486635824E-4</v>
      </c>
      <c r="I1661" s="78">
        <v>346.04099682866996</v>
      </c>
      <c r="J1661" s="78">
        <v>348.504596477505</v>
      </c>
      <c r="K1661" s="78">
        <v>339.86499060841498</v>
      </c>
      <c r="L1661" s="78">
        <v>344.05845509942998</v>
      </c>
      <c r="M1661" s="78">
        <v>780406.79657880857</v>
      </c>
      <c r="N1661" s="78" t="s">
        <v>1652</v>
      </c>
      <c r="O1661" s="25">
        <f t="shared" si="49"/>
        <v>5.7622235403778088E-3</v>
      </c>
    </row>
    <row r="1662" spans="1:15">
      <c r="A1662" s="77">
        <v>284.89531153922081</v>
      </c>
      <c r="B1662" s="77">
        <v>285.22561430613371</v>
      </c>
      <c r="C1662" s="77">
        <v>284.5099583111558</v>
      </c>
      <c r="D1662" s="77">
        <v>284.83108600121</v>
      </c>
      <c r="E1662" s="77">
        <v>2379663.9893340878</v>
      </c>
      <c r="F1662" s="77" t="s">
        <v>1653</v>
      </c>
      <c r="G1662" s="25">
        <f t="shared" si="48"/>
        <v>2.2548640639086237E-4</v>
      </c>
      <c r="I1662" s="78">
        <v>344.15563851753001</v>
      </c>
      <c r="J1662" s="78">
        <v>347.15860613682003</v>
      </c>
      <c r="K1662" s="78">
        <v>339.96703319741999</v>
      </c>
      <c r="L1662" s="78">
        <v>341.72605306502999</v>
      </c>
      <c r="M1662" s="78">
        <v>789670.72264357831</v>
      </c>
      <c r="N1662" s="78" t="s">
        <v>1653</v>
      </c>
      <c r="O1662" s="25">
        <f t="shared" si="49"/>
        <v>7.1097460398714674E-3</v>
      </c>
    </row>
    <row r="1663" spans="1:15">
      <c r="A1663" s="77">
        <v>283.9778038533517</v>
      </c>
      <c r="B1663" s="77">
        <v>284.44573277314493</v>
      </c>
      <c r="C1663" s="77">
        <v>282.90431986088481</v>
      </c>
      <c r="D1663" s="77">
        <v>283.64750108643881</v>
      </c>
      <c r="E1663" s="77">
        <v>2286663.133521996</v>
      </c>
      <c r="F1663" s="77" t="s">
        <v>1654</v>
      </c>
      <c r="G1663" s="25">
        <f t="shared" si="48"/>
        <v>1.1644832605530731E-3</v>
      </c>
      <c r="I1663" s="78">
        <v>337.77068794835998</v>
      </c>
      <c r="J1663" s="78">
        <v>344.86993664056502</v>
      </c>
      <c r="K1663" s="78">
        <v>334.31095826399996</v>
      </c>
      <c r="L1663" s="78">
        <v>344.31113198649001</v>
      </c>
      <c r="M1663" s="78">
        <v>713539.42221548595</v>
      </c>
      <c r="N1663" s="78" t="s">
        <v>1654</v>
      </c>
      <c r="O1663" s="25">
        <f t="shared" si="49"/>
        <v>-1.8995737954782932E-2</v>
      </c>
    </row>
    <row r="1664" spans="1:15">
      <c r="A1664" s="77">
        <v>283.9778038533517</v>
      </c>
      <c r="B1664" s="77">
        <v>285.1430386144055</v>
      </c>
      <c r="C1664" s="77">
        <v>283.10617155177607</v>
      </c>
      <c r="D1664" s="77">
        <v>283.78512723931919</v>
      </c>
      <c r="E1664" s="77">
        <v>4440501.2216771413</v>
      </c>
      <c r="F1664" s="77" t="s">
        <v>1655</v>
      </c>
      <c r="G1664" s="25">
        <f t="shared" si="48"/>
        <v>6.7895247332683262E-4</v>
      </c>
      <c r="I1664" s="78">
        <v>343.57253800892994</v>
      </c>
      <c r="J1664" s="78">
        <v>347.04198603510002</v>
      </c>
      <c r="K1664" s="78">
        <v>334.45673339114995</v>
      </c>
      <c r="L1664" s="78">
        <v>336.31293667685998</v>
      </c>
      <c r="M1664" s="78">
        <v>1020238.8631564298</v>
      </c>
      <c r="N1664" s="78" t="s">
        <v>1655</v>
      </c>
      <c r="O1664" s="25">
        <f t="shared" si="49"/>
        <v>2.1585852164364372E-2</v>
      </c>
    </row>
    <row r="1665" spans="1:15">
      <c r="A1665" s="77">
        <v>284.46408292686237</v>
      </c>
      <c r="B1665" s="77">
        <v>285.17056384498159</v>
      </c>
      <c r="C1665" s="77">
        <v>282.77586878486318</v>
      </c>
      <c r="D1665" s="77">
        <v>282.8217441691566</v>
      </c>
      <c r="E1665" s="77">
        <v>3219222.0789977424</v>
      </c>
      <c r="F1665" s="77" t="s">
        <v>1656</v>
      </c>
      <c r="G1665" s="25">
        <f t="shared" si="48"/>
        <v>5.8069748580698022E-3</v>
      </c>
      <c r="I1665" s="78">
        <v>334.44701504934</v>
      </c>
      <c r="J1665" s="78">
        <v>336.38096506952996</v>
      </c>
      <c r="K1665" s="78">
        <v>329.73604885694249</v>
      </c>
      <c r="L1665" s="78">
        <v>332.83377030887999</v>
      </c>
      <c r="M1665" s="78">
        <v>1157226.2243778808</v>
      </c>
      <c r="N1665" s="78" t="s">
        <v>1656</v>
      </c>
      <c r="O1665" s="25">
        <f t="shared" si="49"/>
        <v>4.8469983648680159E-3</v>
      </c>
    </row>
    <row r="1666" spans="1:15">
      <c r="A1666" s="77">
        <v>280.61972572307076</v>
      </c>
      <c r="B1666" s="77">
        <v>284.53344650791405</v>
      </c>
      <c r="C1666" s="77">
        <v>279.90406972809279</v>
      </c>
      <c r="D1666" s="77">
        <v>283.9869789302104</v>
      </c>
      <c r="E1666" s="77">
        <v>3892316.1680298136</v>
      </c>
      <c r="F1666" s="77" t="s">
        <v>1657</v>
      </c>
      <c r="G1666" s="25">
        <f t="shared" si="48"/>
        <v>-1.185706901007999E-2</v>
      </c>
      <c r="I1666" s="78">
        <v>331.59954089900998</v>
      </c>
      <c r="J1666" s="78">
        <v>344.40831540458998</v>
      </c>
      <c r="K1666" s="78">
        <v>330.32643812189997</v>
      </c>
      <c r="L1666" s="78">
        <v>344.40831540458998</v>
      </c>
      <c r="M1666" s="78">
        <v>1150268.2472535919</v>
      </c>
      <c r="N1666" s="78" t="s">
        <v>1657</v>
      </c>
      <c r="O1666" s="25">
        <f t="shared" si="49"/>
        <v>-3.7190665650836618E-2</v>
      </c>
    </row>
    <row r="1667" spans="1:15">
      <c r="A1667" s="77">
        <v>282.90431986088481</v>
      </c>
      <c r="B1667" s="77">
        <v>283.05112109062389</v>
      </c>
      <c r="C1667" s="77">
        <v>280.68395126108157</v>
      </c>
      <c r="D1667" s="77">
        <v>282.48226632538507</v>
      </c>
      <c r="E1667" s="77">
        <v>2308595.3748644087</v>
      </c>
      <c r="F1667" s="77" t="s">
        <v>1658</v>
      </c>
      <c r="G1667" s="25">
        <f t="shared" si="48"/>
        <v>1.494088605950239E-3</v>
      </c>
      <c r="I1667" s="78">
        <v>343.39760785635002</v>
      </c>
      <c r="J1667" s="78">
        <v>347.90691845619</v>
      </c>
      <c r="K1667" s="78">
        <v>342.177955959195</v>
      </c>
      <c r="L1667" s="78">
        <v>346.95452095880995</v>
      </c>
      <c r="M1667" s="78">
        <v>978783.23133398825</v>
      </c>
      <c r="N1667" s="78" t="s">
        <v>1658</v>
      </c>
      <c r="O1667" s="25">
        <f t="shared" si="49"/>
        <v>-1.0251813674686749E-2</v>
      </c>
    </row>
    <row r="1668" spans="1:15">
      <c r="A1668" s="77">
        <v>282.00516232873309</v>
      </c>
      <c r="B1668" s="77">
        <v>282.22536417334169</v>
      </c>
      <c r="C1668" s="77">
        <v>280.13491466185747</v>
      </c>
      <c r="D1668" s="77">
        <v>280.96837864370099</v>
      </c>
      <c r="E1668" s="77">
        <v>3618081.9530197703</v>
      </c>
      <c r="F1668" s="77" t="s">
        <v>1659</v>
      </c>
      <c r="G1668" s="25">
        <f t="shared" si="48"/>
        <v>3.6900369003689537E-3</v>
      </c>
      <c r="I1668" s="78">
        <v>345.64254481446</v>
      </c>
      <c r="J1668" s="78">
        <v>350.53087074488997</v>
      </c>
      <c r="K1668" s="78">
        <v>333.339124083</v>
      </c>
      <c r="L1668" s="78">
        <v>333.34252550263346</v>
      </c>
      <c r="M1668" s="78">
        <v>4390036.9871843392</v>
      </c>
      <c r="N1668" s="78" t="s">
        <v>1659</v>
      </c>
      <c r="O1668" s="25">
        <f t="shared" si="49"/>
        <v>3.6899040388800763E-2</v>
      </c>
    </row>
    <row r="1669" spans="1:15">
      <c r="A1669" s="77">
        <v>281.85836109899401</v>
      </c>
      <c r="B1669" s="77">
        <v>281.94093679072228</v>
      </c>
      <c r="C1669" s="77">
        <v>279.15171342568016</v>
      </c>
      <c r="D1669" s="77">
        <v>279.45449096201691</v>
      </c>
      <c r="E1669" s="77">
        <v>4455720.7127125468</v>
      </c>
      <c r="F1669" s="77" t="s">
        <v>1660</v>
      </c>
      <c r="G1669" s="25">
        <f t="shared" si="48"/>
        <v>8.6020093243155404E-3</v>
      </c>
      <c r="I1669" s="78">
        <v>388.08254349872999</v>
      </c>
      <c r="J1669" s="78">
        <v>392.29058550246003</v>
      </c>
      <c r="K1669" s="78">
        <v>382.05717157652998</v>
      </c>
      <c r="L1669" s="78">
        <v>389.45282969393998</v>
      </c>
      <c r="M1669" s="78">
        <v>877806.12853336148</v>
      </c>
      <c r="N1669" s="78" t="s">
        <v>1660</v>
      </c>
      <c r="O1669" s="25">
        <f t="shared" si="49"/>
        <v>-3.5184907920347008E-3</v>
      </c>
    </row>
    <row r="1670" spans="1:15">
      <c r="A1670" s="77">
        <v>279.97747034296231</v>
      </c>
      <c r="B1670" s="77">
        <v>280.2068472644296</v>
      </c>
      <c r="C1670" s="77">
        <v>279.20676388683228</v>
      </c>
      <c r="D1670" s="77">
        <v>279.48201619259305</v>
      </c>
      <c r="E1670" s="77">
        <v>2856372.8024986144</v>
      </c>
      <c r="F1670" s="77" t="s">
        <v>1661</v>
      </c>
      <c r="G1670" s="25">
        <f t="shared" si="48"/>
        <v>1.7727586093692072E-3</v>
      </c>
      <c r="I1670" s="78">
        <v>389.45282969393998</v>
      </c>
      <c r="J1670" s="78">
        <v>392.81537596019996</v>
      </c>
      <c r="K1670" s="78">
        <v>383.98150043832806</v>
      </c>
      <c r="L1670" s="78">
        <v>386.20690352939994</v>
      </c>
      <c r="M1670" s="78">
        <v>542056.46426013089</v>
      </c>
      <c r="N1670" s="78" t="s">
        <v>1661</v>
      </c>
      <c r="O1670" s="25">
        <f t="shared" si="49"/>
        <v>8.4046300956215347E-3</v>
      </c>
    </row>
    <row r="1671" spans="1:15">
      <c r="A1671" s="77">
        <v>278.24338081666968</v>
      </c>
      <c r="B1671" s="77">
        <v>278.24338081666968</v>
      </c>
      <c r="C1671" s="77">
        <v>276.37166513749673</v>
      </c>
      <c r="D1671" s="77">
        <v>276.37166513749673</v>
      </c>
      <c r="E1671" s="77">
        <v>2320650.8597070477</v>
      </c>
      <c r="F1671" s="77" t="s">
        <v>1662</v>
      </c>
      <c r="G1671" s="25">
        <f t="shared" si="48"/>
        <v>6.772458668082848E-3</v>
      </c>
      <c r="I1671" s="78">
        <v>382.59168037607998</v>
      </c>
      <c r="J1671" s="78">
        <v>388.06310681510996</v>
      </c>
      <c r="K1671" s="78">
        <v>380.00660145461995</v>
      </c>
      <c r="L1671" s="78">
        <v>386.52760880913002</v>
      </c>
      <c r="M1671" s="78">
        <v>586255.36242586642</v>
      </c>
      <c r="N1671" s="78" t="s">
        <v>1662</v>
      </c>
      <c r="O1671" s="25">
        <f t="shared" si="49"/>
        <v>-1.0182787318029907E-2</v>
      </c>
    </row>
    <row r="1672" spans="1:15">
      <c r="A1672" s="77">
        <v>277.07814605561595</v>
      </c>
      <c r="B1672" s="77">
        <v>277.84169595179623</v>
      </c>
      <c r="C1672" s="77">
        <v>276.28908944576847</v>
      </c>
      <c r="D1672" s="77">
        <v>276.76619344242039</v>
      </c>
      <c r="E1672" s="77">
        <v>4107890.3839696399</v>
      </c>
      <c r="F1672" s="77" t="s">
        <v>1663</v>
      </c>
      <c r="G1672" s="25">
        <f t="shared" si="48"/>
        <v>1.127134095806559E-3</v>
      </c>
      <c r="I1672" s="78">
        <v>386.65394725265998</v>
      </c>
      <c r="J1672" s="78">
        <v>390.45381890036998</v>
      </c>
      <c r="K1672" s="78">
        <v>374.09784963414</v>
      </c>
      <c r="L1672" s="78">
        <v>374.34080817938997</v>
      </c>
      <c r="M1672" s="78">
        <v>1062946.7662241035</v>
      </c>
      <c r="N1672" s="78" t="s">
        <v>1663</v>
      </c>
      <c r="O1672" s="25">
        <f t="shared" si="49"/>
        <v>3.2892858070043385E-2</v>
      </c>
    </row>
    <row r="1673" spans="1:15">
      <c r="A1673" s="77">
        <v>275.34405652932332</v>
      </c>
      <c r="B1673" s="77">
        <v>275.34405652932332</v>
      </c>
      <c r="C1673" s="77">
        <v>270.88496917599934</v>
      </c>
      <c r="D1673" s="77">
        <v>274.74767653350835</v>
      </c>
      <c r="E1673" s="77">
        <v>4861695.5135090742</v>
      </c>
      <c r="F1673" s="77" t="s">
        <v>1664</v>
      </c>
      <c r="G1673" s="25">
        <f t="shared" si="48"/>
        <v>2.1706461846719982E-3</v>
      </c>
      <c r="I1673" s="78">
        <v>371.39615061096004</v>
      </c>
      <c r="J1673" s="78">
        <v>373.84517274707997</v>
      </c>
      <c r="K1673" s="78">
        <v>366.60500809862998</v>
      </c>
      <c r="L1673" s="78">
        <v>371.24065714199998</v>
      </c>
      <c r="M1673" s="78">
        <v>960559.95791323169</v>
      </c>
      <c r="N1673" s="78" t="s">
        <v>1664</v>
      </c>
      <c r="O1673" s="25">
        <f t="shared" si="49"/>
        <v>4.1884816753934295E-4</v>
      </c>
    </row>
    <row r="1674" spans="1:15">
      <c r="A1674" s="77">
        <v>273.05946239150916</v>
      </c>
      <c r="B1674" s="77">
        <v>273.47234085015026</v>
      </c>
      <c r="C1674" s="77">
        <v>269.44448210918483</v>
      </c>
      <c r="D1674" s="77">
        <v>271.34372301893393</v>
      </c>
      <c r="E1674" s="77">
        <v>3217128.3635667046</v>
      </c>
      <c r="F1674" s="77" t="s">
        <v>1665</v>
      </c>
      <c r="G1674" s="25">
        <f t="shared" si="48"/>
        <v>6.3231216609183072E-3</v>
      </c>
      <c r="I1674" s="78">
        <v>371.99868780317996</v>
      </c>
      <c r="J1674" s="78">
        <v>375.30292401857997</v>
      </c>
      <c r="K1674" s="78">
        <v>369.4913556162</v>
      </c>
      <c r="L1674" s="78">
        <v>370.80333176055001</v>
      </c>
      <c r="M1674" s="78">
        <v>630345.18848642963</v>
      </c>
      <c r="N1674" s="78" t="s">
        <v>1665</v>
      </c>
      <c r="O1674" s="25">
        <f t="shared" si="49"/>
        <v>3.223692831869851E-3</v>
      </c>
    </row>
    <row r="1675" spans="1:15">
      <c r="A1675" s="77">
        <v>274.05954576910648</v>
      </c>
      <c r="B1675" s="77">
        <v>274.57335007319324</v>
      </c>
      <c r="C1675" s="77">
        <v>271.49052424867295</v>
      </c>
      <c r="D1675" s="77">
        <v>271.58227501725986</v>
      </c>
      <c r="E1675" s="77">
        <v>2584007.7816396533</v>
      </c>
      <c r="F1675" s="77" t="s">
        <v>1666</v>
      </c>
      <c r="G1675" s="25">
        <f t="shared" si="48"/>
        <v>9.1216216216216672E-3</v>
      </c>
      <c r="I1675" s="78">
        <v>374.42827325567998</v>
      </c>
      <c r="J1675" s="78">
        <v>377.55757931849996</v>
      </c>
      <c r="K1675" s="78">
        <v>373.45643907467996</v>
      </c>
      <c r="L1675" s="78">
        <v>376.81898534094</v>
      </c>
      <c r="M1675" s="78">
        <v>647741.16027927608</v>
      </c>
      <c r="N1675" s="78" t="s">
        <v>1666</v>
      </c>
      <c r="O1675" s="25">
        <f t="shared" si="49"/>
        <v>-6.3444576262444707E-3</v>
      </c>
    </row>
    <row r="1676" spans="1:15">
      <c r="A1676" s="77">
        <v>270.78404333055374</v>
      </c>
      <c r="B1676" s="77">
        <v>272.80256023946578</v>
      </c>
      <c r="C1676" s="77">
        <v>270.47209071735824</v>
      </c>
      <c r="D1676" s="77">
        <v>271.74742640071634</v>
      </c>
      <c r="E1676" s="77">
        <v>3417476.54901637</v>
      </c>
      <c r="F1676" s="77" t="s">
        <v>1667</v>
      </c>
      <c r="G1676" s="25">
        <f t="shared" si="48"/>
        <v>-3.5451414680262028E-3</v>
      </c>
      <c r="I1676" s="78">
        <v>374.56433004102001</v>
      </c>
      <c r="J1676" s="78">
        <v>385.38084447555002</v>
      </c>
      <c r="K1676" s="78">
        <v>373.35925565657999</v>
      </c>
      <c r="L1676" s="78">
        <v>381.61984619508002</v>
      </c>
      <c r="M1676" s="78">
        <v>608398.02875795332</v>
      </c>
      <c r="N1676" s="78" t="s">
        <v>1667</v>
      </c>
      <c r="O1676" s="25">
        <f t="shared" si="49"/>
        <v>-1.8488336559030261E-2</v>
      </c>
    </row>
    <row r="1677" spans="1:15">
      <c r="A1677" s="77">
        <v>272.47225747255294</v>
      </c>
      <c r="B1677" s="77">
        <v>272.60988362543333</v>
      </c>
      <c r="C1677" s="77">
        <v>270.42621533306482</v>
      </c>
      <c r="D1677" s="77">
        <v>271.10517102060794</v>
      </c>
      <c r="E1677" s="77">
        <v>2455926.0207891366</v>
      </c>
      <c r="F1677" s="77" t="s">
        <v>1668</v>
      </c>
      <c r="G1677" s="25">
        <f t="shared" si="48"/>
        <v>5.0426424800324998E-3</v>
      </c>
      <c r="I1677" s="78">
        <v>381.96970650024002</v>
      </c>
      <c r="J1677" s="78">
        <v>384.36041858549999</v>
      </c>
      <c r="K1677" s="78">
        <v>372.43601318462999</v>
      </c>
      <c r="L1677" s="78">
        <v>374.14644134319002</v>
      </c>
      <c r="M1677" s="78">
        <v>687454.72536533477</v>
      </c>
      <c r="N1677" s="78" t="s">
        <v>1668</v>
      </c>
      <c r="O1677" s="25">
        <f t="shared" si="49"/>
        <v>2.0909634016468059E-2</v>
      </c>
    </row>
    <row r="1678" spans="1:15">
      <c r="A1678" s="77">
        <v>270.49961594793433</v>
      </c>
      <c r="B1678" s="77">
        <v>271.40794855694475</v>
      </c>
      <c r="C1678" s="77">
        <v>269.10500426541324</v>
      </c>
      <c r="D1678" s="77">
        <v>270.53631625536912</v>
      </c>
      <c r="E1678" s="77">
        <v>3107299.3108492387</v>
      </c>
      <c r="F1678" s="77" t="s">
        <v>1669</v>
      </c>
      <c r="G1678" s="25">
        <f t="shared" si="48"/>
        <v>-1.35657600217165E-4</v>
      </c>
      <c r="I1678" s="78">
        <v>371.48361568724999</v>
      </c>
      <c r="J1678" s="78">
        <v>374.15615968499998</v>
      </c>
      <c r="K1678" s="78">
        <v>366.01704841912499</v>
      </c>
      <c r="L1678" s="78">
        <v>374.15615968499998</v>
      </c>
      <c r="M1678" s="78">
        <v>553499.77446409664</v>
      </c>
      <c r="N1678" s="78" t="s">
        <v>1669</v>
      </c>
      <c r="O1678" s="25">
        <f t="shared" si="49"/>
        <v>-7.1428571428571175E-3</v>
      </c>
    </row>
    <row r="1679" spans="1:15">
      <c r="A1679" s="77">
        <v>272.26123070480304</v>
      </c>
      <c r="B1679" s="77">
        <v>275.82116052597524</v>
      </c>
      <c r="C1679" s="77">
        <v>271.01342025202104</v>
      </c>
      <c r="D1679" s="77">
        <v>275.18808022272555</v>
      </c>
      <c r="E1679" s="77">
        <v>3800630.8325327989</v>
      </c>
      <c r="F1679" s="77" t="s">
        <v>1670</v>
      </c>
      <c r="G1679" s="25">
        <f t="shared" si="48"/>
        <v>-1.0635815023505524E-2</v>
      </c>
      <c r="I1679" s="78">
        <v>375.56531924744996</v>
      </c>
      <c r="J1679" s="78">
        <v>388.20888194225995</v>
      </c>
      <c r="K1679" s="78">
        <v>372.98995866780001</v>
      </c>
      <c r="L1679" s="78">
        <v>384.36041858549999</v>
      </c>
      <c r="M1679" s="78">
        <v>806869.12986856559</v>
      </c>
      <c r="N1679" s="78" t="s">
        <v>1670</v>
      </c>
      <c r="O1679" s="25">
        <f t="shared" si="49"/>
        <v>-2.2882427307206132E-2</v>
      </c>
    </row>
    <row r="1680" spans="1:15">
      <c r="A1680" s="77">
        <v>275.55508329707317</v>
      </c>
      <c r="B1680" s="77">
        <v>275.76611006482307</v>
      </c>
      <c r="C1680" s="77">
        <v>273.51821623444374</v>
      </c>
      <c r="D1680" s="77">
        <v>273.61914207988934</v>
      </c>
      <c r="E1680" s="77">
        <v>4491667.0055970121</v>
      </c>
      <c r="F1680" s="77" t="s">
        <v>1671</v>
      </c>
      <c r="G1680" s="25">
        <f t="shared" si="48"/>
        <v>7.0753135269263634E-3</v>
      </c>
      <c r="I1680" s="78">
        <v>380.67716703950998</v>
      </c>
      <c r="J1680" s="78">
        <v>382.90266731399998</v>
      </c>
      <c r="K1680" s="78">
        <v>373.81601772164998</v>
      </c>
      <c r="L1680" s="78">
        <v>380.39533512702002</v>
      </c>
      <c r="M1680" s="78">
        <v>591230.49099669408</v>
      </c>
      <c r="N1680" s="78" t="s">
        <v>1671</v>
      </c>
      <c r="O1680" s="25">
        <f t="shared" si="49"/>
        <v>7.4089213632411166E-4</v>
      </c>
    </row>
    <row r="1681" spans="1:15">
      <c r="A1681" s="77">
        <v>273.99532023109566</v>
      </c>
      <c r="B1681" s="77">
        <v>275.57343345079056</v>
      </c>
      <c r="C1681" s="77">
        <v>273.10533777580264</v>
      </c>
      <c r="D1681" s="77">
        <v>275.12385468471473</v>
      </c>
      <c r="E1681" s="77">
        <v>3608553.9674403155</v>
      </c>
      <c r="F1681" s="77" t="s">
        <v>1672</v>
      </c>
      <c r="G1681" s="25">
        <f t="shared" si="48"/>
        <v>-4.1019142266393027E-3</v>
      </c>
      <c r="I1681" s="78">
        <v>378.85983712103996</v>
      </c>
      <c r="J1681" s="78">
        <v>390.23029703873999</v>
      </c>
      <c r="K1681" s="78">
        <v>377.28546574782001</v>
      </c>
      <c r="L1681" s="78">
        <v>387.76183821899997</v>
      </c>
      <c r="M1681" s="78">
        <v>928599.7731335198</v>
      </c>
      <c r="N1681" s="78" t="s">
        <v>1672</v>
      </c>
      <c r="O1681" s="25">
        <f t="shared" si="49"/>
        <v>-2.2957393483709287E-2</v>
      </c>
    </row>
    <row r="1682" spans="1:15">
      <c r="A1682" s="77">
        <v>273.42646546585684</v>
      </c>
      <c r="B1682" s="77">
        <v>274.04119561538914</v>
      </c>
      <c r="C1682" s="77">
        <v>270.29776425704313</v>
      </c>
      <c r="D1682" s="77">
        <v>270.96754486772755</v>
      </c>
      <c r="E1682" s="77">
        <v>2768250.3799344795</v>
      </c>
      <c r="F1682" s="77" t="s">
        <v>1673</v>
      </c>
      <c r="G1682" s="25">
        <f t="shared" si="48"/>
        <v>9.0745945213830392E-3</v>
      </c>
      <c r="I1682" s="78">
        <v>387.39254123021999</v>
      </c>
      <c r="J1682" s="78">
        <v>390.81339754733995</v>
      </c>
      <c r="K1682" s="78">
        <v>373.04826871865998</v>
      </c>
      <c r="L1682" s="78">
        <v>374.28249812852999</v>
      </c>
      <c r="M1682" s="78">
        <v>1294676.6275552516</v>
      </c>
      <c r="N1682" s="78" t="s">
        <v>1673</v>
      </c>
      <c r="O1682" s="25">
        <f t="shared" si="49"/>
        <v>3.5027133695116008E-2</v>
      </c>
    </row>
    <row r="1683" spans="1:15">
      <c r="A1683" s="77">
        <v>271.16939655861881</v>
      </c>
      <c r="B1683" s="77">
        <v>271.90340270731411</v>
      </c>
      <c r="C1683" s="77">
        <v>269.513295185625</v>
      </c>
      <c r="D1683" s="77">
        <v>271.32537286521654</v>
      </c>
      <c r="E1683" s="77">
        <v>2447884.6712575397</v>
      </c>
      <c r="F1683" s="77" t="s">
        <v>1674</v>
      </c>
      <c r="G1683" s="25">
        <f t="shared" si="48"/>
        <v>-5.7486811849039032E-4</v>
      </c>
      <c r="I1683" s="78">
        <v>372.83446519883995</v>
      </c>
      <c r="J1683" s="78">
        <v>374.37968154663002</v>
      </c>
      <c r="K1683" s="78">
        <v>365.55542718314996</v>
      </c>
      <c r="L1683" s="78">
        <v>367.58656062144001</v>
      </c>
      <c r="M1683" s="78">
        <v>1357342.6679051949</v>
      </c>
      <c r="N1683" s="78" t="s">
        <v>1674</v>
      </c>
      <c r="O1683" s="25">
        <f t="shared" si="49"/>
        <v>1.4276649746192804E-2</v>
      </c>
    </row>
    <row r="1684" spans="1:15">
      <c r="A1684" s="77">
        <v>270.45374056364085</v>
      </c>
      <c r="B1684" s="77">
        <v>270.76569317683641</v>
      </c>
      <c r="C1684" s="77">
        <v>268.96737811253286</v>
      </c>
      <c r="D1684" s="77">
        <v>269.56375810834783</v>
      </c>
      <c r="E1684" s="77">
        <v>3360047.0573494015</v>
      </c>
      <c r="F1684" s="77" t="s">
        <v>1675</v>
      </c>
      <c r="G1684" s="25">
        <f t="shared" si="48"/>
        <v>3.3015656909460844E-3</v>
      </c>
      <c r="I1684" s="78">
        <v>365.29303195427997</v>
      </c>
      <c r="J1684" s="78">
        <v>371.55164407991998</v>
      </c>
      <c r="K1684" s="78">
        <v>362.56217790566996</v>
      </c>
      <c r="L1684" s="78">
        <v>371.55164407991998</v>
      </c>
      <c r="M1684" s="78">
        <v>836437.96019148256</v>
      </c>
      <c r="N1684" s="78" t="s">
        <v>1675</v>
      </c>
      <c r="O1684" s="25">
        <f t="shared" si="49"/>
        <v>-1.68445281439632E-2</v>
      </c>
    </row>
    <row r="1685" spans="1:15">
      <c r="A1685" s="77">
        <v>271.24279717348833</v>
      </c>
      <c r="B1685" s="77">
        <v>272.27150679088476</v>
      </c>
      <c r="C1685" s="77">
        <v>269.15087964970672</v>
      </c>
      <c r="D1685" s="77">
        <v>271.75660147757503</v>
      </c>
      <c r="E1685" s="77">
        <v>7194956.6218038928</v>
      </c>
      <c r="F1685" s="77" t="s">
        <v>1676</v>
      </c>
      <c r="G1685" s="25">
        <f t="shared" si="48"/>
        <v>-1.8906782808332245E-3</v>
      </c>
      <c r="I1685" s="78">
        <v>371.56136242173</v>
      </c>
      <c r="J1685" s="78">
        <v>372.44573152644</v>
      </c>
      <c r="K1685" s="78">
        <v>364.76824149653999</v>
      </c>
      <c r="L1685" s="78">
        <v>369.29698877999999</v>
      </c>
      <c r="M1685" s="78">
        <v>1037402.284989192</v>
      </c>
      <c r="N1685" s="78" t="s">
        <v>1676</v>
      </c>
      <c r="O1685" s="25">
        <f t="shared" si="49"/>
        <v>6.1315789473683768E-3</v>
      </c>
    </row>
    <row r="1686" spans="1:15">
      <c r="A1686" s="77">
        <v>268.85727719022856</v>
      </c>
      <c r="B1686" s="77">
        <v>269.12335441913064</v>
      </c>
      <c r="C1686" s="77">
        <v>262.98522800066621</v>
      </c>
      <c r="D1686" s="77">
        <v>264.04953691627441</v>
      </c>
      <c r="E1686" s="77">
        <v>4417511.7684825137</v>
      </c>
      <c r="F1686" s="77" t="s">
        <v>1677</v>
      </c>
      <c r="G1686" s="25">
        <f t="shared" si="48"/>
        <v>1.820772090760614E-2</v>
      </c>
      <c r="I1686" s="78">
        <v>365.65261060124999</v>
      </c>
      <c r="J1686" s="78">
        <v>366.30004653263217</v>
      </c>
      <c r="K1686" s="78">
        <v>351.34721145692998</v>
      </c>
      <c r="L1686" s="78">
        <v>357.62526026618997</v>
      </c>
      <c r="M1686" s="78">
        <v>737793.55986656738</v>
      </c>
      <c r="N1686" s="78" t="s">
        <v>1677</v>
      </c>
      <c r="O1686" s="25">
        <f t="shared" si="49"/>
        <v>2.2446262126688321E-2</v>
      </c>
    </row>
    <row r="1687" spans="1:15">
      <c r="A1687" s="77">
        <v>265.30652244591511</v>
      </c>
      <c r="B1687" s="77">
        <v>271.99515347590096</v>
      </c>
      <c r="C1687" s="77">
        <v>264.8018932186871</v>
      </c>
      <c r="D1687" s="77">
        <v>269.8390104141086</v>
      </c>
      <c r="E1687" s="77">
        <v>3986788.4011619994</v>
      </c>
      <c r="F1687" s="77" t="s">
        <v>1678</v>
      </c>
      <c r="G1687" s="25">
        <f t="shared" si="48"/>
        <v>-1.6797007820469334E-2</v>
      </c>
      <c r="I1687" s="78">
        <v>358.73315123252996</v>
      </c>
      <c r="J1687" s="78">
        <v>371.55164407991998</v>
      </c>
      <c r="K1687" s="78">
        <v>356.20638236192997</v>
      </c>
      <c r="L1687" s="78">
        <v>360.07428240230996</v>
      </c>
      <c r="M1687" s="78">
        <v>980451.21135742404</v>
      </c>
      <c r="N1687" s="78" t="s">
        <v>1678</v>
      </c>
      <c r="O1687" s="25">
        <f t="shared" si="49"/>
        <v>-3.7245958273730562E-3</v>
      </c>
    </row>
    <row r="1688" spans="1:15">
      <c r="A1688" s="77">
        <v>267.7287427366096</v>
      </c>
      <c r="B1688" s="77">
        <v>267.92141935064211</v>
      </c>
      <c r="C1688" s="77">
        <v>263.63665845763325</v>
      </c>
      <c r="D1688" s="77">
        <v>264.9028190641327</v>
      </c>
      <c r="E1688" s="77">
        <v>2956274.962896511</v>
      </c>
      <c r="F1688" s="77" t="s">
        <v>1679</v>
      </c>
      <c r="G1688" s="25">
        <f t="shared" si="48"/>
        <v>1.066777500692706E-2</v>
      </c>
      <c r="I1688" s="78">
        <v>359.82160551524998</v>
      </c>
      <c r="J1688" s="78">
        <v>363.68950555562998</v>
      </c>
      <c r="K1688" s="78">
        <v>359.48146355189999</v>
      </c>
      <c r="L1688" s="78">
        <v>362.10541584060002</v>
      </c>
      <c r="M1688" s="78">
        <v>587536.44517057796</v>
      </c>
      <c r="N1688" s="78" t="s">
        <v>1679</v>
      </c>
      <c r="O1688" s="25">
        <f t="shared" si="49"/>
        <v>-6.307031669350649E-3</v>
      </c>
    </row>
    <row r="1689" spans="1:15">
      <c r="A1689" s="77">
        <v>265.06797044758912</v>
      </c>
      <c r="B1689" s="77">
        <v>267.26998889367502</v>
      </c>
      <c r="C1689" s="77">
        <v>261.8658686239059</v>
      </c>
      <c r="D1689" s="77">
        <v>267.01308674163164</v>
      </c>
      <c r="E1689" s="77">
        <v>3449132.9595809164</v>
      </c>
      <c r="F1689" s="77" t="s">
        <v>1680</v>
      </c>
      <c r="G1689" s="25">
        <f t="shared" si="48"/>
        <v>-7.2847226994707803E-3</v>
      </c>
      <c r="I1689" s="78">
        <v>362.10541584060002</v>
      </c>
      <c r="J1689" s="78">
        <v>364.70993144567996</v>
      </c>
      <c r="K1689" s="78">
        <v>356.79920121233999</v>
      </c>
      <c r="L1689" s="78">
        <v>359.57864696999997</v>
      </c>
      <c r="M1689" s="78">
        <v>917149.26005468424</v>
      </c>
      <c r="N1689" s="78" t="s">
        <v>1680</v>
      </c>
      <c r="O1689" s="25">
        <f t="shared" si="49"/>
        <v>7.0270270270271773E-3</v>
      </c>
    </row>
    <row r="1690" spans="1:15">
      <c r="A1690" s="77">
        <v>266.42588182267542</v>
      </c>
      <c r="B1690" s="77">
        <v>266.5818581292732</v>
      </c>
      <c r="C1690" s="77">
        <v>263.59078307333988</v>
      </c>
      <c r="D1690" s="77">
        <v>265.15972121617602</v>
      </c>
      <c r="E1690" s="77">
        <v>2653087.3119543903</v>
      </c>
      <c r="F1690" s="77" t="s">
        <v>1681</v>
      </c>
      <c r="G1690" s="25">
        <f t="shared" si="48"/>
        <v>4.775086505190318E-3</v>
      </c>
      <c r="I1690" s="78">
        <v>359.45230852647001</v>
      </c>
      <c r="J1690" s="78">
        <v>365.73035733572999</v>
      </c>
      <c r="K1690" s="78">
        <v>356.12863562744997</v>
      </c>
      <c r="L1690" s="78">
        <v>365.39993371419001</v>
      </c>
      <c r="M1690" s="78">
        <v>1133365.1578982691</v>
      </c>
      <c r="N1690" s="78" t="s">
        <v>1681</v>
      </c>
      <c r="O1690" s="25">
        <f t="shared" si="49"/>
        <v>-1.6277028644378855E-2</v>
      </c>
    </row>
    <row r="1691" spans="1:15">
      <c r="A1691" s="77">
        <v>264.46241537491551</v>
      </c>
      <c r="B1691" s="77">
        <v>267.61864181430531</v>
      </c>
      <c r="C1691" s="77">
        <v>264.14275569715869</v>
      </c>
      <c r="D1691" s="77">
        <v>265.77445136570839</v>
      </c>
      <c r="E1691" s="77">
        <v>3727769.3175508566</v>
      </c>
      <c r="F1691" s="77" t="s">
        <v>1682</v>
      </c>
      <c r="G1691" s="25">
        <f t="shared" si="48"/>
        <v>-4.9366520523355106E-3</v>
      </c>
      <c r="I1691" s="78">
        <v>361.63893543372001</v>
      </c>
      <c r="J1691" s="78">
        <v>368.12106942099001</v>
      </c>
      <c r="K1691" s="78">
        <v>358.71371454890999</v>
      </c>
      <c r="L1691" s="78">
        <v>359.79245048982</v>
      </c>
      <c r="M1691" s="78">
        <v>740699.40538549551</v>
      </c>
      <c r="N1691" s="78" t="s">
        <v>1682</v>
      </c>
      <c r="O1691" s="25">
        <f t="shared" si="49"/>
        <v>5.1320836259520775E-3</v>
      </c>
    </row>
    <row r="1692" spans="1:15">
      <c r="A1692" s="77">
        <v>267.23328858624023</v>
      </c>
      <c r="B1692" s="77">
        <v>267.52689104571834</v>
      </c>
      <c r="C1692" s="77">
        <v>265.98547813345823</v>
      </c>
      <c r="D1692" s="77">
        <v>266.6919590515775</v>
      </c>
      <c r="E1692" s="77">
        <v>3895128.1335748825</v>
      </c>
      <c r="F1692" s="77" t="s">
        <v>1683</v>
      </c>
      <c r="G1692" s="25">
        <f t="shared" si="48"/>
        <v>2.0297932363160243E-3</v>
      </c>
      <c r="I1692" s="78">
        <v>368.70416992958997</v>
      </c>
      <c r="J1692" s="78">
        <v>373.39288111924259</v>
      </c>
      <c r="K1692" s="78">
        <v>362.88288318539998</v>
      </c>
      <c r="L1692" s="78">
        <v>364.43781787500001</v>
      </c>
      <c r="M1692" s="78">
        <v>840077.46996501251</v>
      </c>
      <c r="N1692" s="78" t="s">
        <v>1683</v>
      </c>
      <c r="O1692" s="25">
        <f t="shared" si="49"/>
        <v>1.1706666666666532E-2</v>
      </c>
    </row>
  </sheetData>
  <sortState xmlns:xlrd2="http://schemas.microsoft.com/office/spreadsheetml/2017/richdata2" ref="Q211:Q273">
    <sortCondition ref="Q21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Herrick</cp:lastModifiedBy>
  <dcterms:created xsi:type="dcterms:W3CDTF">2015-06-05T18:17:20Z</dcterms:created>
  <dcterms:modified xsi:type="dcterms:W3CDTF">2026-07-10T05:02:19Z</dcterms:modified>
</cp:coreProperties>
</file>